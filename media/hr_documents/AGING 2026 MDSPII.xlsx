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BEVERLY FILES\"/>
    </mc:Choice>
  </mc:AlternateContent>
  <bookViews>
    <workbookView xWindow="360" yWindow="21780" windowWidth="11160" windowHeight="1365" tabRatio="601" firstSheet="22" activeTab="22"/>
  </bookViews>
  <sheets>
    <sheet name="NOV 2024" sheetId="101" r:id="rId1"/>
    <sheet name="DEC. 2024" sheetId="123" r:id="rId2"/>
    <sheet name="BEVS JAN 2025" sheetId="110" r:id="rId3"/>
    <sheet name="FEB.25" sheetId="111" r:id="rId4"/>
    <sheet name="MARCH 25" sheetId="114" r:id="rId5"/>
    <sheet name="APRIL 25" sheetId="116" r:id="rId6"/>
    <sheet name="MAY 25" sheetId="117" r:id="rId7"/>
    <sheet name="JUNE 2025" sheetId="118" r:id="rId8"/>
    <sheet name="JULY 2025" sheetId="119" r:id="rId9"/>
    <sheet name="AUG 2025" sheetId="120" r:id="rId10"/>
    <sheet name="SEPT. 2025" sheetId="121" r:id="rId11"/>
    <sheet name="OCT.2025" sheetId="122" r:id="rId12"/>
    <sheet name=" OCT. NEW FILE 25" sheetId="124" r:id="rId13"/>
    <sheet name="NOV.2025" sheetId="126" r:id="rId14"/>
    <sheet name="DEC. 2025" sheetId="127" r:id="rId15"/>
    <sheet name="JAN 2026" sheetId="128" r:id="rId16"/>
    <sheet name="FEB 2026" sheetId="129" r:id="rId17"/>
    <sheet name="MACH 2026" sheetId="130" r:id="rId18"/>
    <sheet name="APRIL 2026" sheetId="131" r:id="rId19"/>
    <sheet name="MAY 2026" sheetId="132" r:id="rId20"/>
    <sheet name="JUNE 2026" sheetId="133" r:id="rId21"/>
    <sheet name="JULY 2026" sheetId="134" r:id="rId22"/>
    <sheet name="AUG. 2026" sheetId="135" r:id="rId23"/>
    <sheet name="AGING 2024" sheetId="103" r:id="rId24"/>
    <sheet name="AGING SUMMARY" sheetId="115" r:id="rId25"/>
    <sheet name="BID BOND" sheetId="102" r:id="rId26"/>
    <sheet name="PERFORMANCE BOND" sheetId="4" r:id="rId27"/>
    <sheet name="RETENTION" sheetId="6" r:id="rId28"/>
    <sheet name="RETENTION BEVS COPY" sheetId="112" r:id="rId29"/>
    <sheet name="WRITE OFF ACCTS" sheetId="97" r:id="rId30"/>
    <sheet name="ACCTS WITH ISSUES" sheetId="98" r:id="rId31"/>
    <sheet name="ACCTS WITH PDC" sheetId="99" r:id="rId32"/>
    <sheet name="MATI PROJECTS" sheetId="105" r:id="rId33"/>
    <sheet name="BEVS COPY FOR MATI PROJECT" sheetId="113" r:id="rId34"/>
    <sheet name="UNPAID RETENTION - PANABO" sheetId="106" r:id="rId35"/>
    <sheet name="JOAN-DPWH" sheetId="109" r:id="rId36"/>
  </sheets>
  <definedNames>
    <definedName name="_xlnm._FilterDatabase" localSheetId="15" hidden="1">'JAN 2026'!$A$6:$I$157</definedName>
    <definedName name="_xlnm.Print_Area" localSheetId="4">'MARCH 25'!$A$1:$O$79</definedName>
  </definedNames>
  <calcPr calcId="152511"/>
</workbook>
</file>

<file path=xl/calcChain.xml><?xml version="1.0" encoding="utf-8"?>
<calcChain xmlns="http://schemas.openxmlformats.org/spreadsheetml/2006/main">
  <c r="L219" i="135" l="1"/>
  <c r="K219" i="135" l="1"/>
  <c r="E61" i="112" l="1"/>
  <c r="I204" i="134" l="1"/>
  <c r="J204" i="134"/>
  <c r="J196" i="133" l="1"/>
  <c r="I196" i="133" l="1"/>
  <c r="I184" i="132" l="1"/>
  <c r="I178" i="131" l="1"/>
  <c r="I182" i="130" l="1"/>
  <c r="I185" i="129" l="1"/>
  <c r="I156" i="128" l="1"/>
  <c r="I139" i="127" l="1"/>
  <c r="I133" i="126" l="1"/>
  <c r="I130" i="124" l="1"/>
  <c r="I134" i="122" l="1"/>
  <c r="O128" i="120" l="1"/>
  <c r="M128" i="120"/>
  <c r="L128" i="120"/>
  <c r="K128" i="120"/>
  <c r="J128" i="120"/>
  <c r="Q128" i="120" s="1"/>
  <c r="I128" i="120"/>
  <c r="A40" i="120"/>
  <c r="L134" i="122" l="1"/>
  <c r="O82" i="123" l="1"/>
  <c r="N82" i="123"/>
  <c r="M82" i="123"/>
  <c r="L82" i="123"/>
  <c r="K82" i="123"/>
  <c r="J82" i="123"/>
  <c r="Q82" i="123" s="1"/>
  <c r="I82" i="123"/>
  <c r="N20" i="122" l="1"/>
  <c r="O134" i="122" l="1"/>
  <c r="N134" i="122"/>
  <c r="M134" i="122"/>
  <c r="K134" i="122"/>
  <c r="J134" i="122"/>
  <c r="A39" i="122"/>
  <c r="Q134" i="122" l="1"/>
  <c r="O131" i="121"/>
  <c r="N131" i="121"/>
  <c r="M131" i="121"/>
  <c r="L131" i="121"/>
  <c r="K131" i="121"/>
  <c r="J131" i="121"/>
  <c r="I131" i="121"/>
  <c r="Q131" i="121" s="1"/>
  <c r="A39" i="121"/>
  <c r="D7" i="109" l="1"/>
  <c r="K111" i="118" l="1"/>
  <c r="J111" i="118"/>
  <c r="I112" i="119" l="1"/>
  <c r="O112" i="119" l="1"/>
  <c r="M112" i="119"/>
  <c r="L112" i="119"/>
  <c r="K112" i="119"/>
  <c r="J112" i="119"/>
  <c r="A40" i="119"/>
  <c r="Q112" i="119" l="1"/>
  <c r="I111" i="118"/>
  <c r="D16" i="113" l="1"/>
  <c r="E16" i="113"/>
  <c r="A40" i="118" l="1"/>
  <c r="O111" i="118" l="1"/>
  <c r="J105" i="117" l="1"/>
  <c r="M111" i="118" l="1"/>
  <c r="L111" i="118"/>
  <c r="Q111" i="118" s="1"/>
  <c r="O105" i="117" l="1"/>
  <c r="M105" i="117" l="1"/>
  <c r="L105" i="117"/>
  <c r="K105" i="117"/>
  <c r="Q105" i="117" l="1"/>
  <c r="J96" i="116"/>
  <c r="O79" i="114" l="1"/>
  <c r="M79" i="114"/>
  <c r="L79" i="114"/>
  <c r="K79" i="114"/>
  <c r="O96" i="116" l="1"/>
  <c r="M96" i="116"/>
  <c r="L96" i="116"/>
  <c r="K96" i="116"/>
  <c r="J79" i="114"/>
  <c r="Q96" i="116" l="1"/>
  <c r="O76" i="111" l="1"/>
  <c r="K76" i="111"/>
  <c r="Q79" i="114" l="1"/>
  <c r="C16" i="113"/>
  <c r="M76" i="111" l="1"/>
  <c r="L76" i="111"/>
  <c r="M70" i="110" l="1"/>
  <c r="L70" i="110"/>
  <c r="O70" i="110" l="1"/>
  <c r="K70" i="110"/>
  <c r="J70" i="110"/>
  <c r="Q70" i="110" l="1"/>
  <c r="I77" i="101"/>
  <c r="H50" i="98" l="1"/>
  <c r="E78" i="6" l="1"/>
  <c r="B17" i="105" l="1"/>
  <c r="N77" i="103" l="1"/>
  <c r="M77" i="103"/>
  <c r="L77" i="103"/>
  <c r="K77" i="103"/>
  <c r="J77" i="103"/>
  <c r="I77" i="103"/>
  <c r="H77" i="103"/>
  <c r="P77" i="103" l="1"/>
  <c r="O77" i="101" l="1"/>
  <c r="L77" i="101"/>
  <c r="K77" i="101"/>
  <c r="J77" i="101"/>
  <c r="N77" i="101" l="1"/>
  <c r="M77" i="101" l="1"/>
  <c r="Q77" i="101" s="1"/>
  <c r="G8" i="97" l="1"/>
  <c r="F7" i="4" l="1"/>
</calcChain>
</file>

<file path=xl/sharedStrings.xml><?xml version="1.0" encoding="utf-8"?>
<sst xmlns="http://schemas.openxmlformats.org/spreadsheetml/2006/main" count="11926" uniqueCount="1016">
  <si>
    <t>DATE</t>
  </si>
  <si>
    <t>CUSTOMERS NAME</t>
  </si>
  <si>
    <t>TERMS</t>
  </si>
  <si>
    <t>CI NO.</t>
  </si>
  <si>
    <t>DR NO.</t>
  </si>
  <si>
    <t>ACCNTS REC'BLE</t>
  </si>
  <si>
    <t>REMARKS</t>
  </si>
  <si>
    <t>GRAND TOTAL</t>
  </si>
  <si>
    <t>METRO DAVAO SUPREME PUMPS INDUSTRIES, INC.</t>
  </si>
  <si>
    <t>#406 DIAMOND ST., SAN JUAN SUBD., PANACAN, DAVAO CITY</t>
  </si>
  <si>
    <t>TIN#:453-813-365-000</t>
  </si>
  <si>
    <t>AMOUNT</t>
  </si>
  <si>
    <t>CV#</t>
  </si>
  <si>
    <t>ENTITY</t>
  </si>
  <si>
    <t>DESCRIPTION</t>
  </si>
  <si>
    <t>FORM OF PAYMENT</t>
  </si>
  <si>
    <t>CHECK NUMBER</t>
  </si>
  <si>
    <t>ASUNCION WATER DISTRICT</t>
  </si>
  <si>
    <t>CLIENT</t>
  </si>
  <si>
    <t>TRXN AMOUNT</t>
  </si>
  <si>
    <t>PERCENT</t>
  </si>
  <si>
    <t>METRO DAVAO SUPREME PUMPS INDUSTRIES INC.</t>
  </si>
  <si>
    <t>BAL</t>
  </si>
  <si>
    <t>TULING, FORTUNATO</t>
  </si>
  <si>
    <t>METRO COTABATO WATER DISTRICT</t>
  </si>
  <si>
    <t>RETENTION SUMMARY</t>
  </si>
  <si>
    <t>DATE OF DELIVERY</t>
  </si>
  <si>
    <t>0534</t>
  </si>
  <si>
    <t>JCE-D8 ENTERPRISES/ZTECH IRRIGATION</t>
  </si>
  <si>
    <t>0575</t>
  </si>
  <si>
    <t>0637</t>
  </si>
  <si>
    <t>0675</t>
  </si>
  <si>
    <t>TOTAL</t>
  </si>
  <si>
    <t>11/4..NGSTORYA CLA SIR ART, MGPARTIAL CYA NEXT WEEKTHEN ANG REMAINING KAY ISYUHAN UG PDC; 2/17..GI PROCESS NA ANG PAYMENT ANI PER TULING, BALIKAN PA NI NIYA</t>
  </si>
  <si>
    <t>CLA JOHNFORD NGDALA; 4/1..FAXED SOA TO 287 1283 AS ADVISED BY ALWYN, HE WILL 4WARD TO SIR JULES, CONFIRMED RECEIPT WITH LORIE; 4/4..NKALIMTAN PARECEIVE NI JOHNFORD - CONFIRMED W/ SIR TULING, RECEIVED NIYA ANG PIPE, WALA NARECEIVED KY GABII NA KAAYO; 4/18..PER SIR JULES, DILI PA SIYA MKABILLING SA CUSTOMER KNG DILI JUD MAHUMAN TANAN, ISTORYAHON LNG NIYA SIR ART REG SA BAL KY MGBAYAD SIYA KNG MAHUMAN NA JUD ANG PROJECT..INFORMED AID, ADV TO CALL TULING FOR THE STATUS..NAGA LOWER CLA KARON UG CASING, LAST NLNG NILA NI NGA TRABAHO TAPOS MAHUMAN NA DAUN, MG ADVISE LNG SI TULING AFTER - INFORMED AID, MG PUMP TEST PA NA AFTER; 5/18..sent full soa to alwynantonio@gmail.com..im to 4ward to sir jules - ok w/ him; 5/26..INFORMED AID AMOUNT SHOULD BE REDUCED TO 795,819.95 - BASED ON ACTUAL DRILLING 180FEET (54.87M INSTEAD OF 75M) PER JULES..AID CHECKED SOA, OK WITH HIM; 5/26..INFORMED SIR JULES, REVISED SOA SENT TO jules.espina@gmail com - icheck niya; 10/19..RECD TXT FR SIR JULES, NGSTORYA NA DAW SILA AID ANI..INFORMED AID, WALA PA DAW NABAYARAN ANI SA CUSTOMER KAY ANG CHECK GI ISSUE WALA PAY PONDO; 12/28..PER JULES, WALA PA JUD CILA NBAYARAN, KDTNG CHECK GI ISSUE 200K PLUS NATALBOG-CLOSED ACCT. NGSTORYA NA SILA SIR ART ANI, NGSAAD TONG MUSLIM ANG IYANG KA TRANSACT, NEXT YEAR NA MGBAYAD - INFORMED AID, CGE LANG DW BASTA MGPURCHASE GHAPON SA ATOA; 2/22..PER JULES, WALA JUD DAW NI CLARO MABAYRAN SA MUSLIM, WALA NAGAMIT ANG DEEPWELL, INGNON NIYA AID NGA ADTOAN NILA ANG AREA - INFORMED AID OF THE TELECON (NO REPLY)</t>
  </si>
  <si>
    <t>ITEMS PICKED UP BY FORTS TULING ON 04-08-2017</t>
  </si>
  <si>
    <t>TADECO</t>
  </si>
  <si>
    <t>LAPANDAY FOODS CORP.</t>
  </si>
  <si>
    <t>CI 0534 SENT THRU LBC ON 03-24-2017 W/ LETTER OF RQST - PARTIAL</t>
  </si>
  <si>
    <t>1254/1322</t>
  </si>
  <si>
    <t>25HP CONTROL PANEL BOARD - SERVICE UNIT FOR MAITOM</t>
  </si>
  <si>
    <t>DR 143 RECD BY EDMAR GARZO ON 8/30/17 PER IAN (GIHATAGAN CLA UG PHOTOCOPY PER IAN)</t>
  </si>
  <si>
    <t>RIEZL LANDCARE &amp; CONST</t>
  </si>
  <si>
    <t>IGACOS WD</t>
  </si>
  <si>
    <t>MAGUINDANAO PROJECT</t>
  </si>
  <si>
    <t>DR 1987 RECD ON 5/8/18 - NO PRINTED NAME (CILOY NGDELIVER); DR2067 RECD BY JIEZL ON 6/6/18; DR 2094 RECD BY MARC RAMOS; DR2108 DEL BY PHLIP - RECD BY MARC RAMOS 6/26</t>
  </si>
  <si>
    <t>DR 2209 RECD BY TYRON MAPAA ON 8/7</t>
  </si>
  <si>
    <t>.</t>
  </si>
  <si>
    <t>CAÑUSA, MENDRADO</t>
  </si>
  <si>
    <t>DR2204 RECD BY JOHN PAUL ESCUÑA ON 9/14/18</t>
  </si>
  <si>
    <t>DR 2265 GDALA NI FRANCIS PER JOMAR - recd bymarc ramos on 9/11/18</t>
  </si>
  <si>
    <t>RELY CONSTRUCTION &amp; SUPPLY</t>
  </si>
  <si>
    <t>DR 2427 RECD BY TYRON KIM MAPAA ON 11/29/18</t>
  </si>
  <si>
    <t>DEL BY IAN - RECD BY NOEL ABOYLO ON 4/23</t>
  </si>
  <si>
    <t>DR 2836 RECD BY JULIUS ALONZO ON 5/114/19</t>
  </si>
  <si>
    <t>DR 2896 DEL BY COL - RECD BY JL LUMBA 6/13</t>
  </si>
  <si>
    <t>LAPANDAY AGRICULTURAL &amp; DEVT CORP</t>
  </si>
  <si>
    <t>DR 2987 DEL BY PHILP - RECD BY AF URIARTE 8/1</t>
  </si>
  <si>
    <t>BS/BI</t>
  </si>
  <si>
    <t>ALSONS DEVT &amp; INVESTMENT CORP</t>
  </si>
  <si>
    <t>DR 3226 RECD BY J. MARABILES 12/17 - DEL BY JOMAR</t>
  </si>
  <si>
    <t>SAN JOSE (DINAGAT ISLAND) WD</t>
  </si>
  <si>
    <t>ALSONS DEVT &amp; INVESTMENT CORP (PROJECT AMT PHP 12,641,348.21)</t>
  </si>
  <si>
    <t>ADSE ENTERPRISES</t>
  </si>
  <si>
    <t xml:space="preserve"> </t>
  </si>
  <si>
    <t>AGEING OF ACCOUNTS - WITH ISSUES</t>
  </si>
  <si>
    <t>WRITE OFF ACCOUNTS</t>
  </si>
  <si>
    <t>BAL - DILI NA MOBAYAD SI JULES ESPINA</t>
  </si>
  <si>
    <t xml:space="preserve">3 UNITS MCKARLEN VFD 10HP - SERVICE UNIT </t>
  </si>
  <si>
    <t>CURRENT</t>
  </si>
  <si>
    <t>30 DAYS</t>
  </si>
  <si>
    <t>60 DAYS</t>
  </si>
  <si>
    <t>90 DAYS</t>
  </si>
  <si>
    <t>150 DAYS</t>
  </si>
  <si>
    <t>160 OVER</t>
  </si>
  <si>
    <t>120 DAYS</t>
  </si>
  <si>
    <t>BI</t>
  </si>
  <si>
    <t>3740/3805/3890</t>
  </si>
  <si>
    <t>ROLAN GASANG</t>
  </si>
  <si>
    <t>SAN JOSE DINAGAT ISLAND - CR 0673</t>
  </si>
  <si>
    <t>SAN JOSE DINAGAT ISLAND - CR 0674</t>
  </si>
  <si>
    <t>ALSONS DEVT &amp; INVESTMENT CORP (PROJECT AMT PHP 8,410,849.93) - OR 1043</t>
  </si>
  <si>
    <t>CLIENT'S NAME</t>
  </si>
  <si>
    <t>C/O RELY (NO PO)</t>
  </si>
  <si>
    <t>ALSONS DEVT &amp; INVESTMENT CORP (PROJECT AMT PHP 12,641,348.21) - OR 1109</t>
  </si>
  <si>
    <t>DR 4175 AT OFFICE</t>
  </si>
  <si>
    <t>CITY GOVERNMENT OF BAGUIO</t>
  </si>
  <si>
    <t>CITY GOVERNMENT OF BAGUIO - BI 0663</t>
  </si>
  <si>
    <t>EVERGOOD PLASTIC INDUSTRY INC.</t>
  </si>
  <si>
    <t>AGENT</t>
  </si>
  <si>
    <t>JAA</t>
  </si>
  <si>
    <t>COL</t>
  </si>
  <si>
    <t>AID</t>
  </si>
  <si>
    <t>BP WATERWORKS INC - MINTAL</t>
  </si>
  <si>
    <t>KEVIN</t>
  </si>
  <si>
    <t>NO PO - FOOT VALVE STRAINER</t>
  </si>
  <si>
    <t>NO PO - 2 SETS SPLICING KIT W/ LABOR</t>
  </si>
  <si>
    <t>NO PO - 7.5HP VFD CONTROLLER</t>
  </si>
  <si>
    <t xml:space="preserve">GAI </t>
  </si>
  <si>
    <t>NO PO - TRXN W/ COL &amp; ENGR. MAMADA (REPAIRED VFD'S)</t>
  </si>
  <si>
    <t>NO PO - TRXN W/ COL &amp; ENGR. TYRONE (BLOWER FAN/FILTER/C BREAKER)</t>
  </si>
  <si>
    <t>NO PO- COUPLING/BUSHING/ADAPTOR/EMT COUPLING/TW WIRE</t>
  </si>
  <si>
    <t>3362-63/3611</t>
  </si>
  <si>
    <t>ALSONS DEVT CORP - OR 1130 (19M PLUS TRXN)</t>
  </si>
  <si>
    <t>BI NO.</t>
  </si>
  <si>
    <t>BMC</t>
  </si>
  <si>
    <t>DR 4550 RECD BY CABUGUAS</t>
  </si>
  <si>
    <t>BRIMA CONSTRUCTION</t>
  </si>
  <si>
    <t>RTM BUILDERS</t>
  </si>
  <si>
    <t>MACATOL, CECILIO</t>
  </si>
  <si>
    <t>BOBONGON RUWASA</t>
  </si>
  <si>
    <t>4705-06</t>
  </si>
  <si>
    <t>DR 4705-06 RECD W/O PRINTED NAME</t>
  </si>
  <si>
    <t xml:space="preserve">                  </t>
  </si>
  <si>
    <t>NATIONAL POWER CORP - CI 1898</t>
  </si>
  <si>
    <t>MANOLO FORTICH WD</t>
  </si>
  <si>
    <t>DEC 2021</t>
  </si>
  <si>
    <t>AMADEO GUY GONZALES</t>
  </si>
  <si>
    <t>NONE</t>
  </si>
  <si>
    <t>BAL - P499,516.60 CONTRACT</t>
  </si>
  <si>
    <t>4597/4817</t>
  </si>
  <si>
    <t>DR 4817 RECD BY JERWIN YEE PER COL 12/13 (NO SIGNATURE)</t>
  </si>
  <si>
    <t>LAS NIEVES WD</t>
  </si>
  <si>
    <t>DR 4810 RECD BY JERWIN YEE</t>
  </si>
  <si>
    <t>DR 4811 RECD BY JERWIN YEE</t>
  </si>
  <si>
    <t>KHAR CONSTRUCTION</t>
  </si>
  <si>
    <t>NO SIGNATURE ON DR - DEL BY JOMAR</t>
  </si>
  <si>
    <t>PAGADIAN CITY WD - CI 1987</t>
  </si>
  <si>
    <t>11/2…sent letter of request to gilbert; 2/15…IFFUP NI GILBERT</t>
  </si>
  <si>
    <t>0734</t>
  </si>
  <si>
    <t>BI 0734 RECD BY GUARD 2/21 PER MICHAEL, DILI KLARO ANG NAME PERO ENDORSED JOY TOLENTINO</t>
  </si>
  <si>
    <t>4905/4910/4919-20/4939</t>
  </si>
  <si>
    <t>4714/4731/4737</t>
  </si>
  <si>
    <t>DR 4714 RECD BY SIEGFRED/DR 4731; 4737 RECD BY MYSTERY JOHN PISCOL/CI 2019 RECD BY SIEGFRED</t>
  </si>
  <si>
    <t>DR 4905 RECD BY EJCR/DR 4910 RECD W/O PRINTED NAME; DR 4919-20 W/ JOYJOY - RECD BY EJCR; DR 4939 W/ JOY 3/7 - RECD BY EJCR</t>
  </si>
  <si>
    <t>0736</t>
  </si>
  <si>
    <t>AYUBAN, ROLANDO</t>
  </si>
  <si>
    <t>PAGADIAN CITY WD - CI 1986</t>
  </si>
  <si>
    <t>DR W/ MARLON N - RECD BY ELMER BALUARTE 3/20</t>
  </si>
  <si>
    <t>DR 4953 RECD BY ELMER BALUARTE 3/20/22</t>
  </si>
  <si>
    <t xml:space="preserve">   </t>
  </si>
  <si>
    <t>BAL  - LACKING INSTALLATION/TESTING/COMM</t>
  </si>
  <si>
    <t>CI 2062 RECD BY JOY TOLENTINO</t>
  </si>
  <si>
    <t>0743</t>
  </si>
  <si>
    <t>BI 0743 RECD BY JOY TOLENTINO</t>
  </si>
  <si>
    <t>LAPANDAY FOODS CORP</t>
  </si>
  <si>
    <t>ALSONS DEVT &amp; INV CORP - BI 0734</t>
  </si>
  <si>
    <t>ALSONS DEVT &amp; INV CORP - BI 0736</t>
  </si>
  <si>
    <t>02/15/2022</t>
  </si>
  <si>
    <t>FOR FILING OF CASE AS ADVISED BY AID</t>
  </si>
  <si>
    <t>RPR 1030 CORP</t>
  </si>
  <si>
    <t>5125/5144</t>
  </si>
  <si>
    <t>PERFORMANCE BOND</t>
  </si>
  <si>
    <t>EDSAL CONSTRUCTION</t>
  </si>
  <si>
    <t>PAGADIAN CITY WD - CI 2083</t>
  </si>
  <si>
    <t>CITY GOVERNMENT OF PANABO</t>
  </si>
  <si>
    <t>LEAD EXPORT &amp; AGRO DEVT CORP - BI 0744</t>
  </si>
  <si>
    <t>AUG 2022</t>
  </si>
  <si>
    <t>PANUNCIO, EFREN DAINIEL</t>
  </si>
  <si>
    <t>JEJORS CONST INC</t>
  </si>
  <si>
    <t>DR 5248 RECD BY SIEGFRD</t>
  </si>
  <si>
    <t>JOAN CONSTRUCTION - DMM MATI PROJECT</t>
  </si>
  <si>
    <t>BRGY. WATERFALL PANABO</t>
  </si>
  <si>
    <t>DR 5259 W/ AID; IFFUP NI GIO 10/17</t>
  </si>
  <si>
    <t>0755</t>
  </si>
  <si>
    <t>BI 0755 RECD BY LOU JAPSON</t>
  </si>
  <si>
    <t>0757</t>
  </si>
  <si>
    <t>DR 5098 W/ JAA 7/4…8/31…CONFIRMED W/ JAA, NAA PASA IYA ANG DR 5098 - WALAY SIGN ANG DR/BI 0757 RECD BY LOU JAPSON 10/21</t>
  </si>
  <si>
    <t>0758</t>
  </si>
  <si>
    <t>BI 0758 RECD BY LOU JAPSON</t>
  </si>
  <si>
    <t>5174/5271</t>
  </si>
  <si>
    <t>DR 5174 RECD BY/CI 2136; DR 5271 RECD BY JAYSON</t>
  </si>
  <si>
    <t>DR 4392 RECD BY EMWIN/DR 4395 RECD BY ROCHEL NACION; DR 4418 RECD BY RODEL NCION; DR 4428 RECD BY JOY TERANTE 5/20; DR 4441 - RECD BY EMWEN; DR 4655 &amp; DR 4657 W/ CARLO 9/10 - RECD BY LACIA; DR 4688 RECD BY RECHEL; DR 4726 RECD BY JOY; DR 4728 RECD BY CRIS YBANEZ; DR 4751 RECD BY EMWIN; DR 4887 BY R. NACION; DR 4947 W/ CARLO 3/12 - RECD BY RODEL NACION; DR 5041 RECD BY LILIBETH CERATE; DR 5068 NAA PA SA CLIENT PER CARLO 6/17 - RECD BY RODEL; DR 5090 W/ EMWEN 6/22; DR 5179 RECD - NAME NOT CLEAR; DR 5226 W/ CARLO/WILLY 9/24 - RECD BY JOY; DR 5274 RECD BY</t>
  </si>
  <si>
    <t>DR 5316 RECD BY SIEGFRED</t>
  </si>
  <si>
    <t>DR 5218 RECD BY SIEGFRED/CI 2162 RECD BY SIEGFRED</t>
  </si>
  <si>
    <t>AWAITING PRICE FR AID - REPAIRED DOSING PUMP C/O KEVIN</t>
  </si>
  <si>
    <t>AWAITING PRICE OF AID PER JAA - 1LOT 1HP PUMP/MOTOR/CABLE</t>
  </si>
  <si>
    <t>AWAITING PRICE OF AID PER JAA - 1UNIT DAI PUMP MODEL: 45GS50-10</t>
  </si>
  <si>
    <t>DEC 2022</t>
  </si>
  <si>
    <t>CI 2176 RECD BY NEVA 12/22</t>
  </si>
  <si>
    <t>JOAN CONST - BRGY. TAGPORE</t>
  </si>
  <si>
    <t>5052/5108/5358</t>
  </si>
  <si>
    <t>DR 5108 RECD BY YROG IROG; DR 5358 NAA SA OFFICE 1/12</t>
  </si>
  <si>
    <t>JOAN CONST - BRGY MALATIVAS PROJ</t>
  </si>
  <si>
    <t>ALSONS DEVT CORP - BI 0734</t>
  </si>
  <si>
    <t>DR 5407 RECD BY ERNESTO OBEAL</t>
  </si>
  <si>
    <t>ITEMS PICKED UP BY SIEGFRED</t>
  </si>
  <si>
    <t>DR 5434 RECD BY REY SACOTE?</t>
  </si>
  <si>
    <t>NOV 2022</t>
  </si>
  <si>
    <t>JOAN CONSTRUCTION (BRGY MANAY PROJ)</t>
  </si>
  <si>
    <t>2023</t>
  </si>
  <si>
    <t>DELA CERNA, TRICIA MAE</t>
  </si>
  <si>
    <t>11/2…sent letter of request to gilbert; 2/15…IFFUP NI GILBERT; 3/17/23..IFFUP NI GILBERT</t>
  </si>
  <si>
    <t>AWAITING CHECK REPLACEMENT</t>
  </si>
  <si>
    <t>2022</t>
  </si>
  <si>
    <t>NJG CONSTRUCTION, INC - BRGY. STA CRUZ</t>
  </si>
  <si>
    <t>JOAN CONSTRUCTION - BRGY. TAGPORE, PANABO CITY</t>
  </si>
  <si>
    <t>BAROBO WD - BI 0783</t>
  </si>
  <si>
    <t>LEAD EXPORT &amp; AGRO DEVT CORP - BI 0737</t>
  </si>
  <si>
    <t>CHECK DATED 11/15/2022 - STALE CHECK (PUMP PROBLEM)</t>
  </si>
  <si>
    <t xml:space="preserve">JOAN CONSTRUCTION - BRGY. MANAY </t>
  </si>
  <si>
    <t>JOAN CONSTRUCTION - BRGY. MALATIVAS</t>
  </si>
  <si>
    <t>NO PO</t>
  </si>
  <si>
    <t>JOAN CONSTRUCTION - BRGY. MAMALI</t>
  </si>
  <si>
    <t>JOAN CONSTRUCTION - BRGY. DAHICAN</t>
  </si>
  <si>
    <t>DAILO ARCHITECT</t>
  </si>
  <si>
    <t>DR 5568 W/ PHILIP</t>
  </si>
  <si>
    <t>LAPANDAY FOODS CORP - CI 0791</t>
  </si>
  <si>
    <t xml:space="preserve"> DEC 2022</t>
  </si>
  <si>
    <t>JOAN CONSTRUCTION - BRGY TAGPORE, PANABO CITY PROJ</t>
  </si>
  <si>
    <t>DR AT OFFICE - NO SIGNATURE</t>
  </si>
  <si>
    <t>JOAN CONSTRUCTION - BRGY. SAINZ</t>
  </si>
  <si>
    <t>JOAN CONSTRUCTION - BRGY. MATIAO</t>
  </si>
  <si>
    <t>NJG CONSTRUCTION INC - BRGY STA CRUZ</t>
  </si>
  <si>
    <t>NJG CONSTRUCTION INC - MARICULTURE PARK, BRGY BADAS</t>
  </si>
  <si>
    <t>LAPANDAY AGRI DEVT CORP - BI 0708/0738</t>
  </si>
  <si>
    <t>DAVAO CITY WD - CI 2239</t>
  </si>
  <si>
    <t>CITY GOVT OF ILIGAN</t>
  </si>
  <si>
    <t>SENT LETTER OF REQUEST TO EMAIL ADD OF SAN JOSE WATER &amp; REYMARK GRAVANZA 11/29/23</t>
  </si>
  <si>
    <t>SINDANGAN WD - BI 0815</t>
  </si>
  <si>
    <t>JOAN CONST - BRGY. MALATIVAS</t>
  </si>
  <si>
    <t>GILBERT</t>
  </si>
  <si>
    <t>BAROBO WD - BI 0820</t>
  </si>
  <si>
    <t>12/23/23…CONFIRMED W/ AID THRU FACE TO FACE MEETING @ PANABO NANYO, DILI NA MOBAYAD ANG CLIENT KAY NAGUBA ANG UNIT, ITABANG NALANG NIYA SA CLIENT…MARISEL</t>
  </si>
  <si>
    <t>HDPE PIPE/STRAIGHT COUPLER - NO AMT..FOR INCLUSION IN 3.5M TRXN PER AID</t>
  </si>
  <si>
    <t>POLOMOLOK WD - CI 2247-48</t>
  </si>
  <si>
    <t>POLOMOLOK WD - CI 2256</t>
  </si>
  <si>
    <t>1987/2067/2094/2108</t>
  </si>
  <si>
    <t>4392/4395</t>
  </si>
  <si>
    <t>TAGUM WD - CI 2263</t>
  </si>
  <si>
    <t>DAVAO BIOSKIN</t>
  </si>
  <si>
    <t>DR 5715 RECD BY PETER COSMOD</t>
  </si>
  <si>
    <t>DIPOLOG WD - CI 2268</t>
  </si>
  <si>
    <t>0825</t>
  </si>
  <si>
    <t>DR 5714 NAA SA CORK BOARD = DALAON NA PAGBALIK SA SUNOD PER PHILIP 2/2; 2/8…DR 5714 W/ JOMAR 2/8 - RECD BY EUSEBIO BERDOS 2/7; BI 0825 AT FOLDER 2/16</t>
  </si>
  <si>
    <t xml:space="preserve">NO PO </t>
  </si>
  <si>
    <t>DR 5647 RECD BY GERALD ELACO</t>
  </si>
  <si>
    <t>VALENCIA CITY WD</t>
  </si>
  <si>
    <t>0826</t>
  </si>
  <si>
    <t>BI 0826 W/ MICHAEL 2/21 - RECD BY NEVAH JANE VASQUEZ</t>
  </si>
  <si>
    <t>ALSONS DEVT &amp; INV CORP - OR 1265</t>
  </si>
  <si>
    <t>JEWM AGRO INDUSTRIAL CORP</t>
  </si>
  <si>
    <t>JOAN CONSTRUCTION - BRGY. MANAY, PANABO CITY</t>
  </si>
  <si>
    <t>NJG CONST - BRGY BADAS, MARICULTURE</t>
  </si>
  <si>
    <t>NJG CONST - BRGY DEL</t>
  </si>
  <si>
    <t>NJG CONST INC - BRGY DEL</t>
  </si>
  <si>
    <t>JOAN CONST - BRGY. MATIAO</t>
  </si>
  <si>
    <t>MANOLO FORTICH WD - CI 2270</t>
  </si>
  <si>
    <t>DR 5454 RECD BY SIEGFRED/DR 5760 RECD BY SIGFRED</t>
  </si>
  <si>
    <t>TAGUM WD - CI 2249</t>
  </si>
  <si>
    <t>MAGYANI, ANSELMO</t>
  </si>
  <si>
    <t>ITEM RECD BY MAGYANI ON 3/20 PER GILBERT</t>
  </si>
  <si>
    <t>PUMP TEST 25HP - ONGOING RECON W/ ARMEN</t>
  </si>
  <si>
    <t>DR 5171 W/ OPAO - GIPABALIK MSA OPIS PER AID KAY WALA PAY BUDGET; DR 5183 NAA SA OPIS - NKALIMTAN UG DALA; RECEIVED BY ERICJAN PLASABAS 10/18; NEW DR 5783 RECD BY DONNA VILLA OF CHO 4/12/24</t>
  </si>
  <si>
    <t>DR 5593 RECD BY ANALYN ENCARNACION; NEW DR 5782 RECD BY DONNA VILLA OF CHO ON 04-12-2024</t>
  </si>
  <si>
    <t>BAL TAX</t>
  </si>
  <si>
    <t>DR 5776 RECD BY JOVELEO DE JUCIA</t>
  </si>
  <si>
    <t>FOR BILLING</t>
  </si>
  <si>
    <t>5759-60/5786</t>
  </si>
  <si>
    <t>EBP</t>
  </si>
  <si>
    <t>0832</t>
  </si>
  <si>
    <t>0833</t>
  </si>
  <si>
    <t>5373</t>
  </si>
  <si>
    <t>5374</t>
  </si>
  <si>
    <t>DR 5373-74  RECD ON 1/30/23 - NAME NOT CLEAR/BI 0781 RECD BY RITCHEL 4/19/23 - CANCELLED/NEW BI 0789 RECD BY ARCHEL 5/31; NEW BI 0832 AT FOLDER</t>
  </si>
  <si>
    <t>DR 5373-74  RECD ON 1/30/23 - NAME NOT CLEAR/BI 0781 RECD BY RITCHEL 4/19/23 - CANCELLED/NEW BI 0789 RECD BY ARCHEL 5/31; NEW BI 0833 AT FOLDER</t>
  </si>
  <si>
    <t>DR 5641 RECD BY S. BAUTISTA</t>
  </si>
  <si>
    <t>DR 5799 RECD BY SALVADOR CABIL</t>
  </si>
  <si>
    <t>BID BOND</t>
  </si>
  <si>
    <t>ARMEN ELECTRO MECH SALES &amp; GEN MDSE</t>
  </si>
  <si>
    <t>POLOMOLOK WD</t>
  </si>
  <si>
    <t>THE KINGDOM OF JESUS CHRIST</t>
  </si>
  <si>
    <t>5623-24</t>
  </si>
  <si>
    <t>DR 5623-24 RECD BY JANE</t>
  </si>
  <si>
    <t>MANOLO FORTICH WD - CI 2269</t>
  </si>
  <si>
    <t>MUN OF PAETE - CI 2278</t>
  </si>
  <si>
    <t>DR 5460 RECD BY MARJHON PARTOLAZO 4/3/ BI 0794 RECD BY ARCHEL BUNYOGAN; NEW SI 000004 RECD BY ARCHEL BUNYOGAN 6/25</t>
  </si>
  <si>
    <t>SI 00005</t>
  </si>
  <si>
    <t>DR 5606 RECD BY DINDO NUENA /BI 0806 RECD BY ARCHEL BUNYOGAN 9/12; NEW SI 00005 RECD BY ARCHEL BUNYOGAN 6/25/24</t>
  </si>
  <si>
    <t>JAN 2024</t>
  </si>
  <si>
    <t>JOAN CONSTRUCTION - DPWH PROJECT</t>
  </si>
  <si>
    <t>MUNICIPALITY OF MALALAG</t>
  </si>
  <si>
    <t>ESP</t>
  </si>
  <si>
    <t>7/1…SENT LETTER OF RQST TO cksramoga@lapandaycom - atty. Kaye as advised by rodge; 7/19…SENT SOA TO armi@lapanday.com AS REQUESTED BY MS. RAHMA - ADVISD BY RAHMA, MG ISSUE UG INVOICE AFTER MABUHATAN UG EPARC SA ENGINEERING…TEXTED JANDELL - PAHIMOAN UG EPARC PARA MAKA ISSUE UG INVOICE</t>
  </si>
  <si>
    <t>POLOMOLOK WD - CI 2287</t>
  </si>
  <si>
    <t>MILESTONE</t>
  </si>
  <si>
    <t>DR 5832/CI 2292 RECD BY JERESHANO</t>
  </si>
  <si>
    <t>JOAN CONSTRUCTION (DVO LIGHT PROJ)</t>
  </si>
  <si>
    <t>CANIZARES, FELIX SR.</t>
  </si>
  <si>
    <t>DR 5848 PICKED UP BY FELIX SR</t>
  </si>
  <si>
    <t>5823/5845</t>
  </si>
  <si>
    <t>sent letter of rqst to email add 5/27/23; sent ffup thru email 8/9/23 - recd reply 8/9..iverify ang docs then iprocess ang payt; 8/2 uncontacted - all contact numbers…sent ffup thru email</t>
  </si>
  <si>
    <t xml:space="preserve">sent letter of rqst to email add 8/9/23 - acknowledged thru email 8/9; 8/2/24 uncontacted - all contact numbers…sent ffup thru email </t>
  </si>
  <si>
    <t>3/25…RELEASE AFTER 1YR PER JOYFE..sent letter of rqst to email add 5/27/23; sent ffup thru email 8/9/23 - recd reply, iverify ang docs then iprocess ang payt; 8/2/24…uncontacted - all contact numbers..sent ffup thru email</t>
  </si>
  <si>
    <t>DR/CI W/ JOVY &amp; NOVAL - RECD BY LORD LEONARDO</t>
  </si>
  <si>
    <t>5847/5851</t>
  </si>
  <si>
    <t>DR/CI RECD BY LORD LEONARDO</t>
  </si>
  <si>
    <t>LETTER OF RQST RECD BY ANGELINE FAJARDO 8/5/24</t>
  </si>
  <si>
    <t>SENT LETTER OF REQUEST TO EMAIL ADD OF SAN JOSE WATER &amp; REYMARK GRAVANZA 11/29/23; 5/28…spoke to reymark, sent again to email add, resigned si Erika. C vangie ang acting acctg, irelay nya ang message; 7/12..walay nakita si vangie nga letter, resent again to sa jose email as rqsted by vangie; 8/7...VANGIE REFERRED CALL TO REYMARK...PER REYMARK, ANG FILES SA PROJECT NAA SA COA GINA AUDIT PA, IFFUP LNG NIYA NEXT WEEK ANG MGA FILES PARA MA PROCESS</t>
  </si>
  <si>
    <t>BARANGAY MANUEL GUIANGA</t>
  </si>
  <si>
    <t>DR/CI RECD BY VANESSA AYOG</t>
  </si>
  <si>
    <t>CITY GOVERNMENT OF ILIGAN</t>
  </si>
  <si>
    <t>DR 5860 W/ OPAW - RECEIVED BY SALVADOR CABILI JR 8/9/24</t>
  </si>
  <si>
    <t>DR 5862 W/ BHOGS - RECD BY HERMAN CABAOBAO</t>
  </si>
  <si>
    <t>DR 5864 RECD BY SALVADOR CABILI 8/14</t>
  </si>
  <si>
    <t>DR/CI RECD ON 8/30/24 BUT NAME NOT CLEAR</t>
  </si>
  <si>
    <t>AWAITING PO &amp; BUDGET</t>
  </si>
  <si>
    <t>MUN OF MALALAG - CI 2293</t>
  </si>
  <si>
    <t>75HP PUMP &amp; MOTOR W/ CABLE - NO PO</t>
  </si>
  <si>
    <t xml:space="preserve">DR 5879 RECD BY SALVADOR CABILI </t>
  </si>
  <si>
    <t>20HP PUMP &amp; MOTOR - NO PO</t>
  </si>
  <si>
    <t>DR 5880 RECD BY SALVADOR CABILI</t>
  </si>
  <si>
    <t>MASTRA PUMP SP 8A-15 - NO PO</t>
  </si>
  <si>
    <t>DR 5881 RECD BY SALVADOR CABILI</t>
  </si>
  <si>
    <t>QUEZON BUKIDNON WD - BI 0824</t>
  </si>
  <si>
    <t>QUEZON BUKIDNON WD - BI 0819</t>
  </si>
  <si>
    <t>DR 5740 W/ NOVAL - RECD BY F.B. ISEK /CI 2315 W/ JUN A 9/9 - RECD BY FREDERICK ISEK</t>
  </si>
  <si>
    <t>DR/CI W/ JUN A - RECD BY FREDERICK ISEK</t>
  </si>
  <si>
    <t>FILINVEST LAND INC.</t>
  </si>
  <si>
    <t>000066</t>
  </si>
  <si>
    <t>BI RECD BY JHOMEL</t>
  </si>
  <si>
    <t>METRO ROXAS WD</t>
  </si>
  <si>
    <t>DR/CI RECD BY ALLAN</t>
  </si>
  <si>
    <t>BALANCE</t>
  </si>
  <si>
    <t xml:space="preserve">                                     </t>
  </si>
  <si>
    <t>AID WILL FOLLOW UP CLIENT</t>
  </si>
  <si>
    <t>MANOLO FORTICH WD - CI 2304</t>
  </si>
  <si>
    <t>5711-12</t>
  </si>
  <si>
    <t>DR 5711-12 RECD BY MACATOL</t>
  </si>
  <si>
    <t>SENT LETTER OF REQUEST TO EMAIL ADD OF SAN JOSE WATER &amp; REYMARK GRAVANZA 11/29/23; 10/10…per vangie, lahi napud ang incharge..wala pa nakarequest ug letter sa COA sa mga attachments, na submit sa COA ang docs, wala silay duplicate. Tawagan niya today ang COA, mg update ra sya</t>
  </si>
  <si>
    <t xml:space="preserve"> recd by kristy ebon on 3/5/24; LETTER OF RQST &amp; QUIT CLAIM RECD BY J.R. DIANO ON 10/17/24…0935 554 2922 - LITO HIMPAYAN OF GSFM, GIHATQAG NIYA ANG COPY SA REQ KAY JULBERT, IFFUP NYA KRN ANG CERT OF ACCEPTANCE &amp; CERT THAT ITEMS DELIVERED  FREE FR DEFECTS...MG FEEDBACK LNG SYA</t>
  </si>
  <si>
    <t>DR 5895 RECD BY SIEGFRED</t>
  </si>
  <si>
    <t>DR/CI RECD BY GILBERT</t>
  </si>
  <si>
    <t>PUMPS/MOTOR W/ ACC - NO AMOUNT YET</t>
  </si>
  <si>
    <t>GERZON, ROSELLER</t>
  </si>
  <si>
    <t>DR RECD BY GERZON</t>
  </si>
  <si>
    <t>5738/5804</t>
  </si>
  <si>
    <t>DR 5738 W/ TEAM NOVAL - RECD BY CENOIRI?/DR 5804 RECD BY GUDITO</t>
  </si>
  <si>
    <t>CARMEN WD</t>
  </si>
  <si>
    <t>DR 5967 RECD BY PRESLYN MABITASAN/CI 2362 RECD BY ARLYN 10/31</t>
  </si>
  <si>
    <t>DR 5966 RECD BY PRESLYN MABITASAN</t>
  </si>
  <si>
    <t>000072</t>
  </si>
  <si>
    <t>000073</t>
  </si>
  <si>
    <t>BI RECD BY JB BARTIQUIN 11/4</t>
  </si>
  <si>
    <t>5951-52/5916</t>
  </si>
  <si>
    <t>DR 5951-52 RECD BY MACATOL; DR 5916 RECD BY MACATOL PERO WALA NAPAPIRMAHAN NI RUBEN ANG DR 10/28</t>
  </si>
  <si>
    <t>5752/5917</t>
  </si>
  <si>
    <t>DR 5752 RECD BY ANDREA TAN/DR 5917 RECD 10/30 - NAME NOT CLEAR</t>
  </si>
  <si>
    <t>DR 5739 W/ TEAM NOVAL - GIRETURNED SA OFFICE KAY WALA NABUTANGAN NI TIZON UG STRAP 2/22/24; CI 2358 SENT VIA LBC 10/31/24</t>
  </si>
  <si>
    <t>DR 5918 RECD BY ARNOLD SARA</t>
  </si>
  <si>
    <t>DR 5823 RECD BY MEYJERIC RAMOS/DR 5845 RECD BY SIEGFRED LAVADOR; CI 2355 RECD BY LEOWELA 10/30</t>
  </si>
  <si>
    <t>DRS RECEIVED BY SIEGFRED/CI 2356 RECD BY LEOWELA 10/30</t>
  </si>
  <si>
    <t>DR 5587 RECD BY G. ELACO 8/20/CI 2357 RECD BY LEOWELA 10/30</t>
  </si>
  <si>
    <t>AGEING OF ACCOUNTS AS OF NOVEMBER 30, 2024</t>
  </si>
  <si>
    <t>FOR INSTALLATION SCHED</t>
  </si>
  <si>
    <t>DR 5920 RECD BY JULFA DARAMA 11/6</t>
  </si>
  <si>
    <t>DR 5921 RECD BY SL CABILI</t>
  </si>
  <si>
    <t>000074</t>
  </si>
  <si>
    <t>BI RECD BY JOMEL 11/11</t>
  </si>
  <si>
    <t>SANTOS LAND - CI 2329</t>
  </si>
  <si>
    <t>5911-13</t>
  </si>
  <si>
    <t>DON CARLOS WD</t>
  </si>
  <si>
    <t>AWAITING PO</t>
  </si>
  <si>
    <t>DR 5923 RECD BY JOMAR BIASON</t>
  </si>
  <si>
    <t>DR 5928 RECEIVED BY SIEGFRED</t>
  </si>
  <si>
    <t>5862/5931</t>
  </si>
  <si>
    <t>2326-28</t>
  </si>
  <si>
    <t>DR RECD BY HERMAN CABAOBAO 9/24; dr 5890 w/ amay 9/27/24 - RECD BY HERMAN CABAOBAO; DR 5893 RECD BY HERMAN CABAOBAO 10/10; DR 5898 RECD BY HERMAN CABAOBAO 10/18; DR 5911-13/CI2326-28 RECD BY HERMAN CABAOBAO 11/15</t>
  </si>
  <si>
    <t>DR 5922 WALA GI RECEIVED KAY NAAY PROBLEMA SA ITEM NGA GIDELIVER PER JAA; CI 2332 - SENT THRU LBC</t>
  </si>
  <si>
    <t>000075</t>
  </si>
  <si>
    <t>BI RECD BY JB BARTIQUIN</t>
  </si>
  <si>
    <t>JOAN CONSTRUCTION/BRGY SAINZ</t>
  </si>
  <si>
    <t>JOAN CONSTRUCTION BRGY.MATIAO</t>
  </si>
  <si>
    <t>5934/5935</t>
  </si>
  <si>
    <t>CI#2234/DR#5934-35 RECEIVED BY RODRIGO MENDOZA ON NOV 20,24</t>
  </si>
  <si>
    <t>DR# 5936 RECEIVED BY SIERFRED LAVADOR</t>
  </si>
  <si>
    <t>4915-17</t>
  </si>
  <si>
    <t>AGEING OF ACCOUNTS AS OF NOVEMBER 21, 2024</t>
  </si>
  <si>
    <t>COLLECTIBLES</t>
  </si>
  <si>
    <t>MATI PROJECTS UNDER JOAN CONSTRUCTION &amp; NJG CONSTRUCTION INC.</t>
  </si>
  <si>
    <t>C/O KEVIN PIOC</t>
  </si>
  <si>
    <t>NAME OF CUSTOMER</t>
  </si>
  <si>
    <t>JOAN CONSTRUCTION</t>
  </si>
  <si>
    <t>BRGY. DMM, MATI</t>
  </si>
  <si>
    <t>BRGY. MAMALI</t>
  </si>
  <si>
    <t>BRGY. DAHICAN</t>
  </si>
  <si>
    <t>BRGY. MATIAO, KAPAYAS</t>
  </si>
  <si>
    <t>NJG CONSTRUCTION INC</t>
  </si>
  <si>
    <t>BRGY. CENTRAL</t>
  </si>
  <si>
    <t>BRGY. BILAWAN II</t>
  </si>
  <si>
    <t>MARICULTURE PARK, BRGY. BADAS</t>
  </si>
  <si>
    <t>TAGAWISAN, BRGY. BADAS</t>
  </si>
  <si>
    <t>PREPARED BY:</t>
  </si>
  <si>
    <t>UNPAID RETENTION - PANABO PROJECTS</t>
  </si>
  <si>
    <t>BRGY. TAGPORE</t>
  </si>
  <si>
    <t>BRGY. MANAY</t>
  </si>
  <si>
    <t>BRGY. MALATIVAS</t>
  </si>
  <si>
    <t>BRGY. STA. CRUZ</t>
  </si>
  <si>
    <t>WALA PAY KURYENTE PER ENGR. SUMABAL</t>
  </si>
  <si>
    <t>DPWH</t>
  </si>
  <si>
    <t>JOAN CONSTRUCTION - DPWH (CONTRACT AMOUNT PHP 23,954,529.06)</t>
  </si>
  <si>
    <t>PARTIAL DEL PHP 35,840.00 OF CONTRACT AMT PHP 600,320.00 (W/ PP 100K)</t>
  </si>
  <si>
    <t>NAA PAY HUMANON NGA TRABAHO</t>
  </si>
  <si>
    <t>000076</t>
  </si>
  <si>
    <t>FOR FOLLOW THE BILLING INVOICE TO EMWEN</t>
  </si>
  <si>
    <t>000077</t>
  </si>
  <si>
    <t>FOLLOW UP EMWEN FOR BILLING INVOICE</t>
  </si>
  <si>
    <t>LETTER OF RQST RECD W/O PRINTED NAME 10/15/24; 11/11..GINA REVIEW PA PER JOMAR; 11/25…FOR MONITORING, IDEPOSIT NILA ANG PAYMENT SA METROBANK ACCT, GAVE BANK DETAILS</t>
  </si>
  <si>
    <t>11/15/23…LETTER OF RQST RECD WO PRINTED NAME; GINA REVIEW PA PER JOMAR OF COMMERCIAL DEPT; 11/25 - NG ADVISED SI GM NGA STRYAHON NLNG NIYA SI JUVEN ANI KAY WALA PAY BUDGET, ISABAY NLNG UG BAYAD KAY NAA MN TAY INCOMING PROJECT DIDTO…INFORMED JUVEN</t>
  </si>
  <si>
    <t>IGACOS WATER DISTRICT</t>
  </si>
  <si>
    <t>FOLLOWUP SIR JUVEN FOR DETAILS AND PO</t>
  </si>
  <si>
    <t>MAC BUILDERS CORP.</t>
  </si>
  <si>
    <t>NO DETAILS</t>
  </si>
  <si>
    <t>PHILLIPINE AIR FORCE</t>
  </si>
  <si>
    <t>5941-5943</t>
  </si>
  <si>
    <t>5944-5946</t>
  </si>
  <si>
    <t>5947-5949</t>
  </si>
  <si>
    <t>CECILIO MACATOL</t>
  </si>
  <si>
    <t>5951-5952</t>
  </si>
  <si>
    <t>NO PRICE</t>
  </si>
  <si>
    <t>AR#1445 PARTIAL PAYMENT OF 182,500 12/23/24</t>
  </si>
  <si>
    <t>NO DATE</t>
  </si>
  <si>
    <t>DR. DAVID PAHILAN</t>
  </si>
  <si>
    <t>WHITE AND YELLOW COPY DALA NILA SIR JOMAR,ANTOQUE UG MELCHOR</t>
  </si>
  <si>
    <t>000087</t>
  </si>
  <si>
    <t>000088</t>
  </si>
  <si>
    <t>000090</t>
  </si>
  <si>
    <t>AGEING OF ACCOUNTS AS OF JANUARY 31,2025</t>
  </si>
  <si>
    <t>FELIX CANIZARES</t>
  </si>
  <si>
    <t>LAPANDAY FOODS CORPORATION</t>
  </si>
  <si>
    <t>HANNA VIA CONSTRUCTION</t>
  </si>
  <si>
    <t>COL. RILLO</t>
  </si>
  <si>
    <t>NJG CONSTRUCTION</t>
  </si>
  <si>
    <t>EMP</t>
  </si>
  <si>
    <t>METRO ROXAS</t>
  </si>
  <si>
    <t>WHITE AND YELLOW COPY GIDALA NI SIR ANTOQUE AND INTSIK</t>
  </si>
  <si>
    <t>DAVID PAHILAN</t>
  </si>
  <si>
    <t>BEVERLY R. TAN</t>
  </si>
  <si>
    <t>CITY OF KORONADAL</t>
  </si>
  <si>
    <t>POLOMOLOK WATER DISTRICT</t>
  </si>
  <si>
    <t>1200/DAY</t>
  </si>
  <si>
    <t>PAID 02/12/25</t>
  </si>
  <si>
    <t>006003</t>
  </si>
  <si>
    <t>006005</t>
  </si>
  <si>
    <t>NJG CONST INC. TUGBOK</t>
  </si>
  <si>
    <t>006001</t>
  </si>
  <si>
    <t>CITY OF KORONADAL WD</t>
  </si>
  <si>
    <t>006002</t>
  </si>
  <si>
    <t>006006</t>
  </si>
  <si>
    <t>PETRINA CONSTRUCTION</t>
  </si>
  <si>
    <t>006007</t>
  </si>
  <si>
    <t>5951-5952-5916</t>
  </si>
  <si>
    <t>006008</t>
  </si>
  <si>
    <t>AGEING OF ACCOUNTS AS OF FEBRUARY 28,2025</t>
  </si>
  <si>
    <t>LGU MALALAG</t>
  </si>
  <si>
    <t>006009</t>
  </si>
  <si>
    <t>006010</t>
  </si>
  <si>
    <t>006011</t>
  </si>
  <si>
    <t>AGEING OF ACCOUNTS AS OF MARCH 31,2025</t>
  </si>
  <si>
    <t>ALSONS</t>
  </si>
  <si>
    <t>LAPANDAY</t>
  </si>
  <si>
    <t>1.9M</t>
  </si>
  <si>
    <t>IGACOS</t>
  </si>
  <si>
    <t>MACATOL</t>
  </si>
  <si>
    <t>NAAY DR NA NO PRICE</t>
  </si>
  <si>
    <t>ILIGAN</t>
  </si>
  <si>
    <t>MAC BUILDERS</t>
  </si>
  <si>
    <t>PAHILAN</t>
  </si>
  <si>
    <t>KORONADAL</t>
  </si>
  <si>
    <t>VALENCIA</t>
  </si>
  <si>
    <t>PETRINA</t>
  </si>
  <si>
    <t>006012</t>
  </si>
  <si>
    <t>DRA. VICENTACION SIMBULAN</t>
  </si>
  <si>
    <t>NJG CONSTRUCTION TORIL</t>
  </si>
  <si>
    <t>FELX CANIZARES</t>
  </si>
  <si>
    <t>006016</t>
  </si>
  <si>
    <t>JOMAR</t>
  </si>
  <si>
    <t>NJG CONTRUCTION TUGBOK</t>
  </si>
  <si>
    <t>BAL.</t>
  </si>
  <si>
    <t>847, 950.40</t>
  </si>
  <si>
    <t>LAPANDAY FOOD CORP.</t>
  </si>
  <si>
    <t>006017</t>
  </si>
  <si>
    <t>03/17/25</t>
  </si>
  <si>
    <t>GENERAL SANTOS WD</t>
  </si>
  <si>
    <t>006020</t>
  </si>
  <si>
    <t>BP WATERWORKS</t>
  </si>
  <si>
    <t xml:space="preserve">  </t>
  </si>
  <si>
    <t>LUSUPWA- SULOP</t>
  </si>
  <si>
    <t>006021</t>
  </si>
  <si>
    <t>MANOLO WD</t>
  </si>
  <si>
    <t>006018</t>
  </si>
  <si>
    <t>GINGOOG WD</t>
  </si>
  <si>
    <t>006022</t>
  </si>
  <si>
    <t>006023</t>
  </si>
  <si>
    <t>006024</t>
  </si>
  <si>
    <t>006026</t>
  </si>
  <si>
    <t>006027</t>
  </si>
  <si>
    <t>006028-29</t>
  </si>
  <si>
    <t>006030</t>
  </si>
  <si>
    <t>006031</t>
  </si>
  <si>
    <t>CANEZARES FELIX</t>
  </si>
  <si>
    <t>006019</t>
  </si>
  <si>
    <t>COLLECTION OFFICER</t>
  </si>
  <si>
    <t>006033</t>
  </si>
  <si>
    <t>send request letter for retention 04/24/25</t>
  </si>
  <si>
    <t>BRGY.MANUEL GUIANGA</t>
  </si>
  <si>
    <t>006036</t>
  </si>
  <si>
    <t>SAN JOSE DINAGAT</t>
  </si>
  <si>
    <t>006038</t>
  </si>
  <si>
    <t>006039</t>
  </si>
  <si>
    <t>BRGY NEW MALITBOG</t>
  </si>
  <si>
    <t>006040</t>
  </si>
  <si>
    <t>BRGY. KATIPUNAN</t>
  </si>
  <si>
    <t>006041</t>
  </si>
  <si>
    <t>006042</t>
  </si>
  <si>
    <t>006043</t>
  </si>
  <si>
    <t>006006 5999</t>
  </si>
  <si>
    <t>006045</t>
  </si>
  <si>
    <t>006048</t>
  </si>
  <si>
    <t xml:space="preserve">            </t>
  </si>
  <si>
    <t>006049</t>
  </si>
  <si>
    <t>AGEING OF ACCOUNTS AS OF MAY 31,2025</t>
  </si>
  <si>
    <t>006038/006050</t>
  </si>
  <si>
    <t>006054</t>
  </si>
  <si>
    <t>BRGY. MANUEL GUIANGA</t>
  </si>
  <si>
    <t>006053</t>
  </si>
  <si>
    <t>BRGY. MALITBOG</t>
  </si>
  <si>
    <t>006057</t>
  </si>
  <si>
    <t>GINGOOG WATER DISTRICT</t>
  </si>
  <si>
    <t>006059</t>
  </si>
  <si>
    <t>006058</t>
  </si>
  <si>
    <t>006061</t>
  </si>
  <si>
    <t xml:space="preserve">JOMAR </t>
  </si>
  <si>
    <t>NOEL LEBRIA</t>
  </si>
  <si>
    <t>006062</t>
  </si>
  <si>
    <t>RTC-KPVTC</t>
  </si>
  <si>
    <t>006064</t>
  </si>
  <si>
    <t>006066</t>
  </si>
  <si>
    <t>NO PRCE</t>
  </si>
  <si>
    <t>006067</t>
  </si>
  <si>
    <t>006068</t>
  </si>
  <si>
    <t>BMWAI BRGY. MATIAO</t>
  </si>
  <si>
    <t>006069</t>
  </si>
  <si>
    <t>006070</t>
  </si>
  <si>
    <t>006074</t>
  </si>
  <si>
    <t>CITY GOV. OF ILIGAN</t>
  </si>
  <si>
    <t xml:space="preserve">NJG CONSTRUCTION </t>
  </si>
  <si>
    <t>006076</t>
  </si>
  <si>
    <t>006081</t>
  </si>
  <si>
    <t>KINGDOM OF JESUS CHRIST</t>
  </si>
  <si>
    <t>006087</t>
  </si>
  <si>
    <t>006089</t>
  </si>
  <si>
    <t>006084-90-91</t>
  </si>
  <si>
    <t>PAYMENT</t>
  </si>
  <si>
    <t>MILESTONE ENVIRONMENT</t>
  </si>
  <si>
    <t>006092</t>
  </si>
  <si>
    <t>006094</t>
  </si>
  <si>
    <t xml:space="preserve">NO DATE </t>
  </si>
  <si>
    <t>006095</t>
  </si>
  <si>
    <t>006101</t>
  </si>
  <si>
    <t>NJG CONST.</t>
  </si>
  <si>
    <t>006106</t>
  </si>
  <si>
    <t>006107</t>
  </si>
  <si>
    <t>BRGY. BUENAVISTA</t>
  </si>
  <si>
    <t>006096</t>
  </si>
  <si>
    <t>006097</t>
  </si>
  <si>
    <t>006099</t>
  </si>
  <si>
    <t>006111</t>
  </si>
  <si>
    <t>0060112</t>
  </si>
  <si>
    <t>NATIONAL POWER CORP.</t>
  </si>
  <si>
    <t>006108</t>
  </si>
  <si>
    <t>006103</t>
  </si>
  <si>
    <t>0060113</t>
  </si>
  <si>
    <t>JOSE MARIA COLLEGE</t>
  </si>
  <si>
    <t>006115</t>
  </si>
  <si>
    <t>006114</t>
  </si>
  <si>
    <t>TAGUM WATER DISTRICT</t>
  </si>
  <si>
    <t>006116</t>
  </si>
  <si>
    <t>TANGUB CITY WD</t>
  </si>
  <si>
    <t>006117</t>
  </si>
  <si>
    <t>006118</t>
  </si>
  <si>
    <t>AGEING OF ACCOUNTS AS OF JUNE 31,2025</t>
  </si>
  <si>
    <t>006075</t>
  </si>
  <si>
    <t>006046</t>
  </si>
  <si>
    <t>CITY GOV OF ILIGAN</t>
  </si>
  <si>
    <t>006151</t>
  </si>
  <si>
    <t>006152</t>
  </si>
  <si>
    <t>006018/006153</t>
  </si>
  <si>
    <t>006121</t>
  </si>
  <si>
    <t>006126</t>
  </si>
  <si>
    <t>006095/'006127</t>
  </si>
  <si>
    <t>NORALA WATER DISTRICT</t>
  </si>
  <si>
    <t>006128</t>
  </si>
  <si>
    <t>006130</t>
  </si>
  <si>
    <t>GINGOOG CITY WD</t>
  </si>
  <si>
    <t>006132</t>
  </si>
  <si>
    <t>JGC CONSTRUCTION</t>
  </si>
  <si>
    <t>006133</t>
  </si>
  <si>
    <t xml:space="preserve"> METRO DAVAO SUPREME PUMPS INDUSTRIES, INC.</t>
  </si>
  <si>
    <t>5948/5949/5958</t>
  </si>
  <si>
    <t>006140</t>
  </si>
  <si>
    <t>006141</t>
  </si>
  <si>
    <t>006143</t>
  </si>
  <si>
    <t>006144</t>
  </si>
  <si>
    <t>006123/'006146</t>
  </si>
  <si>
    <t>006043/'006147</t>
  </si>
  <si>
    <t>006148</t>
  </si>
  <si>
    <t>GENERAL SANTOS CITY</t>
  </si>
  <si>
    <t>006149</t>
  </si>
  <si>
    <t>006150</t>
  </si>
  <si>
    <t>5999/006006</t>
  </si>
  <si>
    <t>006084/89-90-91</t>
  </si>
  <si>
    <t>006157</t>
  </si>
  <si>
    <t>006158</t>
  </si>
  <si>
    <t>CARMEN WATER DISTRICT</t>
  </si>
  <si>
    <t>006159</t>
  </si>
  <si>
    <t>bal.</t>
  </si>
  <si>
    <t>BARANGAY MANAY</t>
  </si>
  <si>
    <t>006160</t>
  </si>
  <si>
    <t>MEDICAL DOCTORS INC.</t>
  </si>
  <si>
    <t>006139</t>
  </si>
  <si>
    <t>006154</t>
  </si>
  <si>
    <t>006155</t>
  </si>
  <si>
    <t>006156</t>
  </si>
  <si>
    <t>006161</t>
  </si>
  <si>
    <t>006163</t>
  </si>
  <si>
    <t>006165</t>
  </si>
  <si>
    <t>CONTRACT AMOUNT</t>
  </si>
  <si>
    <t>COLLECTION</t>
  </si>
  <si>
    <t>OUTSTANDING COLLECTIBLE</t>
  </si>
  <si>
    <t>AGEING OF ACCOUNTS AS OF SEPT 30,,2025</t>
  </si>
  <si>
    <t>006171</t>
  </si>
  <si>
    <t>AGEING OF ACCOUNTS AS OF OCT 31, 2025</t>
  </si>
  <si>
    <t>AGEING OF ACCOUNTS AS OF DEC 31, 2024</t>
  </si>
  <si>
    <t>006169</t>
  </si>
  <si>
    <t>006173</t>
  </si>
  <si>
    <t>BARANGAY KASILAK</t>
  </si>
  <si>
    <t>006174</t>
  </si>
  <si>
    <t>006176</t>
  </si>
  <si>
    <t>006177</t>
  </si>
  <si>
    <t>006178</t>
  </si>
  <si>
    <t>006180</t>
  </si>
  <si>
    <t>SSS</t>
  </si>
  <si>
    <t>006181</t>
  </si>
  <si>
    <t>1022/25</t>
  </si>
  <si>
    <t>006184</t>
  </si>
  <si>
    <t>SI NO.</t>
  </si>
  <si>
    <t>ROLAND GASANG</t>
  </si>
  <si>
    <t>3740/2805/3890</t>
  </si>
  <si>
    <t>ALSONS DEVT. &amp; INVESTMENT CORP.</t>
  </si>
  <si>
    <t>ROLANDO AYUBAN</t>
  </si>
  <si>
    <t>JEJORS CONST.INC.</t>
  </si>
  <si>
    <t>RPR 1030 CORP.</t>
  </si>
  <si>
    <t>DAILO ARCHITECH</t>
  </si>
  <si>
    <t>00005</t>
  </si>
  <si>
    <t>ANSELMO MAGYANI</t>
  </si>
  <si>
    <t>5951/5952/5916</t>
  </si>
  <si>
    <t>COL. EPE RILLO</t>
  </si>
  <si>
    <t>NO ATE</t>
  </si>
  <si>
    <t>006043/006147</t>
  </si>
  <si>
    <t>GENERAL SANTOS CITY WD</t>
  </si>
  <si>
    <t>006095/006127</t>
  </si>
  <si>
    <t>BARANGAY BUENAVISTA</t>
  </si>
  <si>
    <t>GINGOOG CITY</t>
  </si>
  <si>
    <t>BARANGAY MALITBOG</t>
  </si>
  <si>
    <t>006123/006146</t>
  </si>
  <si>
    <t>PETRINA CONST.</t>
  </si>
  <si>
    <t>006168</t>
  </si>
  <si>
    <t>AGEING OF ACCOUNTS AS OF NOVEMBER 30, 2025</t>
  </si>
  <si>
    <t>MUNICIPALITY OF SULOP</t>
  </si>
  <si>
    <t>006187</t>
  </si>
  <si>
    <t>006171/006186</t>
  </si>
  <si>
    <t>006190</t>
  </si>
  <si>
    <t>DIPOLOG CITY WATER DISTRICT</t>
  </si>
  <si>
    <t>0345</t>
  </si>
  <si>
    <t>006192</t>
  </si>
  <si>
    <t>0342</t>
  </si>
  <si>
    <t>006193</t>
  </si>
  <si>
    <t>006204-05</t>
  </si>
  <si>
    <t>KAPALONG WATER DISTRICT</t>
  </si>
  <si>
    <t>006200</t>
  </si>
  <si>
    <t>ENGR.SANNY SANNY MACARAIC</t>
  </si>
  <si>
    <t>006198-006199</t>
  </si>
  <si>
    <t>ARSLIE MALIPERO</t>
  </si>
  <si>
    <t>006208</t>
  </si>
  <si>
    <t>006191/006209</t>
  </si>
  <si>
    <t>VALENCIA CITY WATER DISTRICT</t>
  </si>
  <si>
    <t>006210</t>
  </si>
  <si>
    <t>006211</t>
  </si>
  <si>
    <t>006213</t>
  </si>
  <si>
    <t>TAGUM CITY WATER DISTRICT</t>
  </si>
  <si>
    <t>006214</t>
  </si>
  <si>
    <t>006215</t>
  </si>
  <si>
    <t>C</t>
  </si>
  <si>
    <t>006216</t>
  </si>
  <si>
    <t>SOCIAL SECURITY SYSTEM</t>
  </si>
  <si>
    <t>006189</t>
  </si>
  <si>
    <t>AGEING OF ACCOUNTS AS OF DECEMBER 31 , 2025</t>
  </si>
  <si>
    <t>006220</t>
  </si>
  <si>
    <t>QUEZON BUKIDNON WATER DISTRICT</t>
  </si>
  <si>
    <t>006217</t>
  </si>
  <si>
    <t>006218</t>
  </si>
  <si>
    <t>006221</t>
  </si>
  <si>
    <t>006222</t>
  </si>
  <si>
    <t>006226</t>
  </si>
  <si>
    <t>1217/25</t>
  </si>
  <si>
    <t>006235</t>
  </si>
  <si>
    <t>006234</t>
  </si>
  <si>
    <t>006227</t>
  </si>
  <si>
    <t>006228</t>
  </si>
  <si>
    <t>006236</t>
  </si>
  <si>
    <t>ZARCEN WATER SYSTEM</t>
  </si>
  <si>
    <t>006237</t>
  </si>
  <si>
    <t>JLM ARCHITECTS</t>
  </si>
  <si>
    <t>006238</t>
  </si>
  <si>
    <t>HANNAH VIA CONST. INC.</t>
  </si>
  <si>
    <t>006239</t>
  </si>
  <si>
    <t>BARANAGAY MANAY</t>
  </si>
  <si>
    <t>006243</t>
  </si>
  <si>
    <t>006244</t>
  </si>
  <si>
    <t>006245</t>
  </si>
  <si>
    <t xml:space="preserve">                                                                                                                                                                                                                                     </t>
  </si>
  <si>
    <t>000020 MDTCI</t>
  </si>
  <si>
    <t>006250</t>
  </si>
  <si>
    <t>006252</t>
  </si>
  <si>
    <t>006253</t>
  </si>
  <si>
    <t>006254</t>
  </si>
  <si>
    <t>006255</t>
  </si>
  <si>
    <t>006256</t>
  </si>
  <si>
    <t>006257</t>
  </si>
  <si>
    <t>TANGUB CITY WATER DISTRICT</t>
  </si>
  <si>
    <t>006258</t>
  </si>
  <si>
    <t>0065-66</t>
  </si>
  <si>
    <t>0052</t>
  </si>
  <si>
    <t>0060</t>
  </si>
  <si>
    <t>0061</t>
  </si>
  <si>
    <t>0107-0110</t>
  </si>
  <si>
    <t>006259</t>
  </si>
  <si>
    <t>006260</t>
  </si>
  <si>
    <t>PO NO.</t>
  </si>
  <si>
    <t>25-11-379 BID</t>
  </si>
  <si>
    <t>BARANGAY SAN NICOLAS</t>
  </si>
  <si>
    <t>006265</t>
  </si>
  <si>
    <t>006266</t>
  </si>
  <si>
    <t>BP WTERWORKS INC.</t>
  </si>
  <si>
    <t>006261</t>
  </si>
  <si>
    <t>006268</t>
  </si>
  <si>
    <t>006263</t>
  </si>
  <si>
    <t>006262</t>
  </si>
  <si>
    <t>0068</t>
  </si>
  <si>
    <t>006286</t>
  </si>
  <si>
    <t>006294</t>
  </si>
  <si>
    <t>CANCEL DR AS PER SIR RANEL</t>
  </si>
  <si>
    <t>MAKATI MEDICAL CENTER</t>
  </si>
  <si>
    <t>0347</t>
  </si>
  <si>
    <t>006202</t>
  </si>
  <si>
    <t>0062</t>
  </si>
  <si>
    <t>006248</t>
  </si>
  <si>
    <t>006210-006253</t>
  </si>
  <si>
    <t>SITIO GILUN ELEMENTARY SCHOOL</t>
  </si>
  <si>
    <t>006270</t>
  </si>
  <si>
    <t>BIG 8 CORPORATE HOTEL</t>
  </si>
  <si>
    <t>006276</t>
  </si>
  <si>
    <t>MAYOR SAMAL</t>
  </si>
  <si>
    <t>006277</t>
  </si>
  <si>
    <t>MATI ICEPLANT</t>
  </si>
  <si>
    <t>006280</t>
  </si>
  <si>
    <t>006281</t>
  </si>
  <si>
    <t>006282</t>
  </si>
  <si>
    <t>006283</t>
  </si>
  <si>
    <t>NESTOR APLACA</t>
  </si>
  <si>
    <t>006285</t>
  </si>
  <si>
    <t>BARANGAY CONSOLACION</t>
  </si>
  <si>
    <t>006289</t>
  </si>
  <si>
    <t>006290</t>
  </si>
  <si>
    <t>1ST INFANTRY TABAK DIVISION</t>
  </si>
  <si>
    <t>006284</t>
  </si>
  <si>
    <t>TAMUGAN BAWASA</t>
  </si>
  <si>
    <t>006292</t>
  </si>
  <si>
    <t>006299</t>
  </si>
  <si>
    <t>006232</t>
  </si>
  <si>
    <t>006230</t>
  </si>
  <si>
    <t>GERZON ROSELLER</t>
  </si>
  <si>
    <t>006293</t>
  </si>
  <si>
    <t>006296</t>
  </si>
  <si>
    <t>BARANGAY TIBUNGOL</t>
  </si>
  <si>
    <t>006301</t>
  </si>
  <si>
    <t>006303</t>
  </si>
  <si>
    <t>006304</t>
  </si>
  <si>
    <t>PROVINCIAL CAPITOL OF MARAWI CITY</t>
  </si>
  <si>
    <t>006307</t>
  </si>
  <si>
    <t>006310</t>
  </si>
  <si>
    <t>006312</t>
  </si>
  <si>
    <t>0067</t>
  </si>
  <si>
    <t>0069</t>
  </si>
  <si>
    <t>0071</t>
  </si>
  <si>
    <t>JASPER CHUA</t>
  </si>
  <si>
    <t>000133 VERSATEC</t>
  </si>
  <si>
    <t>LGU CARMEN DUJALI</t>
  </si>
  <si>
    <t>000132 VERSATEC</t>
  </si>
  <si>
    <t>0107-0111</t>
  </si>
  <si>
    <t>006313</t>
  </si>
  <si>
    <t>006314</t>
  </si>
  <si>
    <t xml:space="preserve">000020 </t>
  </si>
  <si>
    <t>AGEING OF ACCOUNTS AS OF MARCH 31,2026</t>
  </si>
  <si>
    <t>AGEING OF ACCOUNTS AS OF FEBRUARY 28, 2026</t>
  </si>
  <si>
    <t>AGEING OF ACCOUNTS AS OF JANUARY 31, 2026</t>
  </si>
  <si>
    <t>006315</t>
  </si>
  <si>
    <t>BARANGAY MADUAO</t>
  </si>
  <si>
    <t>006316</t>
  </si>
  <si>
    <t>006317</t>
  </si>
  <si>
    <t>JUNEL JAY FIGURACION</t>
  </si>
  <si>
    <t>006320</t>
  </si>
  <si>
    <t>006323</t>
  </si>
  <si>
    <t>006325</t>
  </si>
  <si>
    <t>ILIGAN ELECTRICAL SUPPLY</t>
  </si>
  <si>
    <t>006327</t>
  </si>
  <si>
    <t>006324</t>
  </si>
  <si>
    <t>0107-0112</t>
  </si>
  <si>
    <t>006212</t>
  </si>
  <si>
    <t>006328-29</t>
  </si>
  <si>
    <t>006331</t>
  </si>
  <si>
    <t>BARANAGAY TIBUNGOL</t>
  </si>
  <si>
    <t>000135 VT</t>
  </si>
  <si>
    <t>000142 VT</t>
  </si>
  <si>
    <t>000145</t>
  </si>
  <si>
    <t>000136 VT</t>
  </si>
  <si>
    <t>000139 VT</t>
  </si>
  <si>
    <t>BARANGAY TAGPORE</t>
  </si>
  <si>
    <t>000138 VT</t>
  </si>
  <si>
    <t>006333-35</t>
  </si>
  <si>
    <t>0082-85</t>
  </si>
  <si>
    <t>0080</t>
  </si>
  <si>
    <t>006337</t>
  </si>
  <si>
    <t>006338</t>
  </si>
  <si>
    <t>006339-6340</t>
  </si>
  <si>
    <t>006343</t>
  </si>
  <si>
    <t>006344</t>
  </si>
  <si>
    <t>ALLADO CONSTRUCTION</t>
  </si>
  <si>
    <t>000149 VT</t>
  </si>
  <si>
    <t>AGEING OF ACCOUNTS AS OF APRIL 30 , 2026</t>
  </si>
  <si>
    <t>006337/6290/6260/6338</t>
  </si>
  <si>
    <t>006352</t>
  </si>
  <si>
    <t>000022 MDTCI</t>
  </si>
  <si>
    <t>SIRAWAN FARMERS WATERWORKS</t>
  </si>
  <si>
    <t>000023 MDTCI</t>
  </si>
  <si>
    <t>006347</t>
  </si>
  <si>
    <t>CEBU LANDERS INC.</t>
  </si>
  <si>
    <t>BOGZ</t>
  </si>
  <si>
    <t>006345</t>
  </si>
  <si>
    <t>006348</t>
  </si>
  <si>
    <t>006346</t>
  </si>
  <si>
    <t>006351</t>
  </si>
  <si>
    <t>0095</t>
  </si>
  <si>
    <t>0100</t>
  </si>
  <si>
    <t>006354</t>
  </si>
  <si>
    <t>000154 V</t>
  </si>
  <si>
    <t>006355</t>
  </si>
  <si>
    <t>MUNICIPALITY OF BAROBO</t>
  </si>
  <si>
    <t>0051 NJG DR</t>
  </si>
  <si>
    <t>0001 NJG DR</t>
  </si>
  <si>
    <t>006360</t>
  </si>
  <si>
    <t>006362</t>
  </si>
  <si>
    <t>006363-6364</t>
  </si>
  <si>
    <t>006370</t>
  </si>
  <si>
    <t>006357-58</t>
  </si>
  <si>
    <t>RENOL ENG'G SERVICES &amp; CONST. SUPPLY</t>
  </si>
  <si>
    <t>006372</t>
  </si>
  <si>
    <t>006367</t>
  </si>
  <si>
    <t>MARSMAN ESTATE PLANTATION INC.</t>
  </si>
  <si>
    <t>006377</t>
  </si>
  <si>
    <t>0106</t>
  </si>
  <si>
    <t>0107</t>
  </si>
  <si>
    <t>006380</t>
  </si>
  <si>
    <t>AGEING OF ACCOUNTS AS OF MAY 31 , 2026</t>
  </si>
  <si>
    <t>AGEING OF ACCOUNTS AS OF JUNE 30 , 2026</t>
  </si>
  <si>
    <t>AMS ENVIRONMENTAL MANAGEMENT CORP.</t>
  </si>
  <si>
    <t>006365</t>
  </si>
  <si>
    <t>006366</t>
  </si>
  <si>
    <t>MILESTONE ENVIRONMENT AND INDUSTRIAL</t>
  </si>
  <si>
    <t>006374</t>
  </si>
  <si>
    <t>006379</t>
  </si>
  <si>
    <t>006337/6351/6290/6260/6338/6373/6384</t>
  </si>
  <si>
    <t>006381</t>
  </si>
  <si>
    <t>006382</t>
  </si>
  <si>
    <t>006386</t>
  </si>
  <si>
    <t>RENANTE AQUE</t>
  </si>
  <si>
    <t>006387</t>
  </si>
  <si>
    <t>PAID LB CHK# 0001674684/ SI#000168</t>
  </si>
  <si>
    <t>PAID LB CHK# 0001674685 SI# 000167</t>
  </si>
  <si>
    <t>PAID LB CHK# 0001674683 SI# 000166</t>
  </si>
  <si>
    <t>PAYMENT COLLECTED</t>
  </si>
  <si>
    <t>PHP 5,293,664.59</t>
  </si>
  <si>
    <t>DRD ELECTROTECH CORP.</t>
  </si>
  <si>
    <t>006388</t>
  </si>
  <si>
    <t>0109</t>
  </si>
  <si>
    <t>006337/6351/6290/6338/6373</t>
  </si>
  <si>
    <t>0113</t>
  </si>
  <si>
    <t>0110</t>
  </si>
  <si>
    <t>000171</t>
  </si>
  <si>
    <t>BAROBO PROJECT</t>
  </si>
  <si>
    <t>PAID ITEMS</t>
  </si>
  <si>
    <t>F</t>
  </si>
  <si>
    <t>0111</t>
  </si>
  <si>
    <t>006390</t>
  </si>
  <si>
    <t>006391</t>
  </si>
  <si>
    <t>006393</t>
  </si>
  <si>
    <t>BUNAWAN WATER DISTRICT</t>
  </si>
  <si>
    <t>PAID 6/26/26</t>
  </si>
  <si>
    <t>006397</t>
  </si>
  <si>
    <t>0114</t>
  </si>
  <si>
    <t>PAID 6/30/26</t>
  </si>
  <si>
    <t>PAID 06/30/26</t>
  </si>
  <si>
    <t>PP-1,617,154.69</t>
  </si>
  <si>
    <t>312,637.50 BAL.</t>
  </si>
  <si>
    <t>PAID 06/29/26</t>
  </si>
  <si>
    <t>000172 V</t>
  </si>
  <si>
    <t>006400</t>
  </si>
  <si>
    <t/>
  </si>
  <si>
    <t>000111 V</t>
  </si>
  <si>
    <t>CERMEN WATER DISTRICT</t>
  </si>
  <si>
    <t>000106 V</t>
  </si>
  <si>
    <t>006399</t>
  </si>
  <si>
    <t>PO#'007977</t>
  </si>
  <si>
    <t>PO#'007942</t>
  </si>
  <si>
    <t>006395</t>
  </si>
  <si>
    <t>0092</t>
  </si>
  <si>
    <t>PO#4100014537</t>
  </si>
  <si>
    <t>006398</t>
  </si>
  <si>
    <t>000174 V</t>
  </si>
  <si>
    <t>PAID 5/18/26</t>
  </si>
  <si>
    <t>PO#3325</t>
  </si>
  <si>
    <t>PO#3326</t>
  </si>
  <si>
    <t>BI#</t>
  </si>
  <si>
    <t>SI#</t>
  </si>
  <si>
    <t>CI#</t>
  </si>
  <si>
    <t>STA. LUCIA</t>
  </si>
  <si>
    <t>000153 V</t>
  </si>
  <si>
    <t>PAID 7/10/26</t>
  </si>
  <si>
    <t>0115</t>
  </si>
  <si>
    <t>006401</t>
  </si>
  <si>
    <t>AMOUNT PAID</t>
  </si>
  <si>
    <t>2,112,832.38 BAL.</t>
  </si>
  <si>
    <t>PAID 7/15/26</t>
  </si>
  <si>
    <t>006403</t>
  </si>
  <si>
    <t>PAID LB CHK#0001674700 DATED 7/2/26 PHP 497,749.82</t>
  </si>
  <si>
    <t>PAID 7/24/26</t>
  </si>
  <si>
    <t>000179 V</t>
  </si>
  <si>
    <t>PAID 7/25/26</t>
  </si>
  <si>
    <t>GLOBAL HARDWARE</t>
  </si>
  <si>
    <t>000180 V</t>
  </si>
  <si>
    <t>006337/6351/6290/6338/6373/6405</t>
  </si>
  <si>
    <t>006404</t>
  </si>
  <si>
    <t>006005/006407</t>
  </si>
  <si>
    <t>PAJE CONSTRUCTION</t>
  </si>
  <si>
    <t>006402</t>
  </si>
  <si>
    <t>BANK TRANSFER 50%/CASH 50%</t>
  </si>
  <si>
    <t>QUALITEST SOLUTIONS TECHNOLOGIES INC.</t>
  </si>
  <si>
    <t>000175 V</t>
  </si>
  <si>
    <t>PAID 7/9/26</t>
  </si>
  <si>
    <t>UPPER LICANAN</t>
  </si>
  <si>
    <t>000181 V</t>
  </si>
  <si>
    <t>AXON CONSTRUCTION INC.</t>
  </si>
  <si>
    <t>0118</t>
  </si>
  <si>
    <t>006410</t>
  </si>
  <si>
    <t xml:space="preserve"> PAID 6/26/26</t>
  </si>
  <si>
    <t>006411</t>
  </si>
  <si>
    <t>006413</t>
  </si>
  <si>
    <t>S</t>
  </si>
  <si>
    <t>PAID 7/28/26</t>
  </si>
  <si>
    <t>QUEZON BUKIDNON WD</t>
  </si>
  <si>
    <t>006412</t>
  </si>
  <si>
    <t>006005 CANCELLED/'006407</t>
  </si>
  <si>
    <t>DON CARLOS WATER DISTRICT</t>
  </si>
  <si>
    <t>006408</t>
  </si>
  <si>
    <t>006409</t>
  </si>
  <si>
    <t>AGEING OF ACCOUNTS AS OF JULY 31 , 2026</t>
  </si>
  <si>
    <t>AGEING OF ACCOUNTS AS OF AUGUST 31 , 2026</t>
  </si>
  <si>
    <t>1480176.42 bal.</t>
  </si>
  <si>
    <t xml:space="preserve">PAID </t>
  </si>
  <si>
    <t>PAID</t>
  </si>
  <si>
    <t>MALAYBALAY CITY WATER DISTRICT</t>
  </si>
  <si>
    <t>006415</t>
  </si>
  <si>
    <t>006414</t>
  </si>
  <si>
    <t>JAREX INDUSTRIAL SALES &amp; MARINE SERVICES INC.</t>
  </si>
  <si>
    <t>CR#</t>
  </si>
  <si>
    <t>0123</t>
  </si>
  <si>
    <t>006417</t>
  </si>
  <si>
    <t>PAID 8/18/26 TO SIR ART</t>
  </si>
  <si>
    <t>000185 V</t>
  </si>
  <si>
    <t>CWG EM</t>
  </si>
  <si>
    <t>AR#</t>
  </si>
  <si>
    <t>002717</t>
  </si>
  <si>
    <t>000183 V</t>
  </si>
  <si>
    <t>PAID 8/17/26 BANK TRANFER TO MB ACCT OF VERSATEC</t>
  </si>
  <si>
    <t>0126</t>
  </si>
  <si>
    <t>006419/6420</t>
  </si>
  <si>
    <t>8/15/26</t>
  </si>
  <si>
    <t>0125</t>
  </si>
  <si>
    <t>006424</t>
  </si>
  <si>
    <t>0128</t>
  </si>
  <si>
    <t>0129</t>
  </si>
  <si>
    <t>0124</t>
  </si>
  <si>
    <t>26-05-085</t>
  </si>
  <si>
    <t>006426</t>
  </si>
  <si>
    <t>PO#007941</t>
  </si>
  <si>
    <t>006428</t>
  </si>
  <si>
    <t>PO#007980</t>
  </si>
  <si>
    <t>006429</t>
  </si>
  <si>
    <t>PO#3025</t>
  </si>
  <si>
    <t>006430</t>
  </si>
  <si>
    <t>0127</t>
  </si>
  <si>
    <t>THE KINGDOM</t>
  </si>
  <si>
    <t>006421</t>
  </si>
  <si>
    <t>006422</t>
  </si>
  <si>
    <t>006423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</si>
</sst>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00_);_(* \(#,##0.00\);_(* &quot;-&quot;??_);_(@_)"/>
    <numFmt numFmtId="165" formatCode="_(* #,##0_);_(* \(#,##0\);_(* &quot;-&quot;??_);_(@_)"/>
    <numFmt numFmtId="166" formatCode="#,##0.00;[Red]#,##0.00"/>
    <numFmt numFmtId="167" formatCode="m/d/yy;@"/>
  </numFmts>
  <fonts count="130" x14ac:knownFonts="1">
    <font>
      <sz val="11"/>
      <color theme="1"/>
      <name val="Calibri"/>
      <family val="2"/>
      <scheme val="minor"/>
    </font>
    <font>
      <sz val="11"/>
      <color theme="1"/>
      <name val="Calibri"/>
      <family val="2"/>
      <scheme val="minor"/>
    </font>
    <font>
      <b/>
      <sz val="12"/>
      <color indexed="12"/>
      <name val="Bookman Old Style"/>
      <family val="1"/>
    </font>
    <font>
      <sz val="10"/>
      <color indexed="12"/>
      <name val="Bookman Old Style"/>
      <family val="1"/>
    </font>
    <font>
      <b/>
      <sz val="10"/>
      <color indexed="12"/>
      <name val="Bookman Old Style"/>
      <family val="1"/>
    </font>
    <font>
      <b/>
      <sz val="10"/>
      <color indexed="12"/>
      <name val="Arial"/>
      <family val="2"/>
    </font>
    <font>
      <sz val="10"/>
      <color indexed="12"/>
      <name val="Arial"/>
      <family val="2"/>
    </font>
    <font>
      <b/>
      <sz val="10"/>
      <color indexed="10"/>
      <name val="Arial"/>
      <family val="2"/>
    </font>
    <font>
      <b/>
      <sz val="8"/>
      <color indexed="12"/>
      <name val="Arial"/>
      <family val="2"/>
    </font>
    <font>
      <sz val="8"/>
      <name val="Arial"/>
      <family val="2"/>
    </font>
    <font>
      <sz val="10"/>
      <color rgb="FFFF0000"/>
      <name val="Arial"/>
      <family val="2"/>
    </font>
    <font>
      <sz val="10"/>
      <color rgb="FF0000CC"/>
      <name val="Arial"/>
      <family val="2"/>
    </font>
    <font>
      <sz val="11"/>
      <color rgb="FFFF0000"/>
      <name val="Calibri"/>
      <family val="2"/>
      <scheme val="minor"/>
    </font>
    <font>
      <b/>
      <sz val="11"/>
      <color theme="1"/>
      <name val="Calibri"/>
      <family val="2"/>
      <scheme val="minor"/>
    </font>
    <font>
      <sz val="9"/>
      <color rgb="FFFF0000"/>
      <name val="Calibri"/>
      <family val="2"/>
      <scheme val="minor"/>
    </font>
    <font>
      <sz val="11"/>
      <color rgb="FF0000CC"/>
      <name val="Calibri"/>
      <family val="2"/>
      <scheme val="minor"/>
    </font>
    <font>
      <sz val="11"/>
      <color rgb="FFC00000"/>
      <name val="Calibri"/>
      <family val="2"/>
      <scheme val="minor"/>
    </font>
    <font>
      <sz val="11"/>
      <name val="Calibri"/>
      <family val="2"/>
      <scheme val="minor"/>
    </font>
    <font>
      <sz val="11"/>
      <color rgb="FF0000CC"/>
      <name val="Arial"/>
      <family val="2"/>
    </font>
    <font>
      <sz val="11"/>
      <color indexed="12"/>
      <name val="Arial"/>
      <family val="2"/>
    </font>
    <font>
      <b/>
      <sz val="10"/>
      <color rgb="FF0000CC"/>
      <name val="Arial"/>
      <family val="2"/>
    </font>
    <font>
      <b/>
      <sz val="11"/>
      <color indexed="12"/>
      <name val="Arial"/>
      <family val="2"/>
    </font>
    <font>
      <b/>
      <sz val="11"/>
      <color rgb="FF0000CC"/>
      <name val="Arial"/>
      <family val="2"/>
    </font>
    <font>
      <sz val="11"/>
      <color rgb="FF0000CC"/>
      <name val="Bookman Old Style"/>
      <family val="1"/>
    </font>
    <font>
      <b/>
      <sz val="11"/>
      <color rgb="FF0000CC"/>
      <name val="Calibri"/>
      <family val="2"/>
      <scheme val="minor"/>
    </font>
    <font>
      <b/>
      <sz val="18"/>
      <color theme="1"/>
      <name val="Calibri"/>
      <family val="2"/>
      <scheme val="minor"/>
    </font>
    <font>
      <b/>
      <sz val="12"/>
      <name val="Arial"/>
      <family val="2"/>
    </font>
    <font>
      <b/>
      <sz val="12"/>
      <color theme="1"/>
      <name val="Calibri"/>
      <family val="2"/>
      <scheme val="minor"/>
    </font>
    <font>
      <sz val="11"/>
      <color rgb="FFFF0000"/>
      <name val="Arial"/>
      <family val="2"/>
    </font>
    <font>
      <sz val="11"/>
      <color indexed="12"/>
      <name val="Bookman Old Style"/>
      <family val="1"/>
    </font>
    <font>
      <b/>
      <sz val="11"/>
      <color indexed="12"/>
      <name val="Bookman Old Style"/>
      <family val="1"/>
    </font>
    <font>
      <b/>
      <sz val="11"/>
      <color indexed="10"/>
      <name val="Arial"/>
      <family val="2"/>
    </font>
    <font>
      <sz val="11"/>
      <color rgb="FF0000FF"/>
      <name val="Arial"/>
      <family val="2"/>
    </font>
    <font>
      <i/>
      <sz val="11"/>
      <color indexed="12"/>
      <name val="Arial"/>
      <family val="2"/>
    </font>
    <font>
      <sz val="10"/>
      <color theme="1"/>
      <name val="Calibri"/>
      <family val="2"/>
      <scheme val="minor"/>
    </font>
    <font>
      <sz val="11"/>
      <name val="Arial"/>
      <family val="2"/>
    </font>
    <font>
      <sz val="9.5"/>
      <color indexed="12"/>
      <name val="Arial"/>
      <family val="2"/>
    </font>
    <font>
      <sz val="9.5"/>
      <color rgb="FF0000CC"/>
      <name val="Arial"/>
      <family val="2"/>
    </font>
    <font>
      <sz val="11"/>
      <color rgb="FF3333FF"/>
      <name val="Calibri"/>
      <family val="2"/>
      <scheme val="minor"/>
    </font>
    <font>
      <sz val="8.5"/>
      <color rgb="FF0000CC"/>
      <name val="Arial"/>
      <family val="2"/>
    </font>
    <font>
      <sz val="11"/>
      <color rgb="FF3333FF"/>
      <name val="Arial"/>
      <family val="2"/>
    </font>
    <font>
      <sz val="12"/>
      <name val="Century Gothic"/>
      <family val="2"/>
    </font>
    <font>
      <b/>
      <sz val="18"/>
      <name val="Century Gothic"/>
      <family val="2"/>
    </font>
    <font>
      <b/>
      <sz val="12"/>
      <name val="Century Gothic"/>
      <family val="2"/>
    </font>
    <font>
      <b/>
      <sz val="10"/>
      <name val="Century Gothic"/>
      <family val="2"/>
    </font>
    <font>
      <b/>
      <sz val="11"/>
      <name val="Century Gothic"/>
      <family val="2"/>
    </font>
    <font>
      <b/>
      <u/>
      <sz val="14"/>
      <color rgb="FFFF0000"/>
      <name val="Century Gothic"/>
      <family val="2"/>
    </font>
    <font>
      <sz val="11"/>
      <color rgb="FFFF0000"/>
      <name val="Century Gothic"/>
      <family val="2"/>
    </font>
    <font>
      <b/>
      <sz val="11"/>
      <color rgb="FFFF0000"/>
      <name val="Century Gothic"/>
      <family val="2"/>
    </font>
    <font>
      <b/>
      <sz val="12"/>
      <color theme="1"/>
      <name val="Century Gothic"/>
      <family val="2"/>
    </font>
    <font>
      <b/>
      <sz val="15"/>
      <color theme="1"/>
      <name val="Calibri"/>
      <family val="2"/>
      <scheme val="minor"/>
    </font>
    <font>
      <b/>
      <sz val="12"/>
      <color rgb="FFFF0000"/>
      <name val="Century Gothic"/>
      <family val="2"/>
    </font>
    <font>
      <sz val="11"/>
      <color theme="1"/>
      <name val="Century Gothic"/>
      <family val="2"/>
    </font>
    <font>
      <b/>
      <sz val="11"/>
      <color theme="1"/>
      <name val="Century Gothic"/>
      <family val="2"/>
    </font>
    <font>
      <b/>
      <sz val="11"/>
      <color rgb="FF0000CC"/>
      <name val="Bookman Old Style"/>
      <family val="1"/>
    </font>
    <font>
      <b/>
      <sz val="16"/>
      <color theme="1"/>
      <name val="Calibri"/>
      <family val="2"/>
      <scheme val="minor"/>
    </font>
    <font>
      <sz val="16"/>
      <color theme="1"/>
      <name val="Calibri"/>
      <family val="2"/>
      <scheme val="minor"/>
    </font>
    <font>
      <sz val="16"/>
      <name val="Calibri"/>
      <family val="2"/>
      <scheme val="minor"/>
    </font>
    <font>
      <sz val="16"/>
      <color rgb="FFFF0000"/>
      <name val="Calibri"/>
      <family val="2"/>
      <scheme val="minor"/>
    </font>
    <font>
      <sz val="16"/>
      <name val="Arial"/>
      <family val="2"/>
    </font>
    <font>
      <sz val="11"/>
      <color theme="0"/>
      <name val="Calibri"/>
      <family val="2"/>
      <scheme val="minor"/>
    </font>
    <font>
      <sz val="11"/>
      <color rgb="FF006100"/>
      <name val="Calibri"/>
      <family val="2"/>
      <scheme val="minor"/>
    </font>
    <font>
      <sz val="11"/>
      <color rgb="FF3F3F76"/>
      <name val="Calibri"/>
      <family val="2"/>
      <scheme val="minor"/>
    </font>
    <font>
      <sz val="16"/>
      <color rgb="FF0000CC"/>
      <name val="Calibri"/>
      <family val="2"/>
      <scheme val="minor"/>
    </font>
    <font>
      <sz val="16"/>
      <color rgb="FF006100"/>
      <name val="Calibri"/>
      <family val="2"/>
      <scheme val="minor"/>
    </font>
    <font>
      <sz val="16"/>
      <color rgb="FF3F3F76"/>
      <name val="Calibri"/>
      <family val="2"/>
      <scheme val="minor"/>
    </font>
    <font>
      <b/>
      <sz val="16"/>
      <color indexed="12"/>
      <name val="Bookman Old Style"/>
      <family val="1"/>
    </font>
    <font>
      <sz val="16"/>
      <color rgb="FF0000CC"/>
      <name val="Bookman Old Style"/>
      <family val="1"/>
    </font>
    <font>
      <sz val="16"/>
      <color indexed="12"/>
      <name val="Bookman Old Style"/>
      <family val="1"/>
    </font>
    <font>
      <b/>
      <sz val="16"/>
      <color rgb="FF0000CC"/>
      <name val="Bookman Old Style"/>
      <family val="1"/>
    </font>
    <font>
      <b/>
      <sz val="16"/>
      <color indexed="12"/>
      <name val="Arial"/>
      <family val="2"/>
    </font>
    <font>
      <sz val="16"/>
      <color rgb="FF0000CC"/>
      <name val="Arial"/>
      <family val="2"/>
    </font>
    <font>
      <sz val="16"/>
      <color indexed="12"/>
      <name val="Arial"/>
      <family val="2"/>
    </font>
    <font>
      <b/>
      <sz val="16"/>
      <color rgb="FF0000CC"/>
      <name val="Arial"/>
      <family val="2"/>
    </font>
    <font>
      <b/>
      <sz val="16"/>
      <color rgb="FF0000CC"/>
      <name val="Calibri"/>
      <family val="2"/>
      <scheme val="minor"/>
    </font>
    <font>
      <sz val="16"/>
      <color rgb="FF3333FF"/>
      <name val="Arial"/>
      <family val="2"/>
    </font>
    <font>
      <sz val="16"/>
      <color rgb="FFFF0000"/>
      <name val="Arial"/>
      <family val="2"/>
    </font>
    <font>
      <sz val="16"/>
      <color theme="0"/>
      <name val="Calibri"/>
      <family val="2"/>
      <scheme val="minor"/>
    </font>
    <font>
      <sz val="16"/>
      <color rgb="FF3333FF"/>
      <name val="Calibri"/>
      <family val="2"/>
      <scheme val="minor"/>
    </font>
    <font>
      <b/>
      <sz val="18"/>
      <color indexed="12"/>
      <name val="Bookman Old Style"/>
      <family val="1"/>
    </font>
    <font>
      <sz val="18"/>
      <color rgb="FF0000CC"/>
      <name val="Bookman Old Style"/>
      <family val="1"/>
    </font>
    <font>
      <sz val="18"/>
      <color indexed="12"/>
      <name val="Bookman Old Style"/>
      <family val="1"/>
    </font>
    <font>
      <b/>
      <sz val="18"/>
      <color rgb="FF0000CC"/>
      <name val="Bookman Old Style"/>
      <family val="1"/>
    </font>
    <font>
      <sz val="18"/>
      <color theme="1"/>
      <name val="Calibri"/>
      <family val="2"/>
      <scheme val="minor"/>
    </font>
    <font>
      <b/>
      <sz val="18"/>
      <color indexed="12"/>
      <name val="Arial"/>
      <family val="2"/>
    </font>
    <font>
      <sz val="18"/>
      <color rgb="FF0000CC"/>
      <name val="Arial"/>
      <family val="2"/>
    </font>
    <font>
      <sz val="18"/>
      <color indexed="12"/>
      <name val="Arial"/>
      <family val="2"/>
    </font>
    <font>
      <b/>
      <sz val="18"/>
      <color rgb="FF0000CC"/>
      <name val="Arial"/>
      <family val="2"/>
    </font>
    <font>
      <b/>
      <sz val="18"/>
      <color rgb="FF0000CC"/>
      <name val="Calibri"/>
      <family val="2"/>
      <scheme val="minor"/>
    </font>
    <font>
      <sz val="18"/>
      <color rgb="FF0000CC"/>
      <name val="Calibri"/>
      <family val="2"/>
      <scheme val="minor"/>
    </font>
    <font>
      <sz val="18"/>
      <color rgb="FF3333FF"/>
      <name val="Arial"/>
      <family val="2"/>
    </font>
    <font>
      <sz val="18"/>
      <color rgb="FFFF0000"/>
      <name val="Arial"/>
      <family val="2"/>
    </font>
    <font>
      <sz val="18"/>
      <name val="Arial"/>
      <family val="2"/>
    </font>
    <font>
      <sz val="18"/>
      <color theme="0"/>
      <name val="Calibri"/>
      <family val="2"/>
      <scheme val="minor"/>
    </font>
    <font>
      <sz val="18"/>
      <color rgb="FF3333FF"/>
      <name val="Calibri"/>
      <family val="2"/>
      <scheme val="minor"/>
    </font>
    <font>
      <sz val="18"/>
      <color rgb="FF3F3F76"/>
      <name val="Calibri"/>
      <family val="2"/>
      <scheme val="minor"/>
    </font>
    <font>
      <sz val="18"/>
      <color rgb="FFFF0000"/>
      <name val="Calibri"/>
      <family val="2"/>
      <scheme val="minor"/>
    </font>
    <font>
      <b/>
      <sz val="13"/>
      <color theme="3"/>
      <name val="Calibri"/>
      <family val="2"/>
      <scheme val="minor"/>
    </font>
    <font>
      <sz val="11"/>
      <color rgb="FF9C0006"/>
      <name val="Calibri"/>
      <family val="2"/>
      <scheme val="minor"/>
    </font>
    <font>
      <sz val="11"/>
      <color rgb="FF9C6500"/>
      <name val="Calibri"/>
      <family val="2"/>
      <scheme val="minor"/>
    </font>
    <font>
      <sz val="20"/>
      <color rgb="FF9C0006"/>
      <name val="Broadway"/>
      <family val="5"/>
    </font>
    <font>
      <sz val="11"/>
      <color rgb="FF9C0006"/>
      <name val="Broadway"/>
      <family val="5"/>
    </font>
    <font>
      <sz val="18"/>
      <color theme="1"/>
      <name val="Broadway"/>
      <family val="5"/>
    </font>
    <font>
      <sz val="18"/>
      <color rgb="FF006100"/>
      <name val="Broadway"/>
      <family val="5"/>
    </font>
    <font>
      <sz val="18"/>
      <color rgb="FF9C6500"/>
      <name val="Broadway"/>
      <family val="5"/>
    </font>
    <font>
      <sz val="18"/>
      <color theme="0"/>
      <name val="Broadway"/>
      <family val="5"/>
    </font>
    <font>
      <b/>
      <sz val="18"/>
      <color rgb="FF92D050"/>
      <name val="Broadway"/>
      <family val="5"/>
    </font>
    <font>
      <sz val="20"/>
      <color theme="1"/>
      <name val="Calibri"/>
      <family val="2"/>
      <scheme val="minor"/>
    </font>
    <font>
      <sz val="12"/>
      <color rgb="FF0000CC"/>
      <name val="Bookman Old Style"/>
      <family val="1"/>
    </font>
    <font>
      <sz val="12"/>
      <color indexed="12"/>
      <name val="Bookman Old Style"/>
      <family val="1"/>
    </font>
    <font>
      <b/>
      <sz val="12"/>
      <color rgb="FF0000CC"/>
      <name val="Bookman Old Style"/>
      <family val="1"/>
    </font>
    <font>
      <sz val="12"/>
      <color theme="1"/>
      <name val="Calibri"/>
      <family val="2"/>
      <scheme val="minor"/>
    </font>
    <font>
      <b/>
      <sz val="12"/>
      <color indexed="12"/>
      <name val="Arial"/>
      <family val="2"/>
    </font>
    <font>
      <sz val="12"/>
      <color rgb="FF0000CC"/>
      <name val="Arial"/>
      <family val="2"/>
    </font>
    <font>
      <sz val="12"/>
      <color indexed="12"/>
      <name val="Arial"/>
      <family val="2"/>
    </font>
    <font>
      <b/>
      <sz val="12"/>
      <color rgb="FF0000CC"/>
      <name val="Arial"/>
      <family val="2"/>
    </font>
    <font>
      <b/>
      <sz val="12"/>
      <color rgb="FF0000CC"/>
      <name val="Calibri"/>
      <family val="2"/>
      <scheme val="minor"/>
    </font>
    <font>
      <sz val="12"/>
      <color rgb="FF0000CC"/>
      <name val="Calibri"/>
      <family val="2"/>
      <scheme val="minor"/>
    </font>
    <font>
      <sz val="12"/>
      <color rgb="FF3333FF"/>
      <name val="Arial"/>
      <family val="2"/>
    </font>
    <font>
      <sz val="12"/>
      <color rgb="FFFF0000"/>
      <name val="Arial"/>
      <family val="2"/>
    </font>
    <font>
      <sz val="12"/>
      <name val="Arial"/>
      <family val="2"/>
    </font>
    <font>
      <sz val="12"/>
      <color theme="0"/>
      <name val="Calibri"/>
      <family val="2"/>
      <scheme val="minor"/>
    </font>
    <font>
      <sz val="12"/>
      <color rgb="FF3333FF"/>
      <name val="Calibri"/>
      <family val="2"/>
      <scheme val="minor"/>
    </font>
    <font>
      <sz val="12"/>
      <color rgb="FF3F3F76"/>
      <name val="Calibri"/>
      <family val="2"/>
      <scheme val="minor"/>
    </font>
    <font>
      <sz val="12"/>
      <color rgb="FFFF0000"/>
      <name val="Calibri"/>
      <family val="2"/>
      <scheme val="minor"/>
    </font>
    <font>
      <b/>
      <sz val="14"/>
      <color theme="1"/>
      <name val="Calibri"/>
      <family val="2"/>
      <scheme val="minor"/>
    </font>
    <font>
      <sz val="20"/>
      <color theme="0"/>
      <name val="Calibri"/>
      <family val="2"/>
      <scheme val="minor"/>
    </font>
    <font>
      <sz val="12"/>
      <name val="Calibri"/>
      <family val="2"/>
      <scheme val="minor"/>
    </font>
    <font>
      <sz val="18"/>
      <name val="Calibri"/>
      <family val="2"/>
      <scheme val="minor"/>
    </font>
    <font>
      <b/>
      <sz val="20"/>
      <color rgb="FF0000CC"/>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8"/>
      </patternFill>
    </fill>
    <fill>
      <patternFill patternType="solid">
        <fgColor rgb="FFC6EFCE"/>
      </patternFill>
    </fill>
    <fill>
      <patternFill patternType="solid">
        <fgColor rgb="FFFFCC99"/>
      </patternFill>
    </fill>
    <fill>
      <patternFill patternType="solid">
        <fgColor rgb="FFFFC7CE"/>
      </patternFill>
    </fill>
    <fill>
      <patternFill patternType="solid">
        <fgColor rgb="FFFFEB9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s>
  <cellStyleXfs count="13">
    <xf numFmtId="0" fontId="0" fillId="0" borderId="0"/>
    <xf numFmtId="164" fontId="1" fillId="0" borderId="0" applyFont="0" applyFill="0" applyBorder="0" applyAlignment="0" applyProtection="0"/>
    <xf numFmtId="0" fontId="60" fillId="5" borderId="0" applyNumberFormat="0" applyBorder="0" applyAlignment="0" applyProtection="0"/>
    <xf numFmtId="0" fontId="61" fillId="6" borderId="0" applyNumberFormat="0" applyBorder="0" applyAlignment="0" applyProtection="0"/>
    <xf numFmtId="0" fontId="62" fillId="7" borderId="7" applyNumberFormat="0" applyAlignment="0" applyProtection="0"/>
    <xf numFmtId="0" fontId="97" fillId="0" borderId="8" applyNumberFormat="0" applyFill="0" applyAlignment="0" applyProtection="0"/>
    <xf numFmtId="0" fontId="98" fillId="8" borderId="0" applyNumberFormat="0" applyBorder="0" applyAlignment="0" applyProtection="0"/>
    <xf numFmtId="0" fontId="99"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cellStyleXfs>
  <cellXfs count="1092">
    <xf numFmtId="0" fontId="0" fillId="0" borderId="0" xfId="0"/>
    <xf numFmtId="0" fontId="2" fillId="2" borderId="0" xfId="0" applyFont="1" applyFill="1"/>
    <xf numFmtId="0" fontId="3" fillId="0" borderId="0" xfId="0" applyFont="1" applyFill="1"/>
    <xf numFmtId="0" fontId="3" fillId="0" borderId="0" xfId="0" applyFont="1" applyFill="1" applyAlignment="1">
      <alignment horizontal="center"/>
    </xf>
    <xf numFmtId="0" fontId="3" fillId="0" borderId="0" xfId="0" applyFont="1" applyFill="1" applyAlignment="1">
      <alignment horizontal="left"/>
    </xf>
    <xf numFmtId="0" fontId="4" fillId="0" borderId="0" xfId="0" applyFont="1" applyFill="1" applyBorder="1"/>
    <xf numFmtId="0" fontId="5" fillId="2" borderId="0" xfId="0" applyFont="1" applyFill="1"/>
    <xf numFmtId="0" fontId="6" fillId="0" borderId="0" xfId="0" applyFont="1" applyFill="1"/>
    <xf numFmtId="0" fontId="6" fillId="0" borderId="0" xfId="0" applyFont="1" applyFill="1" applyAlignment="1">
      <alignment horizontal="center"/>
    </xf>
    <xf numFmtId="0" fontId="6" fillId="0" borderId="0" xfId="0" applyFont="1" applyFill="1" applyAlignment="1">
      <alignment horizontal="left"/>
    </xf>
    <xf numFmtId="0" fontId="5" fillId="0" borderId="0" xfId="0" applyFont="1" applyFill="1"/>
    <xf numFmtId="0" fontId="5" fillId="0" borderId="0" xfId="0" applyFont="1" applyFill="1" applyBorder="1"/>
    <xf numFmtId="164" fontId="6" fillId="0" borderId="0" xfId="1" applyFont="1" applyFill="1"/>
    <xf numFmtId="0" fontId="5" fillId="2" borderId="0" xfId="0" applyFont="1" applyFill="1" applyAlignment="1"/>
    <xf numFmtId="0" fontId="5" fillId="0" borderId="1" xfId="0" applyFont="1" applyFill="1" applyBorder="1" applyAlignment="1">
      <alignment horizontal="center"/>
    </xf>
    <xf numFmtId="164" fontId="5" fillId="0" borderId="1" xfId="1" applyFont="1" applyFill="1" applyBorder="1" applyAlignment="1">
      <alignment horizontal="center"/>
    </xf>
    <xf numFmtId="0" fontId="6" fillId="0" borderId="1" xfId="0" applyFont="1" applyFill="1" applyBorder="1" applyAlignment="1">
      <alignment horizontal="center"/>
    </xf>
    <xf numFmtId="0" fontId="6" fillId="0" borderId="2" xfId="0" applyFont="1" applyFill="1" applyBorder="1" applyAlignment="1">
      <alignment horizontal="center"/>
    </xf>
    <xf numFmtId="0" fontId="5" fillId="0" borderId="1" xfId="0" applyFont="1" applyFill="1" applyBorder="1"/>
    <xf numFmtId="0" fontId="6" fillId="0" borderId="1" xfId="0" applyFont="1" applyFill="1" applyBorder="1" applyAlignment="1">
      <alignment horizontal="left"/>
    </xf>
    <xf numFmtId="0" fontId="0" fillId="0" borderId="1" xfId="0" applyBorder="1"/>
    <xf numFmtId="0" fontId="7" fillId="0" borderId="0" xfId="0" applyFont="1" applyAlignment="1">
      <alignment horizontal="center"/>
    </xf>
    <xf numFmtId="49" fontId="7" fillId="0" borderId="0" xfId="0" applyNumberFormat="1" applyFont="1" applyAlignment="1">
      <alignment horizontal="center"/>
    </xf>
    <xf numFmtId="165" fontId="7" fillId="0" borderId="0" xfId="1" applyNumberFormat="1" applyFont="1" applyAlignment="1">
      <alignment horizontal="center"/>
    </xf>
    <xf numFmtId="4" fontId="7" fillId="0" borderId="0" xfId="0" applyNumberFormat="1" applyFont="1" applyAlignment="1">
      <alignment horizontal="center"/>
    </xf>
    <xf numFmtId="0" fontId="7" fillId="0" borderId="0" xfId="0" applyFont="1" applyAlignment="1">
      <alignment horizontal="left"/>
    </xf>
    <xf numFmtId="164" fontId="7" fillId="0" borderId="0" xfId="1" applyFont="1" applyAlignment="1">
      <alignment horizontal="center"/>
    </xf>
    <xf numFmtId="0" fontId="9" fillId="0" borderId="0" xfId="0" applyFont="1"/>
    <xf numFmtId="49" fontId="0" fillId="0" borderId="0" xfId="0" applyNumberFormat="1" applyAlignment="1">
      <alignment horizontal="center"/>
    </xf>
    <xf numFmtId="4" fontId="0" fillId="0" borderId="0" xfId="0" applyNumberFormat="1"/>
    <xf numFmtId="0" fontId="0" fillId="0" borderId="0" xfId="0" applyAlignment="1">
      <alignment horizontal="center"/>
    </xf>
    <xf numFmtId="0" fontId="4" fillId="0" borderId="0" xfId="0" applyFont="1" applyFill="1" applyAlignment="1">
      <alignment horizontal="left"/>
    </xf>
    <xf numFmtId="0" fontId="5" fillId="0" borderId="0" xfId="0" applyFont="1" applyFill="1" applyAlignment="1">
      <alignment horizontal="left"/>
    </xf>
    <xf numFmtId="0" fontId="5" fillId="0" borderId="1" xfId="0" applyFont="1" applyFill="1" applyBorder="1" applyAlignment="1">
      <alignment horizontal="left"/>
    </xf>
    <xf numFmtId="0" fontId="0" fillId="0" borderId="0" xfId="0" applyAlignment="1">
      <alignment horizontal="left"/>
    </xf>
    <xf numFmtId="0" fontId="0" fillId="0" borderId="0" xfId="0" applyFont="1" applyFill="1"/>
    <xf numFmtId="0" fontId="0" fillId="0" borderId="0" xfId="0" applyFill="1"/>
    <xf numFmtId="0" fontId="12" fillId="0" borderId="0" xfId="0" applyFont="1"/>
    <xf numFmtId="14" fontId="12" fillId="0" borderId="0" xfId="0" applyNumberFormat="1" applyFont="1"/>
    <xf numFmtId="49" fontId="14" fillId="0" borderId="0" xfId="0" applyNumberFormat="1" applyFont="1" applyAlignment="1">
      <alignment horizontal="center"/>
    </xf>
    <xf numFmtId="4" fontId="12" fillId="0" borderId="0" xfId="0" applyNumberFormat="1" applyFont="1"/>
    <xf numFmtId="0" fontId="11" fillId="0" borderId="2" xfId="0" applyFont="1" applyFill="1" applyBorder="1" applyAlignment="1">
      <alignment horizontal="left"/>
    </xf>
    <xf numFmtId="0" fontId="11" fillId="0" borderId="2" xfId="0" applyFont="1" applyFill="1" applyBorder="1" applyAlignment="1">
      <alignment horizontal="center"/>
    </xf>
    <xf numFmtId="0" fontId="11" fillId="0" borderId="2" xfId="0" quotePrefix="1" applyFont="1" applyFill="1" applyBorder="1" applyAlignment="1">
      <alignment horizontal="center"/>
    </xf>
    <xf numFmtId="0" fontId="15" fillId="0" borderId="0" xfId="0" applyFont="1" applyFill="1"/>
    <xf numFmtId="0" fontId="6" fillId="0" borderId="0" xfId="0" applyFont="1" applyFill="1" applyBorder="1"/>
    <xf numFmtId="0" fontId="15" fillId="0" borderId="1" xfId="0" applyFont="1" applyFill="1" applyBorder="1"/>
    <xf numFmtId="164" fontId="13" fillId="0" borderId="0" xfId="1" applyFont="1" applyAlignment="1">
      <alignment horizontal="center"/>
    </xf>
    <xf numFmtId="164" fontId="0" fillId="0" borderId="0" xfId="1" applyFont="1"/>
    <xf numFmtId="0" fontId="6" fillId="0" borderId="4" xfId="0" applyFont="1" applyFill="1" applyBorder="1" applyAlignment="1">
      <alignment horizontal="center"/>
    </xf>
    <xf numFmtId="0" fontId="15" fillId="0" borderId="2" xfId="0" applyFont="1" applyFill="1" applyBorder="1"/>
    <xf numFmtId="0" fontId="16" fillId="0" borderId="1" xfId="0" applyFont="1" applyFill="1" applyBorder="1"/>
    <xf numFmtId="0" fontId="11" fillId="0" borderId="2" xfId="0" quotePrefix="1" applyFont="1" applyFill="1" applyBorder="1" applyAlignment="1">
      <alignment horizontal="left"/>
    </xf>
    <xf numFmtId="164" fontId="11" fillId="0" borderId="5" xfId="1" applyFont="1" applyFill="1" applyBorder="1" applyAlignment="1">
      <alignment horizontal="left"/>
    </xf>
    <xf numFmtId="0" fontId="11" fillId="0" borderId="1" xfId="0" applyFont="1" applyFill="1" applyBorder="1" applyAlignment="1">
      <alignment horizontal="left"/>
    </xf>
    <xf numFmtId="0" fontId="0" fillId="0" borderId="0" xfId="0" applyBorder="1"/>
    <xf numFmtId="164" fontId="5" fillId="0" borderId="1" xfId="1" applyFont="1" applyFill="1" applyBorder="1"/>
    <xf numFmtId="0" fontId="17" fillId="0" borderId="1" xfId="0" applyFont="1" applyFill="1" applyBorder="1"/>
    <xf numFmtId="0" fontId="15" fillId="0" borderId="0" xfId="0" applyFont="1" applyFill="1" applyAlignment="1">
      <alignment horizontal="left"/>
    </xf>
    <xf numFmtId="0" fontId="0" fillId="0" borderId="0" xfId="0" applyAlignment="1">
      <alignment horizontal="right"/>
    </xf>
    <xf numFmtId="4" fontId="4" fillId="0" borderId="0" xfId="0" applyNumberFormat="1" applyFont="1" applyFill="1" applyAlignment="1"/>
    <xf numFmtId="4" fontId="5" fillId="0" borderId="0" xfId="0" applyNumberFormat="1" applyFont="1" applyFill="1" applyAlignment="1"/>
    <xf numFmtId="4" fontId="6" fillId="0" borderId="0" xfId="1" applyNumberFormat="1" applyFont="1" applyFill="1" applyAlignment="1"/>
    <xf numFmtId="4" fontId="8" fillId="0" borderId="1" xfId="1" applyNumberFormat="1" applyFont="1" applyFill="1" applyBorder="1" applyAlignment="1"/>
    <xf numFmtId="4" fontId="6" fillId="0" borderId="2" xfId="1" applyNumberFormat="1" applyFont="1" applyFill="1" applyBorder="1" applyAlignment="1"/>
    <xf numFmtId="164" fontId="11" fillId="0" borderId="2" xfId="1" applyFont="1" applyFill="1" applyBorder="1" applyAlignment="1"/>
    <xf numFmtId="164" fontId="6" fillId="0" borderId="2" xfId="1" applyFont="1" applyFill="1" applyBorder="1" applyAlignment="1"/>
    <xf numFmtId="164" fontId="15" fillId="0" borderId="1" xfId="1" applyFont="1" applyFill="1" applyBorder="1" applyAlignment="1"/>
    <xf numFmtId="4" fontId="11" fillId="0" borderId="2" xfId="1" applyNumberFormat="1" applyFont="1" applyFill="1" applyBorder="1" applyAlignment="1"/>
    <xf numFmtId="4" fontId="5" fillId="0" borderId="1" xfId="1" applyNumberFormat="1" applyFont="1" applyFill="1" applyBorder="1" applyAlignment="1"/>
    <xf numFmtId="0" fontId="0" fillId="0" borderId="0" xfId="0" applyAlignment="1"/>
    <xf numFmtId="0" fontId="0" fillId="0" borderId="0" xfId="0" applyFont="1" applyFill="1" applyBorder="1"/>
    <xf numFmtId="4" fontId="6" fillId="0" borderId="1" xfId="1" applyNumberFormat="1" applyFont="1" applyFill="1" applyBorder="1" applyAlignment="1"/>
    <xf numFmtId="14" fontId="6" fillId="0" borderId="2" xfId="0" applyNumberFormat="1" applyFont="1" applyFill="1" applyBorder="1" applyAlignment="1">
      <alignment horizontal="right"/>
    </xf>
    <xf numFmtId="0" fontId="5" fillId="2" borderId="1" xfId="0" applyFont="1" applyFill="1" applyBorder="1" applyAlignment="1">
      <alignment horizontal="right"/>
    </xf>
    <xf numFmtId="14" fontId="11" fillId="0" borderId="2" xfId="0" applyNumberFormat="1" applyFont="1" applyFill="1" applyBorder="1" applyAlignment="1">
      <alignment horizontal="right"/>
    </xf>
    <xf numFmtId="14" fontId="11" fillId="0" borderId="2" xfId="0" quotePrefix="1" applyNumberFormat="1" applyFont="1" applyFill="1" applyBorder="1" applyAlignment="1">
      <alignment horizontal="right"/>
    </xf>
    <xf numFmtId="14" fontId="6" fillId="0" borderId="2" xfId="0" quotePrefix="1" applyNumberFormat="1" applyFont="1" applyFill="1" applyBorder="1" applyAlignment="1">
      <alignment horizontal="right"/>
    </xf>
    <xf numFmtId="14" fontId="6" fillId="0" borderId="4" xfId="0" applyNumberFormat="1" applyFont="1" applyFill="1" applyBorder="1" applyAlignment="1">
      <alignment horizontal="right"/>
    </xf>
    <xf numFmtId="14" fontId="6" fillId="0" borderId="1" xfId="0" applyNumberFormat="1" applyFont="1" applyFill="1" applyBorder="1" applyAlignment="1">
      <alignment horizontal="right"/>
    </xf>
    <xf numFmtId="0" fontId="0" fillId="0" borderId="0" xfId="0" applyBorder="1" applyAlignment="1">
      <alignment horizontal="right"/>
    </xf>
    <xf numFmtId="0" fontId="0" fillId="3" borderId="0" xfId="0" applyFill="1"/>
    <xf numFmtId="14" fontId="19" fillId="2" borderId="1" xfId="0" applyNumberFormat="1" applyFont="1" applyFill="1" applyBorder="1" applyAlignment="1">
      <alignment horizontal="right"/>
    </xf>
    <xf numFmtId="0" fontId="19" fillId="0" borderId="1" xfId="0" applyFont="1" applyFill="1" applyBorder="1" applyAlignment="1">
      <alignment horizontal="left"/>
    </xf>
    <xf numFmtId="0" fontId="19" fillId="0" borderId="1" xfId="0" applyFont="1" applyFill="1" applyBorder="1" applyAlignment="1">
      <alignment horizontal="center"/>
    </xf>
    <xf numFmtId="4" fontId="19" fillId="0" borderId="1" xfId="1" applyNumberFormat="1" applyFont="1" applyFill="1" applyBorder="1" applyAlignment="1"/>
    <xf numFmtId="164" fontId="19" fillId="0" borderId="6" xfId="1" applyFont="1" applyFill="1" applyBorder="1" applyAlignment="1">
      <alignment horizontal="center"/>
    </xf>
    <xf numFmtId="164" fontId="15" fillId="0" borderId="0" xfId="1" applyFont="1"/>
    <xf numFmtId="14" fontId="19" fillId="0" borderId="1" xfId="0" applyNumberFormat="1" applyFont="1" applyFill="1" applyBorder="1" applyAlignment="1">
      <alignment horizontal="right"/>
    </xf>
    <xf numFmtId="4" fontId="21" fillId="0" borderId="1" xfId="1" applyNumberFormat="1" applyFont="1" applyFill="1" applyBorder="1" applyAlignment="1"/>
    <xf numFmtId="164" fontId="22" fillId="0" borderId="1" xfId="1" applyFont="1" applyFill="1" applyBorder="1"/>
    <xf numFmtId="164" fontId="21" fillId="0" borderId="1" xfId="1" applyFont="1" applyFill="1" applyBorder="1"/>
    <xf numFmtId="0" fontId="0" fillId="0" borderId="0" xfId="0" applyFont="1" applyBorder="1"/>
    <xf numFmtId="0" fontId="15" fillId="0" borderId="1" xfId="0" applyFont="1" applyFill="1" applyBorder="1" applyAlignment="1">
      <alignment horizontal="left"/>
    </xf>
    <xf numFmtId="164" fontId="22" fillId="0" borderId="1" xfId="1" applyFont="1" applyFill="1" applyBorder="1" applyAlignment="1">
      <alignment horizontal="left"/>
    </xf>
    <xf numFmtId="0" fontId="15" fillId="0" borderId="0" xfId="0" applyFont="1" applyAlignment="1">
      <alignment horizontal="left"/>
    </xf>
    <xf numFmtId="4" fontId="13" fillId="0" borderId="0" xfId="0" applyNumberFormat="1" applyFont="1" applyAlignment="1">
      <alignment horizontal="center"/>
    </xf>
    <xf numFmtId="14" fontId="11" fillId="3" borderId="1" xfId="0" quotePrefix="1" applyNumberFormat="1" applyFont="1" applyFill="1" applyBorder="1" applyAlignment="1">
      <alignment horizontal="right"/>
    </xf>
    <xf numFmtId="0" fontId="11" fillId="3" borderId="1" xfId="0" applyFont="1" applyFill="1" applyBorder="1" applyAlignment="1">
      <alignment horizontal="center"/>
    </xf>
    <xf numFmtId="164" fontId="11" fillId="3" borderId="1" xfId="1" applyFont="1" applyFill="1" applyBorder="1" applyAlignment="1"/>
    <xf numFmtId="0" fontId="15" fillId="3" borderId="1" xfId="0" applyFont="1" applyFill="1" applyBorder="1" applyAlignment="1">
      <alignment horizontal="left"/>
    </xf>
    <xf numFmtId="14" fontId="11" fillId="0" borderId="1" xfId="0" quotePrefix="1" applyNumberFormat="1" applyFont="1" applyFill="1" applyBorder="1" applyAlignment="1">
      <alignment horizontal="right"/>
    </xf>
    <xf numFmtId="0" fontId="11" fillId="0" borderId="1" xfId="0" applyFont="1" applyFill="1" applyBorder="1" applyAlignment="1">
      <alignment horizontal="center"/>
    </xf>
    <xf numFmtId="164" fontId="11" fillId="0" borderId="1" xfId="1" applyFont="1" applyFill="1" applyBorder="1" applyAlignment="1"/>
    <xf numFmtId="4" fontId="6" fillId="0" borderId="4" xfId="1" applyNumberFormat="1" applyFont="1" applyFill="1" applyBorder="1" applyAlignment="1"/>
    <xf numFmtId="0" fontId="15" fillId="0" borderId="0" xfId="0" applyFont="1" applyFill="1" applyBorder="1"/>
    <xf numFmtId="0" fontId="15" fillId="3" borderId="0" xfId="0" applyFont="1" applyFill="1" applyBorder="1"/>
    <xf numFmtId="14" fontId="11" fillId="0" borderId="1" xfId="0" applyNumberFormat="1" applyFont="1" applyFill="1" applyBorder="1" applyAlignment="1">
      <alignment horizontal="right"/>
    </xf>
    <xf numFmtId="0" fontId="11" fillId="3" borderId="2" xfId="0" applyFont="1" applyFill="1" applyBorder="1" applyAlignment="1">
      <alignment horizontal="center"/>
    </xf>
    <xf numFmtId="164" fontId="11" fillId="3" borderId="2" xfId="1" applyFont="1" applyFill="1" applyBorder="1" applyAlignment="1"/>
    <xf numFmtId="164" fontId="15" fillId="0" borderId="1" xfId="1" applyFont="1" applyFill="1" applyBorder="1"/>
    <xf numFmtId="0" fontId="18" fillId="0" borderId="1" xfId="0" quotePrefix="1" applyFont="1" applyFill="1" applyBorder="1" applyAlignment="1">
      <alignment horizontal="left"/>
    </xf>
    <xf numFmtId="0" fontId="23" fillId="0" borderId="0" xfId="0" applyFont="1" applyFill="1" applyAlignment="1"/>
    <xf numFmtId="0" fontId="18" fillId="0" borderId="0" xfId="0" applyFont="1" applyFill="1" applyAlignment="1"/>
    <xf numFmtId="0" fontId="22" fillId="0" borderId="1" xfId="0" applyFont="1" applyFill="1" applyBorder="1" applyAlignment="1"/>
    <xf numFmtId="0" fontId="18" fillId="0" borderId="1" xfId="0" applyFont="1" applyFill="1" applyBorder="1" applyAlignment="1"/>
    <xf numFmtId="4" fontId="18" fillId="0" borderId="1" xfId="1" applyNumberFormat="1" applyFont="1" applyFill="1" applyBorder="1" applyAlignment="1"/>
    <xf numFmtId="0" fontId="15" fillId="0" borderId="1" xfId="0" applyFont="1" applyFill="1" applyBorder="1" applyAlignment="1"/>
    <xf numFmtId="0" fontId="15" fillId="0" borderId="0" xfId="0" applyFont="1" applyAlignment="1"/>
    <xf numFmtId="164" fontId="15" fillId="0" borderId="1" xfId="1" applyFont="1" applyFill="1" applyBorder="1" applyAlignment="1">
      <alignment horizontal="left"/>
    </xf>
    <xf numFmtId="0" fontId="15" fillId="0" borderId="1" xfId="0" applyFont="1" applyBorder="1"/>
    <xf numFmtId="0" fontId="18" fillId="0" borderId="1" xfId="0" applyFont="1" applyFill="1" applyBorder="1" applyAlignment="1">
      <alignment horizontal="left"/>
    </xf>
    <xf numFmtId="0" fontId="0" fillId="0" borderId="1" xfId="0" applyFont="1" applyFill="1" applyBorder="1"/>
    <xf numFmtId="0" fontId="24" fillId="0" borderId="1" xfId="0" applyFont="1" applyBorder="1"/>
    <xf numFmtId="0" fontId="0" fillId="0" borderId="1" xfId="0" applyFont="1" applyBorder="1"/>
    <xf numFmtId="164" fontId="12" fillId="0" borderId="0" xfId="1" applyFont="1"/>
    <xf numFmtId="164" fontId="0" fillId="0" borderId="1" xfId="1" applyFont="1" applyBorder="1"/>
    <xf numFmtId="0" fontId="20" fillId="2" borderId="0" xfId="0" applyFont="1" applyFill="1" applyAlignment="1"/>
    <xf numFmtId="14" fontId="18" fillId="0" borderId="1" xfId="0" quotePrefix="1" applyNumberFormat="1" applyFont="1" applyFill="1" applyBorder="1" applyAlignment="1">
      <alignment horizontal="right"/>
    </xf>
    <xf numFmtId="0" fontId="18" fillId="0" borderId="1" xfId="0" applyFont="1" applyFill="1" applyBorder="1" applyAlignment="1">
      <alignment horizontal="center"/>
    </xf>
    <xf numFmtId="0" fontId="18" fillId="0" borderId="1" xfId="0" quotePrefix="1" applyFont="1" applyFill="1" applyBorder="1" applyAlignment="1">
      <alignment horizontal="center"/>
    </xf>
    <xf numFmtId="164" fontId="18" fillId="0" borderId="1" xfId="1" applyFont="1" applyFill="1" applyBorder="1" applyAlignment="1"/>
    <xf numFmtId="0" fontId="10" fillId="0" borderId="0" xfId="0" applyFont="1" applyFill="1" applyBorder="1"/>
    <xf numFmtId="0" fontId="15" fillId="0" borderId="0" xfId="0" applyFont="1" applyFill="1" applyAlignment="1"/>
    <xf numFmtId="14" fontId="18" fillId="3" borderId="1" xfId="0" quotePrefix="1" applyNumberFormat="1" applyFont="1" applyFill="1" applyBorder="1" applyAlignment="1">
      <alignment horizontal="right"/>
    </xf>
    <xf numFmtId="0" fontId="18" fillId="3" borderId="1" xfId="0" applyFont="1" applyFill="1" applyBorder="1" applyAlignment="1">
      <alignment horizontal="left"/>
    </xf>
    <xf numFmtId="0" fontId="18" fillId="3" borderId="1" xfId="0" applyFont="1" applyFill="1" applyBorder="1" applyAlignment="1">
      <alignment horizontal="center"/>
    </xf>
    <xf numFmtId="0" fontId="18" fillId="3" borderId="1" xfId="0" applyFont="1" applyFill="1" applyBorder="1" applyAlignment="1"/>
    <xf numFmtId="0" fontId="18" fillId="3" borderId="1" xfId="0" quotePrefix="1" applyFont="1" applyFill="1" applyBorder="1" applyAlignment="1">
      <alignment horizontal="center"/>
    </xf>
    <xf numFmtId="0" fontId="18" fillId="3" borderId="1" xfId="0" quotePrefix="1" applyFont="1" applyFill="1" applyBorder="1" applyAlignment="1">
      <alignment horizontal="left"/>
    </xf>
    <xf numFmtId="0" fontId="26" fillId="0" borderId="0" xfId="0" applyFont="1"/>
    <xf numFmtId="49" fontId="27" fillId="0" borderId="0" xfId="0" applyNumberFormat="1" applyFont="1" applyAlignment="1">
      <alignment horizontal="center"/>
    </xf>
    <xf numFmtId="0" fontId="27" fillId="0" borderId="0" xfId="0" applyFont="1"/>
    <xf numFmtId="4" fontId="27" fillId="0" borderId="0" xfId="0" applyNumberFormat="1" applyFont="1"/>
    <xf numFmtId="164" fontId="27" fillId="0" borderId="0" xfId="1" applyFont="1"/>
    <xf numFmtId="14" fontId="6" fillId="0" borderId="1" xfId="0" quotePrefix="1" applyNumberFormat="1" applyFont="1" applyFill="1" applyBorder="1" applyAlignment="1">
      <alignment horizontal="right"/>
    </xf>
    <xf numFmtId="0" fontId="28" fillId="0" borderId="1" xfId="0" applyFont="1" applyFill="1" applyBorder="1"/>
    <xf numFmtId="0" fontId="18" fillId="0" borderId="1" xfId="0" applyFont="1" applyFill="1" applyBorder="1" applyAlignment="1">
      <alignment horizontal="left" wrapText="1"/>
    </xf>
    <xf numFmtId="0" fontId="18" fillId="0" borderId="2" xfId="0" applyFont="1" applyFill="1" applyBorder="1" applyAlignment="1">
      <alignment horizontal="left"/>
    </xf>
    <xf numFmtId="0" fontId="19" fillId="0" borderId="1" xfId="0" applyFont="1" applyFill="1" applyBorder="1" applyAlignment="1"/>
    <xf numFmtId="0" fontId="19" fillId="0" borderId="2" xfId="0" applyFont="1" applyFill="1" applyBorder="1" applyAlignment="1">
      <alignment horizontal="left"/>
    </xf>
    <xf numFmtId="0" fontId="19" fillId="0" borderId="2" xfId="0" applyFont="1" applyFill="1" applyBorder="1" applyAlignment="1"/>
    <xf numFmtId="14" fontId="19" fillId="0" borderId="2" xfId="0" quotePrefix="1" applyNumberFormat="1" applyFont="1" applyFill="1" applyBorder="1" applyAlignment="1">
      <alignment horizontal="left"/>
    </xf>
    <xf numFmtId="0" fontId="29" fillId="0" borderId="0" xfId="0" applyFont="1" applyFill="1" applyAlignment="1">
      <alignment horizontal="center"/>
    </xf>
    <xf numFmtId="0" fontId="29" fillId="0" borderId="0" xfId="0" applyFont="1" applyFill="1" applyAlignment="1">
      <alignment horizontal="left"/>
    </xf>
    <xf numFmtId="0" fontId="30" fillId="0" borderId="0" xfId="0" applyFont="1" applyFill="1" applyBorder="1"/>
    <xf numFmtId="0" fontId="30" fillId="0" borderId="0" xfId="0" applyFont="1" applyFill="1" applyAlignment="1">
      <alignment horizontal="left"/>
    </xf>
    <xf numFmtId="0" fontId="19" fillId="0" borderId="0" xfId="0" applyFont="1" applyFill="1" applyAlignment="1">
      <alignment horizontal="center"/>
    </xf>
    <xf numFmtId="0" fontId="19" fillId="0" borderId="0" xfId="0" applyFont="1" applyFill="1" applyAlignment="1">
      <alignment horizontal="left"/>
    </xf>
    <xf numFmtId="0" fontId="21" fillId="0" borderId="0" xfId="0" applyFont="1" applyFill="1" applyBorder="1"/>
    <xf numFmtId="0" fontId="21" fillId="0" borderId="0" xfId="0" applyFont="1" applyFill="1" applyAlignment="1">
      <alignment horizontal="left"/>
    </xf>
    <xf numFmtId="0" fontId="19" fillId="0" borderId="0" xfId="0" applyFont="1" applyFill="1"/>
    <xf numFmtId="164" fontId="19" fillId="0" borderId="0" xfId="1" applyFont="1" applyFill="1"/>
    <xf numFmtId="0" fontId="21" fillId="0" borderId="1" xfId="0" applyFont="1" applyFill="1" applyBorder="1" applyAlignment="1">
      <alignment horizontal="center"/>
    </xf>
    <xf numFmtId="164" fontId="21" fillId="0" borderId="1" xfId="1" applyFont="1" applyFill="1" applyBorder="1" applyAlignment="1">
      <alignment horizontal="center"/>
    </xf>
    <xf numFmtId="0" fontId="19" fillId="0" borderId="2" xfId="0" applyFont="1" applyFill="1" applyBorder="1" applyAlignment="1">
      <alignment horizontal="center"/>
    </xf>
    <xf numFmtId="0" fontId="19" fillId="0" borderId="2" xfId="0" quotePrefix="1" applyFont="1" applyFill="1" applyBorder="1" applyAlignment="1">
      <alignment horizontal="center"/>
    </xf>
    <xf numFmtId="164" fontId="19" fillId="0" borderId="5" xfId="1" applyFont="1" applyFill="1" applyBorder="1" applyAlignment="1">
      <alignment horizontal="center"/>
    </xf>
    <xf numFmtId="0" fontId="19" fillId="0" borderId="0" xfId="0" applyFont="1" applyFill="1" applyBorder="1" applyAlignment="1">
      <alignment horizontal="left"/>
    </xf>
    <xf numFmtId="0" fontId="18" fillId="3" borderId="2" xfId="0" quotePrefix="1" applyFont="1" applyFill="1" applyBorder="1" applyAlignment="1">
      <alignment horizontal="center"/>
    </xf>
    <xf numFmtId="0" fontId="18" fillId="3" borderId="2" xfId="0" quotePrefix="1" applyFont="1" applyFill="1" applyBorder="1" applyAlignment="1">
      <alignment horizontal="left"/>
    </xf>
    <xf numFmtId="164" fontId="18" fillId="0" borderId="5" xfId="1" applyFont="1" applyFill="1" applyBorder="1" applyAlignment="1">
      <alignment horizontal="center"/>
    </xf>
    <xf numFmtId="164" fontId="19" fillId="0" borderId="5" xfId="1" applyFont="1" applyFill="1" applyBorder="1" applyAlignment="1">
      <alignment horizontal="left"/>
    </xf>
    <xf numFmtId="0" fontId="19" fillId="0" borderId="4" xfId="0" applyFont="1" applyFill="1" applyBorder="1" applyAlignment="1">
      <alignment horizontal="center"/>
    </xf>
    <xf numFmtId="0" fontId="19" fillId="0" borderId="4" xfId="0" applyFont="1" applyFill="1" applyBorder="1" applyAlignment="1">
      <alignment horizontal="left"/>
    </xf>
    <xf numFmtId="0" fontId="19" fillId="0" borderId="4" xfId="0" quotePrefix="1" applyFont="1" applyFill="1" applyBorder="1" applyAlignment="1">
      <alignment horizontal="center"/>
    </xf>
    <xf numFmtId="164" fontId="19" fillId="0" borderId="3" xfId="1" applyFont="1" applyFill="1" applyBorder="1" applyAlignment="1">
      <alignment horizontal="right"/>
    </xf>
    <xf numFmtId="0" fontId="32" fillId="0" borderId="0" xfId="0" applyFont="1" applyFill="1" applyBorder="1"/>
    <xf numFmtId="0" fontId="19" fillId="0" borderId="1" xfId="0" quotePrefix="1" applyFont="1" applyFill="1" applyBorder="1" applyAlignment="1">
      <alignment horizontal="center"/>
    </xf>
    <xf numFmtId="0" fontId="32" fillId="0" borderId="1" xfId="0" applyFont="1" applyFill="1" applyBorder="1"/>
    <xf numFmtId="164" fontId="19" fillId="0" borderId="1" xfId="1" applyFont="1" applyFill="1" applyBorder="1" applyAlignment="1">
      <alignment horizontal="right"/>
    </xf>
    <xf numFmtId="0" fontId="32" fillId="0" borderId="4" xfId="0" applyFont="1" applyFill="1" applyBorder="1"/>
    <xf numFmtId="164" fontId="19" fillId="0" borderId="5" xfId="1" applyFont="1" applyFill="1" applyBorder="1" applyAlignment="1">
      <alignment horizontal="right"/>
    </xf>
    <xf numFmtId="164" fontId="19" fillId="0" borderId="1" xfId="1" applyFont="1" applyFill="1" applyBorder="1" applyAlignment="1">
      <alignment horizontal="center"/>
    </xf>
    <xf numFmtId="0" fontId="33" fillId="0" borderId="2" xfId="0" applyFont="1" applyFill="1" applyBorder="1" applyAlignment="1">
      <alignment horizontal="left"/>
    </xf>
    <xf numFmtId="0" fontId="18" fillId="0" borderId="2" xfId="0" applyFont="1" applyFill="1" applyBorder="1" applyAlignment="1">
      <alignment horizontal="center"/>
    </xf>
    <xf numFmtId="0" fontId="18" fillId="0" borderId="2" xfId="0" quotePrefix="1" applyFont="1" applyFill="1" applyBorder="1" applyAlignment="1">
      <alignment horizontal="center"/>
    </xf>
    <xf numFmtId="0" fontId="18" fillId="0" borderId="5" xfId="0" quotePrefix="1" applyFont="1" applyFill="1" applyBorder="1" applyAlignment="1">
      <alignment horizontal="left"/>
    </xf>
    <xf numFmtId="164" fontId="19" fillId="0" borderId="6" xfId="1" applyFont="1" applyFill="1" applyBorder="1"/>
    <xf numFmtId="0" fontId="31" fillId="0" borderId="1" xfId="0" applyFont="1" applyFill="1" applyBorder="1" applyAlignment="1">
      <alignment horizontal="left"/>
    </xf>
    <xf numFmtId="164" fontId="18" fillId="3" borderId="1" xfId="1" applyFont="1" applyFill="1" applyBorder="1" applyAlignment="1">
      <alignment horizontal="center"/>
    </xf>
    <xf numFmtId="164" fontId="18" fillId="0" borderId="1" xfId="1" applyFont="1" applyFill="1" applyBorder="1" applyAlignment="1">
      <alignment horizontal="center"/>
    </xf>
    <xf numFmtId="0" fontId="0" fillId="0" borderId="0" xfId="0" applyFont="1"/>
    <xf numFmtId="0" fontId="0" fillId="0" borderId="0" xfId="0" applyFont="1" applyAlignment="1">
      <alignment horizontal="left"/>
    </xf>
    <xf numFmtId="0" fontId="0" fillId="0" borderId="0" xfId="0" applyFont="1" applyAlignment="1">
      <alignment horizontal="center"/>
    </xf>
    <xf numFmtId="0" fontId="34" fillId="0" borderId="0" xfId="0" applyFont="1" applyAlignment="1"/>
    <xf numFmtId="0" fontId="34" fillId="0" borderId="0" xfId="0" applyFont="1"/>
    <xf numFmtId="164" fontId="15" fillId="0" borderId="0" xfId="1" applyFont="1" applyFill="1" applyBorder="1"/>
    <xf numFmtId="0" fontId="18" fillId="0" borderId="1" xfId="0" applyFont="1" applyFill="1" applyBorder="1"/>
    <xf numFmtId="164" fontId="18" fillId="3" borderId="1" xfId="1" applyFont="1" applyFill="1" applyBorder="1" applyAlignment="1"/>
    <xf numFmtId="164" fontId="15" fillId="3" borderId="1" xfId="1" applyFont="1" applyFill="1" applyBorder="1" applyAlignment="1">
      <alignment horizontal="left"/>
    </xf>
    <xf numFmtId="0" fontId="15" fillId="3" borderId="1" xfId="0" applyFont="1" applyFill="1" applyBorder="1"/>
    <xf numFmtId="164" fontId="15" fillId="3" borderId="1" xfId="1" applyFont="1" applyFill="1" applyBorder="1"/>
    <xf numFmtId="0" fontId="15" fillId="3" borderId="0" xfId="0" applyFont="1" applyFill="1"/>
    <xf numFmtId="0" fontId="36" fillId="0" borderId="4" xfId="0" applyFont="1" applyFill="1" applyBorder="1" applyAlignment="1"/>
    <xf numFmtId="0" fontId="37" fillId="0" borderId="1" xfId="0" applyFont="1" applyFill="1" applyBorder="1" applyAlignment="1">
      <alignment horizontal="left"/>
    </xf>
    <xf numFmtId="0" fontId="38" fillId="0" borderId="0" xfId="0" applyFont="1"/>
    <xf numFmtId="14" fontId="18" fillId="0" borderId="1" xfId="0" quotePrefix="1" applyNumberFormat="1" applyFont="1" applyFill="1" applyBorder="1" applyAlignment="1">
      <alignment horizontal="left"/>
    </xf>
    <xf numFmtId="4" fontId="21" fillId="0" borderId="1" xfId="1" applyNumberFormat="1" applyFont="1" applyFill="1" applyBorder="1"/>
    <xf numFmtId="0" fontId="12" fillId="0" borderId="0" xfId="0" applyFont="1" applyAlignment="1">
      <alignment horizontal="left"/>
    </xf>
    <xf numFmtId="0" fontId="12" fillId="0" borderId="0" xfId="0" applyFont="1" applyAlignment="1"/>
    <xf numFmtId="164" fontId="13" fillId="0" borderId="0" xfId="1" applyFont="1" applyAlignment="1">
      <alignment horizontal="center"/>
    </xf>
    <xf numFmtId="0" fontId="22" fillId="0" borderId="1" xfId="0" applyFont="1" applyFill="1" applyBorder="1"/>
    <xf numFmtId="0" fontId="15" fillId="0" borderId="0" xfId="0" applyFont="1"/>
    <xf numFmtId="164" fontId="13" fillId="0" borderId="0" xfId="0" applyNumberFormat="1" applyFont="1"/>
    <xf numFmtId="0" fontId="39" fillId="0" borderId="1" xfId="0" applyFont="1" applyFill="1" applyBorder="1" applyAlignment="1">
      <alignment horizontal="left"/>
    </xf>
    <xf numFmtId="0" fontId="40" fillId="0" borderId="1" xfId="0" applyFont="1" applyFill="1" applyBorder="1" applyAlignment="1">
      <alignment horizontal="left"/>
    </xf>
    <xf numFmtId="14" fontId="18" fillId="0" borderId="3" xfId="0" quotePrefix="1" applyNumberFormat="1" applyFont="1" applyFill="1" applyBorder="1" applyAlignment="1">
      <alignment horizontal="right"/>
    </xf>
    <xf numFmtId="0" fontId="18" fillId="0" borderId="3" xfId="0" applyFont="1" applyFill="1" applyBorder="1" applyAlignment="1">
      <alignment horizontal="left"/>
    </xf>
    <xf numFmtId="0" fontId="18" fillId="0" borderId="3" xfId="0" applyFont="1" applyFill="1" applyBorder="1" applyAlignment="1">
      <alignment horizontal="center"/>
    </xf>
    <xf numFmtId="0" fontId="18" fillId="0" borderId="3" xfId="0" quotePrefix="1" applyFont="1" applyFill="1" applyBorder="1" applyAlignment="1">
      <alignment horizontal="center"/>
    </xf>
    <xf numFmtId="0" fontId="18" fillId="0" borderId="3" xfId="0" quotePrefix="1" applyFont="1" applyFill="1" applyBorder="1" applyAlignment="1">
      <alignment horizontal="left"/>
    </xf>
    <xf numFmtId="164" fontId="11" fillId="0" borderId="3" xfId="1" applyFont="1" applyFill="1" applyBorder="1" applyAlignment="1"/>
    <xf numFmtId="0" fontId="15" fillId="0" borderId="3" xfId="0" applyFont="1" applyFill="1" applyBorder="1" applyAlignment="1">
      <alignment horizontal="left"/>
    </xf>
    <xf numFmtId="164" fontId="18" fillId="0" borderId="3" xfId="1" applyFont="1" applyFill="1" applyBorder="1" applyAlignment="1">
      <alignment horizontal="center"/>
    </xf>
    <xf numFmtId="0" fontId="5" fillId="0" borderId="2" xfId="0" applyFont="1" applyFill="1" applyBorder="1"/>
    <xf numFmtId="4" fontId="5" fillId="0" borderId="2" xfId="1" applyNumberFormat="1" applyFont="1" applyFill="1" applyBorder="1" applyAlignment="1"/>
    <xf numFmtId="0" fontId="21" fillId="0" borderId="2" xfId="0" applyFont="1" applyFill="1" applyBorder="1"/>
    <xf numFmtId="164" fontId="21" fillId="0" borderId="2" xfId="1" applyFont="1" applyFill="1" applyBorder="1"/>
    <xf numFmtId="0" fontId="21" fillId="0" borderId="2" xfId="0" applyFont="1" applyFill="1" applyBorder="1" applyAlignment="1">
      <alignment horizontal="left"/>
    </xf>
    <xf numFmtId="0" fontId="18" fillId="0" borderId="0" xfId="0" quotePrefix="1" applyFont="1" applyFill="1" applyBorder="1" applyAlignment="1">
      <alignment horizontal="left"/>
    </xf>
    <xf numFmtId="0" fontId="41" fillId="0" borderId="0" xfId="0" applyFont="1" applyFill="1"/>
    <xf numFmtId="0" fontId="43" fillId="0" borderId="0" xfId="0" applyFont="1" applyFill="1" applyAlignment="1">
      <alignment horizontal="right"/>
    </xf>
    <xf numFmtId="0" fontId="41" fillId="0" borderId="0" xfId="0" applyFont="1" applyFill="1" applyAlignment="1">
      <alignment horizontal="center"/>
    </xf>
    <xf numFmtId="0" fontId="41" fillId="0" borderId="0" xfId="0" applyFont="1" applyFill="1" applyAlignment="1"/>
    <xf numFmtId="0" fontId="41" fillId="0" borderId="0" xfId="0" applyFont="1" applyFill="1" applyAlignment="1">
      <alignment horizontal="left"/>
    </xf>
    <xf numFmtId="164" fontId="41" fillId="0" borderId="0" xfId="1" applyFont="1" applyFill="1"/>
    <xf numFmtId="0" fontId="43" fillId="0" borderId="1" xfId="0" applyFont="1" applyFill="1" applyBorder="1" applyAlignment="1">
      <alignment horizontal="right"/>
    </xf>
    <xf numFmtId="0" fontId="43" fillId="0" borderId="1" xfId="0" applyFont="1" applyFill="1" applyBorder="1" applyAlignment="1">
      <alignment horizontal="center"/>
    </xf>
    <xf numFmtId="0" fontId="43" fillId="0" borderId="1" xfId="0" applyFont="1" applyFill="1" applyBorder="1" applyAlignment="1"/>
    <xf numFmtId="0" fontId="43" fillId="0" borderId="1" xfId="0" applyFont="1" applyFill="1" applyBorder="1" applyAlignment="1">
      <alignment horizontal="left"/>
    </xf>
    <xf numFmtId="164" fontId="44" fillId="0" borderId="1" xfId="1" applyFont="1" applyFill="1" applyBorder="1" applyAlignment="1">
      <alignment horizontal="center"/>
    </xf>
    <xf numFmtId="164" fontId="43" fillId="0" borderId="1" xfId="1" applyFont="1" applyFill="1" applyBorder="1" applyAlignment="1">
      <alignment horizontal="center"/>
    </xf>
    <xf numFmtId="0" fontId="43" fillId="0" borderId="1" xfId="0" applyFont="1" applyFill="1" applyBorder="1"/>
    <xf numFmtId="14" fontId="41" fillId="0" borderId="1" xfId="0" applyNumberFormat="1" applyFont="1" applyFill="1" applyBorder="1" applyAlignment="1">
      <alignment horizontal="right"/>
    </xf>
    <xf numFmtId="0" fontId="41" fillId="0" borderId="1" xfId="0" applyFont="1" applyFill="1" applyBorder="1" applyAlignment="1">
      <alignment horizontal="left"/>
    </xf>
    <xf numFmtId="0" fontId="41" fillId="0" borderId="1" xfId="0" applyFont="1" applyFill="1" applyBorder="1" applyAlignment="1">
      <alignment horizontal="center"/>
    </xf>
    <xf numFmtId="0" fontId="41" fillId="0" borderId="1" xfId="0" applyFont="1" applyFill="1" applyBorder="1" applyAlignment="1"/>
    <xf numFmtId="4" fontId="41" fillId="0" borderId="1" xfId="1" applyNumberFormat="1" applyFont="1" applyFill="1" applyBorder="1" applyAlignment="1"/>
    <xf numFmtId="164" fontId="41" fillId="0" borderId="1" xfId="1" applyFont="1" applyFill="1" applyBorder="1"/>
    <xf numFmtId="0" fontId="41" fillId="0" borderId="1" xfId="0" applyFont="1" applyFill="1" applyBorder="1"/>
    <xf numFmtId="164" fontId="41" fillId="0" borderId="1" xfId="1" quotePrefix="1" applyFont="1" applyFill="1" applyBorder="1" applyAlignment="1">
      <alignment horizontal="center"/>
    </xf>
    <xf numFmtId="0" fontId="41" fillId="0" borderId="1" xfId="0" quotePrefix="1" applyFont="1" applyFill="1" applyBorder="1" applyAlignment="1">
      <alignment horizontal="center"/>
    </xf>
    <xf numFmtId="164" fontId="41" fillId="0" borderId="1" xfId="1" applyFont="1" applyFill="1" applyBorder="1" applyAlignment="1"/>
    <xf numFmtId="164" fontId="41" fillId="0" borderId="1" xfId="1" applyFont="1" applyFill="1" applyBorder="1" applyAlignment="1">
      <alignment horizontal="center"/>
    </xf>
    <xf numFmtId="0" fontId="41" fillId="0" borderId="1" xfId="0" quotePrefix="1" applyFont="1" applyFill="1" applyBorder="1" applyAlignment="1">
      <alignment horizontal="left"/>
    </xf>
    <xf numFmtId="14" fontId="41" fillId="0" borderId="1" xfId="0" quotePrefix="1" applyNumberFormat="1" applyFont="1" applyFill="1" applyBorder="1" applyAlignment="1">
      <alignment horizontal="right"/>
    </xf>
    <xf numFmtId="0" fontId="41" fillId="0" borderId="1" xfId="0" applyFont="1" applyFill="1" applyBorder="1" applyAlignment="1">
      <alignment horizontal="center" vertical="top"/>
    </xf>
    <xf numFmtId="164" fontId="41" fillId="0" borderId="1" xfId="1" applyFont="1" applyFill="1" applyBorder="1" applyAlignment="1">
      <alignment horizontal="left"/>
    </xf>
    <xf numFmtId="0" fontId="41" fillId="0" borderId="1" xfId="0" applyFont="1" applyFill="1" applyBorder="1" applyAlignment="1">
      <alignment horizontal="left" wrapText="1"/>
    </xf>
    <xf numFmtId="14" fontId="41" fillId="0" borderId="1" xfId="0" quotePrefix="1" applyNumberFormat="1" applyFont="1" applyFill="1" applyBorder="1" applyAlignment="1">
      <alignment horizontal="left"/>
    </xf>
    <xf numFmtId="14" fontId="45" fillId="0" borderId="1" xfId="0" applyNumberFormat="1" applyFont="1" applyFill="1" applyBorder="1" applyAlignment="1">
      <alignment horizontal="right"/>
    </xf>
    <xf numFmtId="0" fontId="45" fillId="0" borderId="1" xfId="0" applyFont="1" applyFill="1" applyBorder="1"/>
    <xf numFmtId="0" fontId="45" fillId="0" borderId="1" xfId="0" applyFont="1" applyFill="1" applyBorder="1" applyAlignment="1">
      <alignment horizontal="center"/>
    </xf>
    <xf numFmtId="0" fontId="45" fillId="0" borderId="1" xfId="0" applyFont="1" applyFill="1" applyBorder="1" applyAlignment="1"/>
    <xf numFmtId="0" fontId="45" fillId="0" borderId="1" xfId="0" quotePrefix="1" applyFont="1" applyFill="1" applyBorder="1" applyAlignment="1">
      <alignment horizontal="left"/>
    </xf>
    <xf numFmtId="164" fontId="45" fillId="0" borderId="1" xfId="1" applyFont="1" applyFill="1" applyBorder="1"/>
    <xf numFmtId="0" fontId="45" fillId="0" borderId="0" xfId="0" applyFont="1" applyFill="1" applyBorder="1"/>
    <xf numFmtId="0" fontId="41" fillId="0" borderId="0" xfId="0" applyFont="1" applyFill="1" applyAlignment="1">
      <alignment horizontal="right"/>
    </xf>
    <xf numFmtId="164" fontId="43" fillId="0" borderId="0" xfId="0" applyNumberFormat="1" applyFont="1" applyFill="1"/>
    <xf numFmtId="43" fontId="41" fillId="0" borderId="0" xfId="0" applyNumberFormat="1" applyFont="1" applyFill="1"/>
    <xf numFmtId="164" fontId="41" fillId="0" borderId="0" xfId="0" applyNumberFormat="1" applyFont="1" applyFill="1"/>
    <xf numFmtId="164" fontId="47" fillId="0" borderId="0" xfId="1" applyFont="1" applyFill="1" applyAlignment="1">
      <alignment horizontal="left"/>
    </xf>
    <xf numFmtId="164" fontId="48" fillId="0" borderId="1" xfId="1" applyFont="1" applyFill="1" applyBorder="1" applyAlignment="1">
      <alignment horizontal="left"/>
    </xf>
    <xf numFmtId="164" fontId="47" fillId="0" borderId="1" xfId="1" applyFont="1" applyFill="1" applyBorder="1" applyAlignment="1">
      <alignment horizontal="left"/>
    </xf>
    <xf numFmtId="0" fontId="47" fillId="0" borderId="1" xfId="0" quotePrefix="1" applyFont="1" applyFill="1" applyBorder="1" applyAlignment="1">
      <alignment horizontal="left"/>
    </xf>
    <xf numFmtId="164" fontId="47" fillId="0" borderId="1" xfId="1" applyFont="1" applyFill="1" applyBorder="1"/>
    <xf numFmtId="0" fontId="47" fillId="0" borderId="0" xfId="0" applyFont="1" applyFill="1" applyAlignment="1">
      <alignment horizontal="left"/>
    </xf>
    <xf numFmtId="0" fontId="47" fillId="0" borderId="0" xfId="0" applyFont="1" applyFill="1"/>
    <xf numFmtId="0" fontId="50" fillId="0" borderId="0" xfId="0" applyFont="1" applyBorder="1" applyAlignment="1">
      <alignment horizontal="center"/>
    </xf>
    <xf numFmtId="0" fontId="50" fillId="0" borderId="0" xfId="0" applyFont="1" applyBorder="1" applyAlignment="1"/>
    <xf numFmtId="0" fontId="51" fillId="0" borderId="1" xfId="0" applyFont="1" applyFill="1" applyBorder="1" applyAlignment="1">
      <alignment horizontal="center"/>
    </xf>
    <xf numFmtId="164" fontId="50" fillId="0" borderId="0" xfId="1" applyFont="1" applyBorder="1" applyAlignment="1"/>
    <xf numFmtId="164" fontId="50" fillId="0" borderId="0" xfId="1" applyFont="1" applyBorder="1" applyAlignment="1">
      <alignment horizontal="center"/>
    </xf>
    <xf numFmtId="164" fontId="49" fillId="0" borderId="1" xfId="1" applyFont="1" applyBorder="1" applyAlignment="1">
      <alignment horizontal="center"/>
    </xf>
    <xf numFmtId="164" fontId="52" fillId="0" borderId="1" xfId="1" applyFont="1" applyBorder="1"/>
    <xf numFmtId="0" fontId="53" fillId="0" borderId="1" xfId="0" applyFont="1" applyBorder="1" applyAlignment="1">
      <alignment horizontal="center"/>
    </xf>
    <xf numFmtId="0" fontId="50" fillId="0" borderId="0" xfId="0" applyFont="1" applyBorder="1" applyAlignment="1">
      <alignment horizontal="center"/>
    </xf>
    <xf numFmtId="0" fontId="30" fillId="2" borderId="0" xfId="0" applyFont="1" applyFill="1" applyAlignment="1">
      <alignment horizontal="left"/>
    </xf>
    <xf numFmtId="0" fontId="23" fillId="0" borderId="0" xfId="0" applyFont="1" applyFill="1"/>
    <xf numFmtId="4" fontId="30" fillId="0" borderId="0" xfId="0" applyNumberFormat="1" applyFont="1" applyFill="1" applyAlignment="1"/>
    <xf numFmtId="164" fontId="54" fillId="0" borderId="0" xfId="1" applyFont="1" applyFill="1" applyBorder="1"/>
    <xf numFmtId="164" fontId="30" fillId="0" borderId="0" xfId="1" applyFont="1" applyFill="1" applyBorder="1"/>
    <xf numFmtId="0" fontId="54" fillId="0" borderId="0" xfId="0" applyFont="1" applyFill="1" applyBorder="1" applyAlignment="1">
      <alignment horizontal="left"/>
    </xf>
    <xf numFmtId="0" fontId="21" fillId="2" borderId="0" xfId="0" applyFont="1" applyFill="1" applyAlignment="1">
      <alignment horizontal="left"/>
    </xf>
    <xf numFmtId="0" fontId="18" fillId="0" borderId="0" xfId="0" applyFont="1" applyFill="1"/>
    <xf numFmtId="4" fontId="21" fillId="0" borderId="0" xfId="0" applyNumberFormat="1" applyFont="1" applyFill="1" applyAlignment="1"/>
    <xf numFmtId="164" fontId="22" fillId="0" borderId="0" xfId="1" applyFont="1" applyFill="1" applyBorder="1"/>
    <xf numFmtId="164" fontId="21" fillId="0" borderId="0" xfId="1" applyFont="1" applyFill="1" applyBorder="1"/>
    <xf numFmtId="0" fontId="22" fillId="0" borderId="0" xfId="0" applyFont="1" applyFill="1" applyBorder="1" applyAlignment="1">
      <alignment horizontal="left"/>
    </xf>
    <xf numFmtId="164" fontId="22" fillId="0" borderId="0" xfId="1" applyFont="1" applyFill="1"/>
    <xf numFmtId="164" fontId="21" fillId="0" borderId="0" xfId="1" applyFont="1" applyFill="1"/>
    <xf numFmtId="0" fontId="21" fillId="0" borderId="0" xfId="0" applyFont="1" applyFill="1"/>
    <xf numFmtId="0" fontId="22" fillId="0" borderId="0" xfId="0" applyFont="1" applyFill="1" applyAlignment="1">
      <alignment horizontal="left"/>
    </xf>
    <xf numFmtId="0" fontId="21" fillId="2" borderId="0" xfId="0" applyFont="1" applyFill="1" applyAlignment="1">
      <alignment horizontal="right"/>
    </xf>
    <xf numFmtId="4" fontId="19" fillId="0" borderId="0" xfId="1" applyNumberFormat="1" applyFont="1" applyFill="1" applyAlignment="1"/>
    <xf numFmtId="164" fontId="18" fillId="0" borderId="0" xfId="1" applyFont="1" applyFill="1"/>
    <xf numFmtId="164" fontId="18" fillId="0" borderId="0" xfId="1" applyFont="1" applyFill="1" applyAlignment="1">
      <alignment horizontal="left"/>
    </xf>
    <xf numFmtId="0" fontId="21" fillId="2" borderId="1" xfId="0" applyFont="1" applyFill="1" applyBorder="1" applyAlignment="1">
      <alignment horizontal="right"/>
    </xf>
    <xf numFmtId="0" fontId="22" fillId="0" borderId="1" xfId="0" applyFont="1" applyFill="1" applyBorder="1" applyAlignment="1">
      <alignment horizontal="center"/>
    </xf>
    <xf numFmtId="0" fontId="21" fillId="0" borderId="1" xfId="0" applyFont="1" applyFill="1" applyBorder="1" applyAlignment="1">
      <alignment horizontal="left"/>
    </xf>
    <xf numFmtId="164" fontId="22" fillId="0" borderId="1" xfId="1" applyFont="1" applyFill="1" applyBorder="1" applyAlignment="1">
      <alignment horizontal="center"/>
    </xf>
    <xf numFmtId="164" fontId="21" fillId="0" borderId="6" xfId="1" applyFont="1" applyFill="1" applyBorder="1" applyAlignment="1">
      <alignment horizontal="center"/>
    </xf>
    <xf numFmtId="164" fontId="18" fillId="0" borderId="6" xfId="1" applyFont="1" applyFill="1" applyBorder="1" applyAlignment="1">
      <alignment horizontal="left"/>
    </xf>
    <xf numFmtId="14" fontId="40" fillId="0" borderId="2" xfId="0" quotePrefix="1" applyNumberFormat="1" applyFont="1" applyFill="1" applyBorder="1" applyAlignment="1">
      <alignment horizontal="right"/>
    </xf>
    <xf numFmtId="0" fontId="40" fillId="0" borderId="2" xfId="0" quotePrefix="1" applyFont="1" applyFill="1" applyBorder="1" applyAlignment="1">
      <alignment horizontal="left"/>
    </xf>
    <xf numFmtId="4" fontId="19" fillId="0" borderId="2" xfId="1" applyNumberFormat="1" applyFont="1" applyFill="1" applyBorder="1" applyAlignment="1"/>
    <xf numFmtId="164" fontId="28" fillId="0" borderId="5" xfId="1" applyFont="1" applyFill="1" applyBorder="1" applyAlignment="1">
      <alignment horizontal="left"/>
    </xf>
    <xf numFmtId="164" fontId="35" fillId="0" borderId="5" xfId="1" applyFont="1" applyFill="1" applyBorder="1" applyAlignment="1">
      <alignment horizontal="left"/>
    </xf>
    <xf numFmtId="164" fontId="40" fillId="0" borderId="1" xfId="1" quotePrefix="1" applyFont="1" applyFill="1" applyBorder="1" applyAlignment="1">
      <alignment horizontal="center"/>
    </xf>
    <xf numFmtId="164" fontId="18" fillId="0" borderId="5" xfId="1" applyFont="1" applyFill="1" applyBorder="1" applyAlignment="1">
      <alignment horizontal="left"/>
    </xf>
    <xf numFmtId="14" fontId="18" fillId="0" borderId="2" xfId="0" quotePrefix="1" applyNumberFormat="1" applyFont="1" applyFill="1" applyBorder="1" applyAlignment="1">
      <alignment horizontal="right"/>
    </xf>
    <xf numFmtId="0" fontId="18" fillId="0" borderId="2" xfId="0" quotePrefix="1" applyFont="1" applyFill="1" applyBorder="1" applyAlignment="1">
      <alignment horizontal="left"/>
    </xf>
    <xf numFmtId="164" fontId="18" fillId="0" borderId="1" xfId="1" quotePrefix="1" applyFont="1" applyFill="1" applyBorder="1" applyAlignment="1">
      <alignment horizontal="center"/>
    </xf>
    <xf numFmtId="0" fontId="18" fillId="0" borderId="1" xfId="0" applyFont="1" applyFill="1" applyBorder="1" applyAlignment="1">
      <alignment horizontal="center" vertical="top"/>
    </xf>
    <xf numFmtId="4" fontId="24" fillId="0" borderId="1" xfId="1" applyNumberFormat="1" applyFont="1" applyBorder="1"/>
    <xf numFmtId="0" fontId="0" fillId="0" borderId="0" xfId="0" applyFont="1" applyAlignment="1">
      <alignment horizontal="right"/>
    </xf>
    <xf numFmtId="0" fontId="0" fillId="0" borderId="0" xfId="0" applyFont="1" applyAlignment="1"/>
    <xf numFmtId="43" fontId="0" fillId="0" borderId="0" xfId="0" applyNumberFormat="1" applyFont="1"/>
    <xf numFmtId="164" fontId="0" fillId="0" borderId="0" xfId="0" applyNumberFormat="1" applyFont="1"/>
    <xf numFmtId="0" fontId="56" fillId="0" borderId="0" xfId="0" applyFont="1"/>
    <xf numFmtId="0" fontId="55" fillId="0" borderId="0" xfId="0" applyFont="1" applyAlignment="1">
      <alignment horizontal="right"/>
    </xf>
    <xf numFmtId="0" fontId="55" fillId="0" borderId="0" xfId="0" applyFont="1"/>
    <xf numFmtId="164" fontId="55" fillId="0" borderId="0" xfId="1" applyFont="1" applyAlignment="1">
      <alignment horizontal="center"/>
    </xf>
    <xf numFmtId="0" fontId="55" fillId="0" borderId="0" xfId="0" applyFont="1" applyAlignment="1">
      <alignment horizontal="center"/>
    </xf>
    <xf numFmtId="164" fontId="56" fillId="0" borderId="0" xfId="1" applyFont="1" applyAlignment="1">
      <alignment horizontal="center"/>
    </xf>
    <xf numFmtId="0" fontId="56" fillId="0" borderId="0" xfId="0" applyFont="1" applyAlignment="1">
      <alignment horizontal="center"/>
    </xf>
    <xf numFmtId="14" fontId="56" fillId="0" borderId="0" xfId="0" applyNumberFormat="1" applyFont="1" applyAlignment="1">
      <alignment horizontal="right"/>
    </xf>
    <xf numFmtId="0" fontId="57" fillId="0" borderId="0" xfId="0" applyFont="1"/>
    <xf numFmtId="164" fontId="56" fillId="0" borderId="0" xfId="1" applyFont="1"/>
    <xf numFmtId="9" fontId="56" fillId="0" borderId="0" xfId="0" applyNumberFormat="1" applyFont="1" applyFill="1"/>
    <xf numFmtId="14" fontId="56" fillId="0" borderId="0" xfId="0" quotePrefix="1" applyNumberFormat="1" applyFont="1" applyAlignment="1">
      <alignment horizontal="right"/>
    </xf>
    <xf numFmtId="0" fontId="58" fillId="0" borderId="0" xfId="0" applyFont="1"/>
    <xf numFmtId="14" fontId="56" fillId="0" borderId="0" xfId="0" applyNumberFormat="1" applyFont="1" applyAlignment="1">
      <alignment wrapText="1"/>
    </xf>
    <xf numFmtId="14" fontId="56" fillId="4" borderId="0" xfId="0" applyNumberFormat="1" applyFont="1" applyFill="1"/>
    <xf numFmtId="14" fontId="56" fillId="4" borderId="0" xfId="0" applyNumberFormat="1" applyFont="1" applyFill="1" applyAlignment="1">
      <alignment wrapText="1"/>
    </xf>
    <xf numFmtId="164" fontId="57" fillId="0" borderId="0" xfId="1" applyFont="1"/>
    <xf numFmtId="164" fontId="57" fillId="0" borderId="0" xfId="1" applyFont="1" applyFill="1"/>
    <xf numFmtId="14" fontId="59" fillId="0" borderId="0" xfId="0" quotePrefix="1" applyNumberFormat="1" applyFont="1" applyFill="1" applyBorder="1" applyAlignment="1">
      <alignment horizontal="right"/>
    </xf>
    <xf numFmtId="0" fontId="59" fillId="0" borderId="0" xfId="0" applyFont="1" applyFill="1" applyBorder="1" applyAlignment="1">
      <alignment horizontal="left" wrapText="1"/>
    </xf>
    <xf numFmtId="14" fontId="58" fillId="0" borderId="0" xfId="0" quotePrefix="1" applyNumberFormat="1" applyFont="1" applyAlignment="1">
      <alignment horizontal="right"/>
    </xf>
    <xf numFmtId="14" fontId="58" fillId="0" borderId="0" xfId="0" applyNumberFormat="1" applyFont="1" applyAlignment="1">
      <alignment wrapText="1"/>
    </xf>
    <xf numFmtId="164" fontId="58" fillId="0" borderId="0" xfId="1" applyFont="1"/>
    <xf numFmtId="9" fontId="58" fillId="0" borderId="0" xfId="0" applyNumberFormat="1" applyFont="1" applyFill="1"/>
    <xf numFmtId="0" fontId="56" fillId="0" borderId="0" xfId="0" applyFont="1" applyAlignment="1">
      <alignment horizontal="right"/>
    </xf>
    <xf numFmtId="164" fontId="55" fillId="0" borderId="0" xfId="1" applyFont="1"/>
    <xf numFmtId="164" fontId="63" fillId="0" borderId="1" xfId="1" applyFont="1" applyFill="1" applyBorder="1"/>
    <xf numFmtId="14" fontId="64" fillId="6" borderId="1" xfId="3" quotePrefix="1" applyNumberFormat="1" applyFont="1" applyBorder="1" applyAlignment="1">
      <alignment horizontal="right"/>
    </xf>
    <xf numFmtId="0" fontId="64" fillId="6" borderId="1" xfId="3" applyFont="1" applyBorder="1" applyAlignment="1">
      <alignment horizontal="left"/>
    </xf>
    <xf numFmtId="0" fontId="64" fillId="6" borderId="1" xfId="3" applyFont="1" applyBorder="1" applyAlignment="1">
      <alignment horizontal="center"/>
    </xf>
    <xf numFmtId="0" fontId="64" fillId="6" borderId="1" xfId="3" quotePrefix="1" applyFont="1" applyBorder="1" applyAlignment="1">
      <alignment horizontal="left"/>
    </xf>
    <xf numFmtId="0" fontId="64" fillId="6" borderId="1" xfId="3" quotePrefix="1" applyFont="1" applyBorder="1" applyAlignment="1">
      <alignment horizontal="center"/>
    </xf>
    <xf numFmtId="164" fontId="64" fillId="6" borderId="1" xfId="3" applyNumberFormat="1" applyFont="1" applyBorder="1" applyAlignment="1"/>
    <xf numFmtId="164" fontId="64" fillId="6" borderId="1" xfId="3" applyNumberFormat="1" applyFont="1" applyBorder="1"/>
    <xf numFmtId="164" fontId="64" fillId="6" borderId="1" xfId="3" applyNumberFormat="1" applyFont="1" applyBorder="1" applyAlignment="1">
      <alignment horizontal="left"/>
    </xf>
    <xf numFmtId="0" fontId="64" fillId="6" borderId="1" xfId="3" applyFont="1" applyBorder="1"/>
    <xf numFmtId="0" fontId="64" fillId="6" borderId="0" xfId="3" applyFont="1"/>
    <xf numFmtId="0" fontId="63" fillId="0" borderId="0" xfId="0" quotePrefix="1" applyFont="1"/>
    <xf numFmtId="0" fontId="63" fillId="0" borderId="0" xfId="0" applyFont="1"/>
    <xf numFmtId="0" fontId="63" fillId="0" borderId="0" xfId="0" quotePrefix="1" applyFont="1" applyAlignment="1">
      <alignment horizontal="left"/>
    </xf>
    <xf numFmtId="14" fontId="65" fillId="7" borderId="7" xfId="4" quotePrefix="1" applyNumberFormat="1" applyFont="1" applyAlignment="1">
      <alignment horizontal="right"/>
    </xf>
    <xf numFmtId="0" fontId="65" fillId="7" borderId="7" xfId="4" applyFont="1" applyAlignment="1">
      <alignment horizontal="left"/>
    </xf>
    <xf numFmtId="0" fontId="65" fillId="7" borderId="7" xfId="4" applyFont="1" applyAlignment="1">
      <alignment horizontal="center"/>
    </xf>
    <xf numFmtId="0" fontId="65" fillId="7" borderId="7" xfId="4" quotePrefix="1" applyFont="1" applyAlignment="1">
      <alignment horizontal="left"/>
    </xf>
    <xf numFmtId="0" fontId="65" fillId="7" borderId="7" xfId="4" quotePrefix="1" applyFont="1" applyAlignment="1">
      <alignment horizontal="center"/>
    </xf>
    <xf numFmtId="164" fontId="65" fillId="7" borderId="7" xfId="4" applyNumberFormat="1" applyFont="1" applyAlignment="1"/>
    <xf numFmtId="164" fontId="65" fillId="7" borderId="7" xfId="4" applyNumberFormat="1" applyFont="1"/>
    <xf numFmtId="164" fontId="65" fillId="7" borderId="7" xfId="4" applyNumberFormat="1" applyFont="1" applyAlignment="1">
      <alignment horizontal="left"/>
    </xf>
    <xf numFmtId="0" fontId="65" fillId="7" borderId="7" xfId="4" applyFont="1"/>
    <xf numFmtId="0" fontId="66" fillId="2" borderId="0" xfId="0" applyFont="1" applyFill="1" applyAlignment="1">
      <alignment horizontal="left"/>
    </xf>
    <xf numFmtId="0" fontId="67" fillId="0" borderId="0" xfId="0" applyFont="1" applyFill="1"/>
    <xf numFmtId="0" fontId="68" fillId="0" borderId="0" xfId="0" applyFont="1" applyFill="1" applyAlignment="1">
      <alignment horizontal="center"/>
    </xf>
    <xf numFmtId="0" fontId="67" fillId="0" borderId="0" xfId="0" applyFont="1" applyFill="1" applyAlignment="1"/>
    <xf numFmtId="0" fontId="68" fillId="0" borderId="0" xfId="0" applyFont="1" applyFill="1" applyAlignment="1">
      <alignment horizontal="left"/>
    </xf>
    <xf numFmtId="4" fontId="66" fillId="0" borderId="0" xfId="0" applyNumberFormat="1" applyFont="1" applyFill="1" applyAlignment="1"/>
    <xf numFmtId="164" fontId="69" fillId="0" borderId="0" xfId="1" applyFont="1" applyFill="1" applyBorder="1"/>
    <xf numFmtId="164" fontId="66" fillId="0" borderId="0" xfId="1" applyFont="1" applyFill="1" applyBorder="1"/>
    <xf numFmtId="0" fontId="66" fillId="0" borderId="0" xfId="0" applyFont="1" applyFill="1" applyBorder="1"/>
    <xf numFmtId="0" fontId="69" fillId="0" borderId="0" xfId="0" applyFont="1" applyFill="1" applyBorder="1" applyAlignment="1">
      <alignment horizontal="left"/>
    </xf>
    <xf numFmtId="0" fontId="70" fillId="2" borderId="0" xfId="0" applyFont="1" applyFill="1" applyAlignment="1">
      <alignment horizontal="left"/>
    </xf>
    <xf numFmtId="0" fontId="71" fillId="0" borderId="0" xfId="0" applyFont="1" applyFill="1"/>
    <xf numFmtId="0" fontId="72" fillId="0" borderId="0" xfId="0" applyFont="1" applyFill="1" applyAlignment="1">
      <alignment horizontal="center"/>
    </xf>
    <xf numFmtId="0" fontId="71" fillId="0" borderId="0" xfId="0" applyFont="1" applyFill="1" applyAlignment="1"/>
    <xf numFmtId="0" fontId="72" fillId="0" borderId="0" xfId="0" applyFont="1" applyFill="1" applyAlignment="1">
      <alignment horizontal="left"/>
    </xf>
    <xf numFmtId="4" fontId="70" fillId="0" borderId="0" xfId="0" applyNumberFormat="1" applyFont="1" applyFill="1" applyAlignment="1"/>
    <xf numFmtId="164" fontId="73" fillId="0" borderId="0" xfId="1" applyFont="1" applyFill="1" applyBorder="1"/>
    <xf numFmtId="164" fontId="70" fillId="0" borderId="0" xfId="1" applyFont="1" applyFill="1" applyBorder="1"/>
    <xf numFmtId="0" fontId="70" fillId="0" borderId="0" xfId="0" applyFont="1" applyFill="1" applyBorder="1"/>
    <xf numFmtId="0" fontId="73" fillId="0" borderId="0" xfId="0" applyFont="1" applyFill="1" applyBorder="1" applyAlignment="1">
      <alignment horizontal="left"/>
    </xf>
    <xf numFmtId="164" fontId="73" fillId="0" borderId="0" xfId="1" applyFont="1" applyFill="1"/>
    <xf numFmtId="164" fontId="70" fillId="0" borderId="0" xfId="1" applyFont="1" applyFill="1"/>
    <xf numFmtId="0" fontId="70" fillId="0" borderId="0" xfId="0" applyFont="1" applyFill="1"/>
    <xf numFmtId="0" fontId="73" fillId="0" borderId="0" xfId="0" applyFont="1" applyFill="1" applyAlignment="1">
      <alignment horizontal="left"/>
    </xf>
    <xf numFmtId="0" fontId="70" fillId="2" borderId="0" xfId="0" applyFont="1" applyFill="1" applyAlignment="1">
      <alignment horizontal="right"/>
    </xf>
    <xf numFmtId="4" fontId="72" fillId="0" borderId="0" xfId="1" applyNumberFormat="1" applyFont="1" applyFill="1" applyAlignment="1"/>
    <xf numFmtId="164" fontId="71" fillId="0" borderId="0" xfId="1" applyFont="1" applyFill="1"/>
    <xf numFmtId="164" fontId="72" fillId="0" borderId="0" xfId="1" applyFont="1" applyFill="1"/>
    <xf numFmtId="164" fontId="71" fillId="0" borderId="0" xfId="1" applyFont="1" applyFill="1" applyAlignment="1">
      <alignment horizontal="left"/>
    </xf>
    <xf numFmtId="0" fontId="70" fillId="2" borderId="1" xfId="0" applyFont="1" applyFill="1" applyBorder="1" applyAlignment="1">
      <alignment horizontal="right"/>
    </xf>
    <xf numFmtId="0" fontId="73" fillId="0" borderId="1" xfId="0" applyFont="1" applyFill="1" applyBorder="1" applyAlignment="1">
      <alignment horizontal="center"/>
    </xf>
    <xf numFmtId="0" fontId="70" fillId="0" borderId="1" xfId="0" applyFont="1" applyFill="1" applyBorder="1" applyAlignment="1">
      <alignment horizontal="center"/>
    </xf>
    <xf numFmtId="0" fontId="73" fillId="0" borderId="1" xfId="0" applyFont="1" applyFill="1" applyBorder="1" applyAlignment="1"/>
    <xf numFmtId="0" fontId="70" fillId="0" borderId="1" xfId="0" applyFont="1" applyFill="1" applyBorder="1" applyAlignment="1">
      <alignment horizontal="left"/>
    </xf>
    <xf numFmtId="4" fontId="70" fillId="0" borderId="1" xfId="1" applyNumberFormat="1" applyFont="1" applyFill="1" applyBorder="1" applyAlignment="1"/>
    <xf numFmtId="164" fontId="73" fillId="0" borderId="1" xfId="1" applyFont="1" applyFill="1" applyBorder="1" applyAlignment="1">
      <alignment horizontal="center"/>
    </xf>
    <xf numFmtId="164" fontId="70" fillId="0" borderId="1" xfId="1" applyFont="1" applyFill="1" applyBorder="1" applyAlignment="1">
      <alignment horizontal="center"/>
    </xf>
    <xf numFmtId="164" fontId="73" fillId="0" borderId="1" xfId="1" applyFont="1" applyFill="1" applyBorder="1" applyAlignment="1">
      <alignment horizontal="left"/>
    </xf>
    <xf numFmtId="0" fontId="74" fillId="0" borderId="1" xfId="0" applyFont="1" applyBorder="1"/>
    <xf numFmtId="0" fontId="63" fillId="0" borderId="1" xfId="0" applyFont="1" applyBorder="1"/>
    <xf numFmtId="14" fontId="72" fillId="2" borderId="1" xfId="0" applyNumberFormat="1" applyFont="1" applyFill="1" applyBorder="1" applyAlignment="1">
      <alignment horizontal="right"/>
    </xf>
    <xf numFmtId="0" fontId="71" fillId="0" borderId="1" xfId="0" applyFont="1" applyFill="1" applyBorder="1" applyAlignment="1">
      <alignment horizontal="left"/>
    </xf>
    <xf numFmtId="0" fontId="72" fillId="0" borderId="1" xfId="0" applyFont="1" applyFill="1" applyBorder="1" applyAlignment="1">
      <alignment horizontal="center"/>
    </xf>
    <xf numFmtId="0" fontId="71" fillId="0" borderId="1" xfId="0" applyFont="1" applyFill="1" applyBorder="1" applyAlignment="1"/>
    <xf numFmtId="0" fontId="72" fillId="0" borderId="1" xfId="0" applyFont="1" applyFill="1" applyBorder="1" applyAlignment="1">
      <alignment horizontal="left"/>
    </xf>
    <xf numFmtId="4" fontId="72" fillId="0" borderId="1" xfId="1" applyNumberFormat="1" applyFont="1" applyFill="1" applyBorder="1" applyAlignment="1"/>
    <xf numFmtId="164" fontId="72" fillId="0" borderId="6" xfId="1" applyFont="1" applyFill="1" applyBorder="1" applyAlignment="1">
      <alignment horizontal="center"/>
    </xf>
    <xf numFmtId="164" fontId="56" fillId="0" borderId="1" xfId="1" applyFont="1" applyBorder="1"/>
    <xf numFmtId="164" fontId="70" fillId="0" borderId="6" xfId="1" applyFont="1" applyFill="1" applyBorder="1" applyAlignment="1">
      <alignment horizontal="center"/>
    </xf>
    <xf numFmtId="164" fontId="71" fillId="0" borderId="6" xfId="1" applyFont="1" applyFill="1" applyBorder="1" applyAlignment="1">
      <alignment horizontal="left"/>
    </xf>
    <xf numFmtId="0" fontId="56" fillId="0" borderId="1" xfId="0" applyFont="1" applyBorder="1"/>
    <xf numFmtId="14" fontId="75" fillId="0" borderId="2" xfId="0" quotePrefix="1" applyNumberFormat="1" applyFont="1" applyFill="1" applyBorder="1" applyAlignment="1">
      <alignment horizontal="right"/>
    </xf>
    <xf numFmtId="0" fontId="72" fillId="0" borderId="2" xfId="0" applyFont="1" applyFill="1" applyBorder="1" applyAlignment="1">
      <alignment horizontal="center"/>
    </xf>
    <xf numFmtId="4" fontId="71" fillId="0" borderId="1" xfId="1" applyNumberFormat="1" applyFont="1" applyFill="1" applyBorder="1" applyAlignment="1"/>
    <xf numFmtId="0" fontId="72" fillId="0" borderId="2" xfId="0" quotePrefix="1" applyFont="1" applyFill="1" applyBorder="1" applyAlignment="1">
      <alignment horizontal="center"/>
    </xf>
    <xf numFmtId="0" fontId="75" fillId="0" borderId="2" xfId="0" quotePrefix="1" applyFont="1" applyFill="1" applyBorder="1" applyAlignment="1">
      <alignment horizontal="left"/>
    </xf>
    <xf numFmtId="4" fontId="72" fillId="0" borderId="2" xfId="1" applyNumberFormat="1" applyFont="1" applyFill="1" applyBorder="1" applyAlignment="1"/>
    <xf numFmtId="164" fontId="76" fillId="0" borderId="5" xfId="1" applyFont="1" applyFill="1" applyBorder="1" applyAlignment="1">
      <alignment horizontal="left"/>
    </xf>
    <xf numFmtId="164" fontId="59" fillId="0" borderId="5" xfId="1" applyFont="1" applyFill="1" applyBorder="1" applyAlignment="1">
      <alignment horizontal="left"/>
    </xf>
    <xf numFmtId="164" fontId="75" fillId="0" borderId="1" xfId="1" quotePrefix="1" applyFont="1" applyFill="1" applyBorder="1" applyAlignment="1">
      <alignment horizontal="center"/>
    </xf>
    <xf numFmtId="164" fontId="71" fillId="0" borderId="5" xfId="1" applyFont="1" applyFill="1" applyBorder="1" applyAlignment="1">
      <alignment horizontal="left"/>
    </xf>
    <xf numFmtId="0" fontId="56" fillId="0" borderId="1" xfId="0" applyFont="1" applyFill="1" applyBorder="1"/>
    <xf numFmtId="0" fontId="56" fillId="0" borderId="0" xfId="0" applyFont="1" applyFill="1"/>
    <xf numFmtId="14" fontId="71" fillId="0" borderId="2" xfId="0" quotePrefix="1" applyNumberFormat="1" applyFont="1" applyFill="1" applyBorder="1" applyAlignment="1">
      <alignment horizontal="right"/>
    </xf>
    <xf numFmtId="0" fontId="71" fillId="0" borderId="1" xfId="0" applyFont="1" applyFill="1" applyBorder="1" applyAlignment="1">
      <alignment horizontal="center"/>
    </xf>
    <xf numFmtId="0" fontId="63" fillId="0" borderId="1" xfId="0" applyFont="1" applyFill="1" applyBorder="1" applyAlignment="1"/>
    <xf numFmtId="0" fontId="71" fillId="0" borderId="1" xfId="0" quotePrefix="1" applyFont="1" applyFill="1" applyBorder="1" applyAlignment="1">
      <alignment horizontal="center"/>
    </xf>
    <xf numFmtId="0" fontId="71" fillId="0" borderId="2" xfId="0" quotePrefix="1" applyFont="1" applyFill="1" applyBorder="1" applyAlignment="1">
      <alignment horizontal="left"/>
    </xf>
    <xf numFmtId="164" fontId="71" fillId="0" borderId="1" xfId="1" applyFont="1" applyFill="1" applyBorder="1" applyAlignment="1"/>
    <xf numFmtId="164" fontId="71" fillId="0" borderId="1" xfId="1" applyFont="1" applyFill="1" applyBorder="1" applyAlignment="1">
      <alignment horizontal="center"/>
    </xf>
    <xf numFmtId="164" fontId="71" fillId="0" borderId="1" xfId="1" quotePrefix="1" applyFont="1" applyFill="1" applyBorder="1" applyAlignment="1">
      <alignment horizontal="center"/>
    </xf>
    <xf numFmtId="0" fontId="71" fillId="0" borderId="1" xfId="0" quotePrefix="1" applyFont="1" applyFill="1" applyBorder="1" applyAlignment="1">
      <alignment horizontal="left"/>
    </xf>
    <xf numFmtId="0" fontId="63" fillId="0" borderId="1" xfId="0" applyFont="1" applyFill="1" applyBorder="1"/>
    <xf numFmtId="0" fontId="63" fillId="0" borderId="0" xfId="0" applyFont="1" applyFill="1"/>
    <xf numFmtId="14" fontId="71" fillId="0" borderId="1" xfId="0" quotePrefix="1" applyNumberFormat="1" applyFont="1" applyFill="1" applyBorder="1" applyAlignment="1">
      <alignment horizontal="right"/>
    </xf>
    <xf numFmtId="0" fontId="71" fillId="0" borderId="1" xfId="0" applyFont="1" applyFill="1" applyBorder="1" applyAlignment="1">
      <alignment horizontal="center" vertical="top"/>
    </xf>
    <xf numFmtId="164" fontId="63" fillId="0" borderId="1" xfId="1" applyFont="1" applyFill="1" applyBorder="1" applyAlignment="1">
      <alignment horizontal="left"/>
    </xf>
    <xf numFmtId="0" fontId="63" fillId="0" borderId="1" xfId="0" applyFont="1" applyFill="1" applyBorder="1" applyAlignment="1">
      <alignment horizontal="left"/>
    </xf>
    <xf numFmtId="164" fontId="63" fillId="0" borderId="1" xfId="1" applyFont="1" applyFill="1" applyBorder="1" applyAlignment="1"/>
    <xf numFmtId="0" fontId="63" fillId="0" borderId="0" xfId="0" applyFont="1" applyFill="1" applyAlignment="1"/>
    <xf numFmtId="14" fontId="77" fillId="5" borderId="1" xfId="2" quotePrefix="1" applyNumberFormat="1" applyFont="1" applyBorder="1" applyAlignment="1">
      <alignment horizontal="right"/>
    </xf>
    <xf numFmtId="0" fontId="77" fillId="5" borderId="1" xfId="2" applyFont="1" applyBorder="1" applyAlignment="1">
      <alignment horizontal="left"/>
    </xf>
    <xf numFmtId="0" fontId="77" fillId="5" borderId="1" xfId="2" applyFont="1" applyBorder="1" applyAlignment="1">
      <alignment horizontal="center"/>
    </xf>
    <xf numFmtId="0" fontId="77" fillId="5" borderId="1" xfId="2" applyFont="1" applyBorder="1" applyAlignment="1"/>
    <xf numFmtId="0" fontId="77" fillId="5" borderId="1" xfId="2" quotePrefix="1" applyFont="1" applyBorder="1" applyAlignment="1">
      <alignment horizontal="center"/>
    </xf>
    <xf numFmtId="0" fontId="77" fillId="5" borderId="1" xfId="2" quotePrefix="1" applyFont="1" applyBorder="1" applyAlignment="1">
      <alignment horizontal="left"/>
    </xf>
    <xf numFmtId="164" fontId="77" fillId="5" borderId="1" xfId="2" applyNumberFormat="1" applyFont="1" applyBorder="1" applyAlignment="1"/>
    <xf numFmtId="164" fontId="77" fillId="5" borderId="1" xfId="2" applyNumberFormat="1" applyFont="1" applyBorder="1" applyAlignment="1">
      <alignment horizontal="left"/>
    </xf>
    <xf numFmtId="0" fontId="77" fillId="5" borderId="1" xfId="2" applyFont="1" applyBorder="1"/>
    <xf numFmtId="0" fontId="77" fillId="5" borderId="0" xfId="2" applyFont="1"/>
    <xf numFmtId="164" fontId="77" fillId="5" borderId="1" xfId="2" applyNumberFormat="1" applyFont="1" applyBorder="1"/>
    <xf numFmtId="0" fontId="71" fillId="0" borderId="1" xfId="0" applyFont="1" applyFill="1" applyBorder="1"/>
    <xf numFmtId="14" fontId="71" fillId="4" borderId="1" xfId="0" quotePrefix="1" applyNumberFormat="1" applyFont="1" applyFill="1" applyBorder="1" applyAlignment="1">
      <alignment horizontal="right"/>
    </xf>
    <xf numFmtId="0" fontId="71" fillId="4" borderId="1" xfId="0" applyFont="1" applyFill="1" applyBorder="1" applyAlignment="1">
      <alignment horizontal="left"/>
    </xf>
    <xf numFmtId="0" fontId="71" fillId="4" borderId="1" xfId="0" applyFont="1" applyFill="1" applyBorder="1" applyAlignment="1">
      <alignment horizontal="center"/>
    </xf>
    <xf numFmtId="0" fontId="71" fillId="4" borderId="1" xfId="0" applyFont="1" applyFill="1" applyBorder="1" applyAlignment="1"/>
    <xf numFmtId="0" fontId="71" fillId="4" borderId="1" xfId="0" quotePrefix="1" applyFont="1" applyFill="1" applyBorder="1" applyAlignment="1">
      <alignment horizontal="center"/>
    </xf>
    <xf numFmtId="0" fontId="71" fillId="4" borderId="1" xfId="0" quotePrefix="1" applyFont="1" applyFill="1" applyBorder="1" applyAlignment="1">
      <alignment horizontal="left"/>
    </xf>
    <xf numFmtId="164" fontId="71" fillId="4" borderId="1" xfId="1" applyFont="1" applyFill="1" applyBorder="1" applyAlignment="1"/>
    <xf numFmtId="164" fontId="63" fillId="4" borderId="1" xfId="1" applyFont="1" applyFill="1" applyBorder="1" applyAlignment="1">
      <alignment horizontal="left"/>
    </xf>
    <xf numFmtId="0" fontId="63" fillId="4" borderId="1" xfId="0" applyFont="1" applyFill="1" applyBorder="1"/>
    <xf numFmtId="0" fontId="63" fillId="4" borderId="1" xfId="0" applyFont="1" applyFill="1" applyBorder="1" applyAlignment="1">
      <alignment horizontal="left"/>
    </xf>
    <xf numFmtId="0" fontId="63" fillId="4" borderId="0" xfId="0" applyFont="1" applyFill="1"/>
    <xf numFmtId="0" fontId="75" fillId="0" borderId="1" xfId="0" applyFont="1" applyFill="1" applyBorder="1" applyAlignment="1">
      <alignment horizontal="left"/>
    </xf>
    <xf numFmtId="164" fontId="78" fillId="4" borderId="0" xfId="1" applyFont="1" applyFill="1"/>
    <xf numFmtId="164" fontId="63" fillId="4" borderId="1" xfId="1" applyFont="1" applyFill="1" applyBorder="1"/>
    <xf numFmtId="14" fontId="71" fillId="0" borderId="1" xfId="0" quotePrefix="1" applyNumberFormat="1" applyFont="1" applyFill="1" applyBorder="1" applyAlignment="1">
      <alignment horizontal="left"/>
    </xf>
    <xf numFmtId="14" fontId="71" fillId="4" borderId="1" xfId="0" quotePrefix="1" applyNumberFormat="1" applyFont="1" applyFill="1" applyBorder="1" applyAlignment="1">
      <alignment horizontal="left"/>
    </xf>
    <xf numFmtId="164" fontId="63" fillId="0" borderId="1" xfId="1" applyFont="1" applyFill="1" applyBorder="1" applyAlignment="1">
      <alignment horizontal="right"/>
    </xf>
    <xf numFmtId="4" fontId="71" fillId="0" borderId="1" xfId="0" quotePrefix="1" applyNumberFormat="1" applyFont="1" applyFill="1" applyBorder="1" applyAlignment="1">
      <alignment horizontal="left"/>
    </xf>
    <xf numFmtId="0" fontId="76" fillId="0" borderId="1" xfId="0" applyFont="1" applyFill="1" applyBorder="1" applyAlignment="1">
      <alignment horizontal="center"/>
    </xf>
    <xf numFmtId="0" fontId="75" fillId="4" borderId="1" xfId="0" applyFont="1" applyFill="1" applyBorder="1" applyAlignment="1">
      <alignment horizontal="left"/>
    </xf>
    <xf numFmtId="0" fontId="76" fillId="4" borderId="1" xfId="0" applyFont="1" applyFill="1" applyBorder="1" applyAlignment="1">
      <alignment horizontal="center"/>
    </xf>
    <xf numFmtId="164" fontId="63" fillId="0" borderId="1" xfId="1" applyFont="1" applyFill="1" applyBorder="1" applyAlignment="1">
      <alignment horizontal="center"/>
    </xf>
    <xf numFmtId="14" fontId="72" fillId="0" borderId="1" xfId="0" applyNumberFormat="1" applyFont="1" applyFill="1" applyBorder="1" applyAlignment="1">
      <alignment horizontal="right"/>
    </xf>
    <xf numFmtId="0" fontId="73" fillId="0" borderId="1" xfId="0" applyFont="1" applyFill="1" applyBorder="1"/>
    <xf numFmtId="164" fontId="73" fillId="0" borderId="1" xfId="1" applyFont="1" applyFill="1" applyBorder="1"/>
    <xf numFmtId="164" fontId="70" fillId="0" borderId="1" xfId="1" applyFont="1" applyFill="1" applyBorder="1"/>
    <xf numFmtId="4" fontId="70" fillId="0" borderId="1" xfId="1" applyNumberFormat="1" applyFont="1" applyFill="1" applyBorder="1"/>
    <xf numFmtId="4" fontId="74" fillId="0" borderId="1" xfId="1" applyNumberFormat="1" applyFont="1" applyBorder="1"/>
    <xf numFmtId="0" fontId="56" fillId="0" borderId="0" xfId="0" applyFont="1" applyBorder="1"/>
    <xf numFmtId="0" fontId="63" fillId="0" borderId="0" xfId="0" applyFont="1" applyAlignment="1"/>
    <xf numFmtId="0" fontId="56" fillId="0" borderId="0" xfId="0" applyFont="1" applyAlignment="1">
      <alignment horizontal="left"/>
    </xf>
    <xf numFmtId="0" fontId="58" fillId="0" borderId="0" xfId="0" applyFont="1" applyAlignment="1"/>
    <xf numFmtId="164" fontId="63" fillId="0" borderId="0" xfId="1" applyFont="1"/>
    <xf numFmtId="0" fontId="63" fillId="0" borderId="0" xfId="0" applyFont="1" applyAlignment="1">
      <alignment horizontal="left"/>
    </xf>
    <xf numFmtId="0" fontId="56" fillId="0" borderId="0" xfId="0" applyFont="1" applyAlignment="1"/>
    <xf numFmtId="164" fontId="55" fillId="0" borderId="0" xfId="0" applyNumberFormat="1" applyFont="1"/>
    <xf numFmtId="43" fontId="56" fillId="0" borderId="0" xfId="0" applyNumberFormat="1" applyFont="1"/>
    <xf numFmtId="164" fontId="56" fillId="0" borderId="0" xfId="0" applyNumberFormat="1" applyFont="1"/>
    <xf numFmtId="164" fontId="55" fillId="0" borderId="0" xfId="1" applyFont="1" applyAlignment="1">
      <alignment horizontal="center"/>
    </xf>
    <xf numFmtId="0" fontId="43" fillId="4" borderId="1" xfId="0" applyFont="1" applyFill="1" applyBorder="1" applyAlignment="1">
      <alignment horizontal="center"/>
    </xf>
    <xf numFmtId="164" fontId="49" fillId="4" borderId="1" xfId="1" applyFont="1" applyFill="1" applyBorder="1"/>
    <xf numFmtId="0" fontId="60" fillId="5" borderId="0" xfId="2"/>
    <xf numFmtId="0" fontId="50" fillId="0" borderId="0" xfId="0" applyFont="1" applyBorder="1" applyAlignment="1">
      <alignment horizontal="center"/>
    </xf>
    <xf numFmtId="0" fontId="79" fillId="2" borderId="0" xfId="0" applyFont="1" applyFill="1" applyAlignment="1">
      <alignment horizontal="left"/>
    </xf>
    <xf numFmtId="0" fontId="80" fillId="0" borderId="0" xfId="0" applyFont="1" applyFill="1"/>
    <xf numFmtId="0" fontId="81" fillId="0" borderId="0" xfId="0" applyFont="1" applyFill="1" applyAlignment="1">
      <alignment horizontal="center"/>
    </xf>
    <xf numFmtId="0" fontId="80" fillId="0" borderId="0" xfId="0" applyFont="1" applyFill="1" applyAlignment="1"/>
    <xf numFmtId="0" fontId="81" fillId="0" borderId="0" xfId="0" applyFont="1" applyFill="1" applyAlignment="1">
      <alignment horizontal="left"/>
    </xf>
    <xf numFmtId="4" fontId="79" fillId="0" borderId="0" xfId="0" applyNumberFormat="1" applyFont="1" applyFill="1" applyAlignment="1"/>
    <xf numFmtId="164" fontId="82" fillId="0" borderId="0" xfId="1" applyFont="1" applyFill="1" applyBorder="1"/>
    <xf numFmtId="164" fontId="79" fillId="0" borderId="0" xfId="1" applyFont="1" applyFill="1" applyBorder="1"/>
    <xf numFmtId="0" fontId="79" fillId="0" borderId="0" xfId="0" applyFont="1" applyFill="1" applyBorder="1"/>
    <xf numFmtId="0" fontId="82" fillId="0" borderId="0" xfId="0" applyFont="1" applyFill="1" applyBorder="1" applyAlignment="1">
      <alignment horizontal="left"/>
    </xf>
    <xf numFmtId="0" fontId="83" fillId="0" borderId="0" xfId="0" applyFont="1"/>
    <xf numFmtId="0" fontId="84" fillId="2" borderId="0" xfId="0" applyFont="1" applyFill="1" applyAlignment="1">
      <alignment horizontal="left"/>
    </xf>
    <xf numFmtId="0" fontId="85" fillId="0" borderId="0" xfId="0" applyFont="1" applyFill="1"/>
    <xf numFmtId="0" fontId="86" fillId="0" borderId="0" xfId="0" applyFont="1" applyFill="1" applyAlignment="1">
      <alignment horizontal="center"/>
    </xf>
    <xf numFmtId="0" fontId="85" fillId="0" borderId="0" xfId="0" applyFont="1" applyFill="1" applyAlignment="1"/>
    <xf numFmtId="0" fontId="86" fillId="0" borderId="0" xfId="0" applyFont="1" applyFill="1" applyAlignment="1">
      <alignment horizontal="left"/>
    </xf>
    <xf numFmtId="4" fontId="84" fillId="0" borderId="0" xfId="0" applyNumberFormat="1" applyFont="1" applyFill="1" applyAlignment="1"/>
    <xf numFmtId="164" fontId="87" fillId="0" borderId="0" xfId="1" applyFont="1" applyFill="1" applyBorder="1"/>
    <xf numFmtId="164" fontId="84" fillId="0" borderId="0" xfId="1" applyFont="1" applyFill="1" applyBorder="1"/>
    <xf numFmtId="0" fontId="84" fillId="0" borderId="0" xfId="0" applyFont="1" applyFill="1" applyBorder="1"/>
    <xf numFmtId="0" fontId="87" fillId="0" borderId="0" xfId="0" applyFont="1" applyFill="1" applyBorder="1" applyAlignment="1">
      <alignment horizontal="left"/>
    </xf>
    <xf numFmtId="164" fontId="87" fillId="0" borderId="0" xfId="1" applyFont="1" applyFill="1"/>
    <xf numFmtId="164" fontId="84" fillId="0" borderId="0" xfId="1" applyFont="1" applyFill="1"/>
    <xf numFmtId="0" fontId="84" fillId="0" borderId="0" xfId="0" applyFont="1" applyFill="1"/>
    <xf numFmtId="0" fontId="87" fillId="0" borderId="0" xfId="0" applyFont="1" applyFill="1" applyAlignment="1">
      <alignment horizontal="left"/>
    </xf>
    <xf numFmtId="0" fontId="84" fillId="2" borderId="0" xfId="0" applyFont="1" applyFill="1" applyAlignment="1">
      <alignment horizontal="right"/>
    </xf>
    <xf numFmtId="4" fontId="86" fillId="0" borderId="0" xfId="1" applyNumberFormat="1" applyFont="1" applyFill="1" applyAlignment="1"/>
    <xf numFmtId="164" fontId="85" fillId="0" borderId="0" xfId="1" applyFont="1" applyFill="1"/>
    <xf numFmtId="164" fontId="86" fillId="0" borderId="0" xfId="1" applyFont="1" applyFill="1"/>
    <xf numFmtId="164" fontId="85" fillId="0" borderId="0" xfId="1" applyFont="1" applyFill="1" applyAlignment="1">
      <alignment horizontal="left"/>
    </xf>
    <xf numFmtId="0" fontId="84" fillId="2" borderId="1" xfId="0" applyFont="1" applyFill="1" applyBorder="1" applyAlignment="1">
      <alignment horizontal="right"/>
    </xf>
    <xf numFmtId="0" fontId="87" fillId="0" borderId="1" xfId="0" applyFont="1" applyFill="1" applyBorder="1" applyAlignment="1">
      <alignment horizontal="center"/>
    </xf>
    <xf numFmtId="0" fontId="84" fillId="0" borderId="1" xfId="0" applyFont="1" applyFill="1" applyBorder="1" applyAlignment="1">
      <alignment horizontal="center"/>
    </xf>
    <xf numFmtId="0" fontId="87" fillId="0" borderId="1" xfId="0" applyFont="1" applyFill="1" applyBorder="1" applyAlignment="1"/>
    <xf numFmtId="0" fontId="84" fillId="0" borderId="1" xfId="0" applyFont="1" applyFill="1" applyBorder="1" applyAlignment="1">
      <alignment horizontal="left"/>
    </xf>
    <xf numFmtId="4" fontId="84" fillId="0" borderId="1" xfId="1" applyNumberFormat="1" applyFont="1" applyFill="1" applyBorder="1" applyAlignment="1"/>
    <xf numFmtId="164" fontId="87" fillId="0" borderId="1" xfId="1" applyFont="1" applyFill="1" applyBorder="1" applyAlignment="1">
      <alignment horizontal="center"/>
    </xf>
    <xf numFmtId="164" fontId="84" fillId="0" borderId="1" xfId="1" applyFont="1" applyFill="1" applyBorder="1" applyAlignment="1">
      <alignment horizontal="center"/>
    </xf>
    <xf numFmtId="164" fontId="87" fillId="0" borderId="1" xfId="1" applyFont="1" applyFill="1" applyBorder="1" applyAlignment="1">
      <alignment horizontal="left"/>
    </xf>
    <xf numFmtId="0" fontId="88" fillId="0" borderId="1" xfId="0" applyFont="1" applyBorder="1"/>
    <xf numFmtId="0" fontId="89" fillId="0" borderId="1" xfId="0" applyFont="1" applyBorder="1"/>
    <xf numFmtId="14" fontId="86" fillId="2" borderId="1" xfId="0" applyNumberFormat="1" applyFont="1" applyFill="1" applyBorder="1" applyAlignment="1">
      <alignment horizontal="right"/>
    </xf>
    <xf numFmtId="0" fontId="85" fillId="0" borderId="1" xfId="0" applyFont="1" applyFill="1" applyBorder="1" applyAlignment="1">
      <alignment horizontal="left"/>
    </xf>
    <xf numFmtId="0" fontId="86" fillId="0" borderId="1" xfId="0" applyFont="1" applyFill="1" applyBorder="1" applyAlignment="1">
      <alignment horizontal="center"/>
    </xf>
    <xf numFmtId="0" fontId="85" fillId="0" borderId="1" xfId="0" applyFont="1" applyFill="1" applyBorder="1" applyAlignment="1"/>
    <xf numFmtId="0" fontId="86" fillId="0" borderId="1" xfId="0" applyFont="1" applyFill="1" applyBorder="1" applyAlignment="1">
      <alignment horizontal="left"/>
    </xf>
    <xf numFmtId="4" fontId="86" fillId="0" borderId="1" xfId="1" applyNumberFormat="1" applyFont="1" applyFill="1" applyBorder="1" applyAlignment="1"/>
    <xf numFmtId="164" fontId="86" fillId="0" borderId="6" xfId="1" applyFont="1" applyFill="1" applyBorder="1" applyAlignment="1">
      <alignment horizontal="center"/>
    </xf>
    <xf numFmtId="164" fontId="83" fillId="0" borderId="1" xfId="1" applyFont="1" applyBorder="1"/>
    <xf numFmtId="164" fontId="84" fillId="0" borderId="6" xfId="1" applyFont="1" applyFill="1" applyBorder="1" applyAlignment="1">
      <alignment horizontal="center"/>
    </xf>
    <xf numFmtId="164" fontId="85" fillId="0" borderId="6" xfId="1" applyFont="1" applyFill="1" applyBorder="1" applyAlignment="1">
      <alignment horizontal="left"/>
    </xf>
    <xf numFmtId="0" fontId="83" fillId="0" borderId="1" xfId="0" applyFont="1" applyBorder="1"/>
    <xf numFmtId="14" fontId="90" fillId="0" borderId="2" xfId="0" quotePrefix="1" applyNumberFormat="1" applyFont="1" applyFill="1" applyBorder="1" applyAlignment="1">
      <alignment horizontal="right"/>
    </xf>
    <xf numFmtId="0" fontId="86" fillId="0" borderId="2" xfId="0" applyFont="1" applyFill="1" applyBorder="1" applyAlignment="1">
      <alignment horizontal="center"/>
    </xf>
    <xf numFmtId="4" fontId="85" fillId="0" borderId="1" xfId="1" applyNumberFormat="1" applyFont="1" applyFill="1" applyBorder="1" applyAlignment="1"/>
    <xf numFmtId="0" fontId="86" fillId="0" borderId="2" xfId="0" quotePrefix="1" applyFont="1" applyFill="1" applyBorder="1" applyAlignment="1">
      <alignment horizontal="center"/>
    </xf>
    <xf numFmtId="0" fontId="90" fillId="0" borderId="2" xfId="0" quotePrefix="1" applyFont="1" applyFill="1" applyBorder="1" applyAlignment="1">
      <alignment horizontal="left"/>
    </xf>
    <xf numFmtId="4" fontId="86" fillId="0" borderId="2" xfId="1" applyNumberFormat="1" applyFont="1" applyFill="1" applyBorder="1" applyAlignment="1"/>
    <xf numFmtId="164" fontId="91" fillId="0" borderId="5" xfId="1" applyFont="1" applyFill="1" applyBorder="1" applyAlignment="1">
      <alignment horizontal="left"/>
    </xf>
    <xf numFmtId="164" fontId="92" fillId="0" borderId="5" xfId="1" applyFont="1" applyFill="1" applyBorder="1" applyAlignment="1">
      <alignment horizontal="left"/>
    </xf>
    <xf numFmtId="164" fontId="90" fillId="0" borderId="1" xfId="1" quotePrefix="1" applyFont="1" applyFill="1" applyBorder="1" applyAlignment="1">
      <alignment horizontal="center"/>
    </xf>
    <xf numFmtId="164" fontId="85" fillId="0" borderId="5" xfId="1" applyFont="1" applyFill="1" applyBorder="1" applyAlignment="1">
      <alignment horizontal="left"/>
    </xf>
    <xf numFmtId="0" fontId="83" fillId="0" borderId="1" xfId="0" applyFont="1" applyFill="1" applyBorder="1"/>
    <xf numFmtId="0" fontId="83" fillId="0" borderId="0" xfId="0" applyFont="1" applyFill="1"/>
    <xf numFmtId="14" fontId="85" fillId="0" borderId="2" xfId="0" quotePrefix="1" applyNumberFormat="1" applyFont="1" applyFill="1" applyBorder="1" applyAlignment="1">
      <alignment horizontal="right"/>
    </xf>
    <xf numFmtId="0" fontId="85" fillId="0" borderId="1" xfId="0" applyFont="1" applyFill="1" applyBorder="1" applyAlignment="1">
      <alignment horizontal="center"/>
    </xf>
    <xf numFmtId="0" fontId="89" fillId="0" borderId="1" xfId="0" applyFont="1" applyFill="1" applyBorder="1" applyAlignment="1"/>
    <xf numFmtId="0" fontId="85" fillId="0" borderId="1" xfId="0" quotePrefix="1" applyFont="1" applyFill="1" applyBorder="1" applyAlignment="1">
      <alignment horizontal="center"/>
    </xf>
    <xf numFmtId="0" fontId="85" fillId="0" borderId="2" xfId="0" quotePrefix="1" applyFont="1" applyFill="1" applyBorder="1" applyAlignment="1">
      <alignment horizontal="left"/>
    </xf>
    <xf numFmtId="164" fontId="85" fillId="0" borderId="1" xfId="1" applyFont="1" applyFill="1" applyBorder="1" applyAlignment="1"/>
    <xf numFmtId="164" fontId="85" fillId="0" borderId="1" xfId="1" applyFont="1" applyFill="1" applyBorder="1" applyAlignment="1">
      <alignment horizontal="center"/>
    </xf>
    <xf numFmtId="164" fontId="85" fillId="0" borderId="1" xfId="1" quotePrefix="1" applyFont="1" applyFill="1" applyBorder="1" applyAlignment="1">
      <alignment horizontal="center"/>
    </xf>
    <xf numFmtId="0" fontId="85" fillId="0" borderId="1" xfId="0" quotePrefix="1" applyFont="1" applyFill="1" applyBorder="1" applyAlignment="1">
      <alignment horizontal="left"/>
    </xf>
    <xf numFmtId="0" fontId="89" fillId="0" borderId="1" xfId="0" applyFont="1" applyFill="1" applyBorder="1"/>
    <xf numFmtId="0" fontId="89" fillId="0" borderId="0" xfId="0" applyFont="1" applyFill="1"/>
    <xf numFmtId="14" fontId="85" fillId="0" borderId="1" xfId="0" quotePrefix="1" applyNumberFormat="1" applyFont="1" applyFill="1" applyBorder="1" applyAlignment="1">
      <alignment horizontal="right"/>
    </xf>
    <xf numFmtId="0" fontId="85" fillId="0" borderId="1" xfId="0" applyFont="1" applyFill="1" applyBorder="1" applyAlignment="1">
      <alignment horizontal="center" vertical="top"/>
    </xf>
    <xf numFmtId="164" fontId="89" fillId="0" borderId="1" xfId="1" applyFont="1" applyFill="1" applyBorder="1" applyAlignment="1">
      <alignment horizontal="left"/>
    </xf>
    <xf numFmtId="164" fontId="89" fillId="0" borderId="1" xfId="1" applyFont="1" applyFill="1" applyBorder="1"/>
    <xf numFmtId="0" fontId="89" fillId="0" borderId="1" xfId="0" applyFont="1" applyFill="1" applyBorder="1" applyAlignment="1">
      <alignment horizontal="left"/>
    </xf>
    <xf numFmtId="164" fontId="89" fillId="0" borderId="1" xfId="1" applyFont="1" applyFill="1" applyBorder="1" applyAlignment="1"/>
    <xf numFmtId="0" fontId="89" fillId="0" borderId="0" xfId="0" applyFont="1" applyFill="1" applyAlignment="1"/>
    <xf numFmtId="0" fontId="85" fillId="0" borderId="1" xfId="0" applyFont="1" applyFill="1" applyBorder="1" applyAlignment="1">
      <alignment horizontal="left" wrapText="1"/>
    </xf>
    <xf numFmtId="14" fontId="93" fillId="5" borderId="1" xfId="2" quotePrefix="1" applyNumberFormat="1" applyFont="1" applyBorder="1" applyAlignment="1">
      <alignment horizontal="right"/>
    </xf>
    <xf numFmtId="0" fontId="93" fillId="5" borderId="1" xfId="2" applyFont="1" applyBorder="1" applyAlignment="1">
      <alignment horizontal="left"/>
    </xf>
    <xf numFmtId="0" fontId="93" fillId="5" borderId="1" xfId="2" applyFont="1" applyBorder="1" applyAlignment="1">
      <alignment horizontal="center"/>
    </xf>
    <xf numFmtId="0" fontId="93" fillId="5" borderId="1" xfId="2" applyFont="1" applyBorder="1" applyAlignment="1"/>
    <xf numFmtId="0" fontId="93" fillId="5" borderId="1" xfId="2" quotePrefix="1" applyFont="1" applyBorder="1" applyAlignment="1">
      <alignment horizontal="center"/>
    </xf>
    <xf numFmtId="0" fontId="93" fillId="5" borderId="1" xfId="2" quotePrefix="1" applyFont="1" applyBorder="1" applyAlignment="1">
      <alignment horizontal="left"/>
    </xf>
    <xf numFmtId="164" fontId="93" fillId="5" borderId="1" xfId="2" applyNumberFormat="1" applyFont="1" applyBorder="1" applyAlignment="1"/>
    <xf numFmtId="164" fontId="93" fillId="5" borderId="1" xfId="2" applyNumberFormat="1" applyFont="1" applyBorder="1" applyAlignment="1">
      <alignment horizontal="left"/>
    </xf>
    <xf numFmtId="0" fontId="93" fillId="5" borderId="1" xfId="2" applyFont="1" applyBorder="1"/>
    <xf numFmtId="0" fontId="93" fillId="5" borderId="0" xfId="2" applyFont="1"/>
    <xf numFmtId="164" fontId="93" fillId="5" borderId="1" xfId="2" applyNumberFormat="1" applyFont="1" applyBorder="1"/>
    <xf numFmtId="0" fontId="85" fillId="0" borderId="1" xfId="0" applyFont="1" applyFill="1" applyBorder="1"/>
    <xf numFmtId="14" fontId="85" fillId="4" borderId="1" xfId="0" quotePrefix="1" applyNumberFormat="1" applyFont="1" applyFill="1" applyBorder="1" applyAlignment="1">
      <alignment horizontal="right"/>
    </xf>
    <xf numFmtId="0" fontId="85" fillId="4" borderId="1" xfId="0" applyFont="1" applyFill="1" applyBorder="1" applyAlignment="1">
      <alignment horizontal="left"/>
    </xf>
    <xf numFmtId="0" fontId="85" fillId="4" borderId="1" xfId="0" applyFont="1" applyFill="1" applyBorder="1" applyAlignment="1">
      <alignment horizontal="center"/>
    </xf>
    <xf numFmtId="0" fontId="85" fillId="4" borderId="1" xfId="0" applyFont="1" applyFill="1" applyBorder="1" applyAlignment="1"/>
    <xf numFmtId="0" fontId="85" fillId="4" borderId="1" xfId="0" quotePrefix="1" applyFont="1" applyFill="1" applyBorder="1" applyAlignment="1">
      <alignment horizontal="center"/>
    </xf>
    <xf numFmtId="0" fontId="85" fillId="4" borderId="1" xfId="0" quotePrefix="1" applyFont="1" applyFill="1" applyBorder="1" applyAlignment="1">
      <alignment horizontal="left"/>
    </xf>
    <xf numFmtId="164" fontId="85" fillId="4" borderId="1" xfId="1" applyFont="1" applyFill="1" applyBorder="1" applyAlignment="1"/>
    <xf numFmtId="164" fontId="89" fillId="4" borderId="1" xfId="1" applyFont="1" applyFill="1" applyBorder="1" applyAlignment="1">
      <alignment horizontal="left"/>
    </xf>
    <xf numFmtId="0" fontId="89" fillId="4" borderId="1" xfId="0" applyFont="1" applyFill="1" applyBorder="1"/>
    <xf numFmtId="0" fontId="89" fillId="4" borderId="1" xfId="0" applyFont="1" applyFill="1" applyBorder="1" applyAlignment="1">
      <alignment horizontal="left"/>
    </xf>
    <xf numFmtId="0" fontId="89" fillId="4" borderId="0" xfId="0" applyFont="1" applyFill="1"/>
    <xf numFmtId="0" fontId="90" fillId="0" borderId="1" xfId="0" applyFont="1" applyFill="1" applyBorder="1" applyAlignment="1">
      <alignment horizontal="left"/>
    </xf>
    <xf numFmtId="164" fontId="94" fillId="4" borderId="0" xfId="1" applyFont="1" applyFill="1"/>
    <xf numFmtId="14" fontId="89" fillId="0" borderId="0" xfId="0" quotePrefix="1" applyNumberFormat="1" applyFont="1"/>
    <xf numFmtId="0" fontId="89" fillId="0" borderId="0" xfId="0" applyFont="1"/>
    <xf numFmtId="0" fontId="89" fillId="0" borderId="0" xfId="0" quotePrefix="1" applyFont="1"/>
    <xf numFmtId="0" fontId="89" fillId="0" borderId="0" xfId="0" quotePrefix="1" applyFont="1" applyAlignment="1">
      <alignment horizontal="left"/>
    </xf>
    <xf numFmtId="164" fontId="89" fillId="4" borderId="1" xfId="1" applyFont="1" applyFill="1" applyBorder="1"/>
    <xf numFmtId="14" fontId="85" fillId="0" borderId="1" xfId="0" quotePrefix="1" applyNumberFormat="1" applyFont="1" applyFill="1" applyBorder="1" applyAlignment="1">
      <alignment horizontal="left"/>
    </xf>
    <xf numFmtId="14" fontId="85" fillId="4" borderId="1" xfId="0" quotePrefix="1" applyNumberFormat="1" applyFont="1" applyFill="1" applyBorder="1" applyAlignment="1">
      <alignment horizontal="left"/>
    </xf>
    <xf numFmtId="164" fontId="89" fillId="0" borderId="1" xfId="1" applyFont="1" applyFill="1" applyBorder="1" applyAlignment="1">
      <alignment horizontal="right"/>
    </xf>
    <xf numFmtId="4" fontId="85" fillId="0" borderId="1" xfId="0" quotePrefix="1" applyNumberFormat="1" applyFont="1" applyFill="1" applyBorder="1" applyAlignment="1">
      <alignment horizontal="left"/>
    </xf>
    <xf numFmtId="0" fontId="91" fillId="0" borderId="1" xfId="0" applyFont="1" applyFill="1" applyBorder="1" applyAlignment="1">
      <alignment horizontal="center"/>
    </xf>
    <xf numFmtId="0" fontId="90" fillId="4" borderId="1" xfId="0" applyFont="1" applyFill="1" applyBorder="1" applyAlignment="1">
      <alignment horizontal="left"/>
    </xf>
    <xf numFmtId="0" fontId="91" fillId="4" borderId="1" xfId="0" applyFont="1" applyFill="1" applyBorder="1" applyAlignment="1">
      <alignment horizontal="center"/>
    </xf>
    <xf numFmtId="164" fontId="89" fillId="0" borderId="1" xfId="1" applyFont="1" applyFill="1" applyBorder="1" applyAlignment="1">
      <alignment horizontal="center"/>
    </xf>
    <xf numFmtId="14" fontId="95" fillId="7" borderId="7" xfId="4" quotePrefix="1" applyNumberFormat="1" applyFont="1" applyAlignment="1">
      <alignment horizontal="right"/>
    </xf>
    <xf numFmtId="0" fontId="95" fillId="7" borderId="7" xfId="4" applyFont="1" applyAlignment="1">
      <alignment horizontal="left"/>
    </xf>
    <xf numFmtId="0" fontId="95" fillId="7" borderId="7" xfId="4" applyFont="1" applyAlignment="1">
      <alignment horizontal="center"/>
    </xf>
    <xf numFmtId="0" fontId="95" fillId="7" borderId="7" xfId="4" quotePrefix="1" applyFont="1" applyAlignment="1">
      <alignment horizontal="left"/>
    </xf>
    <xf numFmtId="0" fontId="95" fillId="7" borderId="7" xfId="4" quotePrefix="1" applyFont="1" applyAlignment="1">
      <alignment horizontal="center"/>
    </xf>
    <xf numFmtId="164" fontId="95" fillId="7" borderId="7" xfId="4" applyNumberFormat="1" applyFont="1" applyAlignment="1"/>
    <xf numFmtId="164" fontId="95" fillId="7" borderId="7" xfId="4" applyNumberFormat="1" applyFont="1"/>
    <xf numFmtId="164" fontId="95" fillId="7" borderId="7" xfId="4" applyNumberFormat="1" applyFont="1" applyAlignment="1">
      <alignment horizontal="left"/>
    </xf>
    <xf numFmtId="0" fontId="95" fillId="7" borderId="7" xfId="4" applyFont="1"/>
    <xf numFmtId="0" fontId="89" fillId="0" borderId="0" xfId="0" quotePrefix="1" applyFont="1" applyAlignment="1">
      <alignment horizontal="right"/>
    </xf>
    <xf numFmtId="0" fontId="85" fillId="0" borderId="0" xfId="0" applyFont="1" applyFill="1" applyBorder="1" applyAlignment="1">
      <alignment horizontal="left"/>
    </xf>
    <xf numFmtId="0" fontId="89" fillId="0" borderId="0" xfId="0" applyFont="1" applyAlignment="1">
      <alignment horizontal="right"/>
    </xf>
    <xf numFmtId="14" fontId="89" fillId="0" borderId="0" xfId="0" quotePrefix="1" applyNumberFormat="1" applyFont="1" applyAlignment="1">
      <alignment horizontal="right"/>
    </xf>
    <xf numFmtId="3" fontId="89" fillId="0" borderId="0" xfId="0" applyNumberFormat="1" applyFont="1" applyAlignment="1">
      <alignment horizontal="right"/>
    </xf>
    <xf numFmtId="14" fontId="86" fillId="0" borderId="1" xfId="0" applyNumberFormat="1" applyFont="1" applyFill="1" applyBorder="1" applyAlignment="1">
      <alignment horizontal="right"/>
    </xf>
    <xf numFmtId="0" fontId="87" fillId="0" borderId="1" xfId="0" applyFont="1" applyFill="1" applyBorder="1"/>
    <xf numFmtId="164" fontId="87" fillId="0" borderId="1" xfId="1" applyFont="1" applyFill="1" applyBorder="1"/>
    <xf numFmtId="164" fontId="84" fillId="0" borderId="1" xfId="1" applyFont="1" applyFill="1" applyBorder="1"/>
    <xf numFmtId="4" fontId="84" fillId="0" borderId="1" xfId="1" applyNumberFormat="1" applyFont="1" applyFill="1" applyBorder="1"/>
    <xf numFmtId="4" fontId="88" fillId="0" borderId="1" xfId="1" applyNumberFormat="1" applyFont="1" applyBorder="1"/>
    <xf numFmtId="0" fontId="83" fillId="0" borderId="0" xfId="0" applyFont="1" applyBorder="1"/>
    <xf numFmtId="0" fontId="83" fillId="0" borderId="0" xfId="0" applyFont="1" applyAlignment="1">
      <alignment horizontal="right"/>
    </xf>
    <xf numFmtId="0" fontId="89" fillId="0" borderId="0" xfId="0" applyFont="1" applyAlignment="1"/>
    <xf numFmtId="0" fontId="83" fillId="0" borderId="0" xfId="0" applyFont="1" applyAlignment="1">
      <alignment horizontal="center"/>
    </xf>
    <xf numFmtId="0" fontId="83" fillId="0" borderId="0" xfId="0" applyFont="1" applyAlignment="1">
      <alignment horizontal="left"/>
    </xf>
    <xf numFmtId="0" fontId="96" fillId="0" borderId="0" xfId="0" applyFont="1" applyAlignment="1"/>
    <xf numFmtId="164" fontId="89" fillId="0" borderId="0" xfId="1" applyFont="1"/>
    <xf numFmtId="164" fontId="83" fillId="0" borderId="0" xfId="1" applyFont="1"/>
    <xf numFmtId="0" fontId="89" fillId="0" borderId="0" xfId="0" applyFont="1" applyAlignment="1">
      <alignment horizontal="left"/>
    </xf>
    <xf numFmtId="0" fontId="83" fillId="0" borderId="0" xfId="0" applyFont="1" applyAlignment="1"/>
    <xf numFmtId="164" fontId="25" fillId="0" borderId="0" xfId="0" applyNumberFormat="1" applyFont="1"/>
    <xf numFmtId="43" fontId="83" fillId="0" borderId="0" xfId="0" applyNumberFormat="1" applyFont="1"/>
    <xf numFmtId="164" fontId="83" fillId="0" borderId="0" xfId="0" applyNumberFormat="1" applyFont="1"/>
    <xf numFmtId="0" fontId="100" fillId="8" borderId="0" xfId="6" applyFont="1"/>
    <xf numFmtId="0" fontId="101" fillId="8" borderId="0" xfId="6" applyFont="1"/>
    <xf numFmtId="0" fontId="102" fillId="0" borderId="0" xfId="0" applyFont="1"/>
    <xf numFmtId="0" fontId="61" fillId="6" borderId="0" xfId="3"/>
    <xf numFmtId="0" fontId="103" fillId="6" borderId="0" xfId="3" applyFont="1"/>
    <xf numFmtId="0" fontId="104" fillId="9" borderId="0" xfId="7" applyFont="1"/>
    <xf numFmtId="0" fontId="105" fillId="10" borderId="0" xfId="8" applyFont="1"/>
    <xf numFmtId="0" fontId="105" fillId="11" borderId="0" xfId="9" applyFont="1"/>
    <xf numFmtId="0" fontId="105" fillId="12" borderId="0" xfId="10" applyFont="1"/>
    <xf numFmtId="0" fontId="105" fillId="13" borderId="0" xfId="11" applyFont="1"/>
    <xf numFmtId="0" fontId="13" fillId="0" borderId="0" xfId="0" applyFont="1" applyAlignment="1">
      <alignment horizontal="center"/>
    </xf>
    <xf numFmtId="3" fontId="13" fillId="0" borderId="0" xfId="0" applyNumberFormat="1" applyFont="1" applyAlignment="1">
      <alignment horizontal="center"/>
    </xf>
    <xf numFmtId="0" fontId="105" fillId="5" borderId="0" xfId="2" applyFont="1"/>
    <xf numFmtId="0" fontId="105" fillId="14" borderId="0" xfId="12" applyFont="1"/>
    <xf numFmtId="0" fontId="106" fillId="0" borderId="8" xfId="5" applyFont="1"/>
    <xf numFmtId="164" fontId="89" fillId="0" borderId="1" xfId="0" applyNumberFormat="1" applyFont="1" applyBorder="1"/>
    <xf numFmtId="14" fontId="18" fillId="4" borderId="1" xfId="0" quotePrefix="1" applyNumberFormat="1" applyFont="1" applyFill="1" applyBorder="1" applyAlignment="1">
      <alignment horizontal="right"/>
    </xf>
    <xf numFmtId="0" fontId="18" fillId="4" borderId="1" xfId="0" applyFont="1" applyFill="1" applyBorder="1" applyAlignment="1">
      <alignment horizontal="left"/>
    </xf>
    <xf numFmtId="0" fontId="18" fillId="4" borderId="1" xfId="0" applyFont="1" applyFill="1" applyBorder="1" applyAlignment="1">
      <alignment horizontal="center"/>
    </xf>
    <xf numFmtId="0" fontId="18" fillId="4" borderId="1" xfId="0" applyFont="1" applyFill="1" applyBorder="1" applyAlignment="1"/>
    <xf numFmtId="0" fontId="18" fillId="4" borderId="1" xfId="0" quotePrefix="1" applyFont="1" applyFill="1" applyBorder="1" applyAlignment="1">
      <alignment horizontal="center"/>
    </xf>
    <xf numFmtId="0" fontId="18" fillId="4" borderId="1" xfId="0" quotePrefix="1" applyFont="1" applyFill="1" applyBorder="1" applyAlignment="1">
      <alignment horizontal="left"/>
    </xf>
    <xf numFmtId="164" fontId="18" fillId="4" borderId="1" xfId="1" applyFont="1" applyFill="1" applyBorder="1" applyAlignment="1"/>
    <xf numFmtId="164" fontId="15" fillId="4" borderId="1" xfId="1" applyFont="1" applyFill="1" applyBorder="1" applyAlignment="1">
      <alignment horizontal="left"/>
    </xf>
    <xf numFmtId="0" fontId="15" fillId="4" borderId="1" xfId="0" applyFont="1" applyFill="1" applyBorder="1"/>
    <xf numFmtId="0" fontId="15" fillId="4" borderId="1" xfId="0" applyFont="1" applyFill="1" applyBorder="1" applyAlignment="1">
      <alignment horizontal="left"/>
    </xf>
    <xf numFmtId="0" fontId="15" fillId="4" borderId="0" xfId="0" applyFont="1" applyFill="1"/>
    <xf numFmtId="164" fontId="15" fillId="4" borderId="1" xfId="1" applyFont="1" applyFill="1" applyBorder="1"/>
    <xf numFmtId="164" fontId="38" fillId="3" borderId="0" xfId="1" applyFont="1" applyFill="1"/>
    <xf numFmtId="14" fontId="18" fillId="3" borderId="1" xfId="0" quotePrefix="1" applyNumberFormat="1" applyFont="1" applyFill="1" applyBorder="1" applyAlignment="1">
      <alignment horizontal="left"/>
    </xf>
    <xf numFmtId="14" fontId="86" fillId="4" borderId="1" xfId="0" applyNumberFormat="1" applyFont="1" applyFill="1" applyBorder="1" applyAlignment="1">
      <alignment horizontal="right"/>
    </xf>
    <xf numFmtId="0" fontId="87" fillId="4" borderId="1" xfId="0" applyFont="1" applyFill="1" applyBorder="1"/>
    <xf numFmtId="0" fontId="86" fillId="4" borderId="1" xfId="0" applyFont="1" applyFill="1" applyBorder="1" applyAlignment="1">
      <alignment horizontal="center"/>
    </xf>
    <xf numFmtId="4" fontId="84" fillId="4" borderId="1" xfId="1" applyNumberFormat="1" applyFont="1" applyFill="1" applyBorder="1" applyAlignment="1"/>
    <xf numFmtId="164" fontId="87" fillId="4" borderId="1" xfId="1" applyFont="1" applyFill="1" applyBorder="1"/>
    <xf numFmtId="164" fontId="84" fillId="4" borderId="1" xfId="1" applyFont="1" applyFill="1" applyBorder="1"/>
    <xf numFmtId="4" fontId="84" fillId="4" borderId="1" xfId="1" applyNumberFormat="1" applyFont="1" applyFill="1" applyBorder="1"/>
    <xf numFmtId="164" fontId="87" fillId="4" borderId="1" xfId="1" applyFont="1" applyFill="1" applyBorder="1" applyAlignment="1">
      <alignment horizontal="left"/>
    </xf>
    <xf numFmtId="4" fontId="88" fillId="4" borderId="1" xfId="1" applyNumberFormat="1" applyFont="1" applyFill="1" applyBorder="1"/>
    <xf numFmtId="164" fontId="89" fillId="4" borderId="1" xfId="0" applyNumberFormat="1" applyFont="1" applyFill="1" applyBorder="1"/>
    <xf numFmtId="0" fontId="83" fillId="4" borderId="0" xfId="0" applyFont="1" applyFill="1" applyBorder="1"/>
    <xf numFmtId="0" fontId="2" fillId="2" borderId="0" xfId="0" applyFont="1" applyFill="1" applyAlignment="1">
      <alignment horizontal="left"/>
    </xf>
    <xf numFmtId="0" fontId="108" fillId="0" borderId="0" xfId="0" applyFont="1" applyFill="1"/>
    <xf numFmtId="0" fontId="109" fillId="0" borderId="0" xfId="0" applyFont="1" applyFill="1" applyAlignment="1">
      <alignment horizontal="center"/>
    </xf>
    <xf numFmtId="0" fontId="108" fillId="0" borderId="0" xfId="0" applyFont="1" applyFill="1" applyAlignment="1"/>
    <xf numFmtId="0" fontId="109" fillId="0" borderId="0" xfId="0" applyFont="1" applyFill="1" applyAlignment="1">
      <alignment horizontal="left"/>
    </xf>
    <xf numFmtId="4" fontId="2" fillId="0" borderId="0" xfId="0" applyNumberFormat="1" applyFont="1" applyFill="1" applyAlignment="1"/>
    <xf numFmtId="164" fontId="110" fillId="0" borderId="0" xfId="1" applyFont="1" applyFill="1" applyBorder="1"/>
    <xf numFmtId="164" fontId="2" fillId="0" borderId="0" xfId="1" applyFont="1" applyFill="1" applyBorder="1"/>
    <xf numFmtId="0" fontId="2" fillId="0" borderId="0" xfId="0" applyFont="1" applyFill="1" applyBorder="1"/>
    <xf numFmtId="0" fontId="110" fillId="0" borderId="0" xfId="0" applyFont="1" applyFill="1" applyBorder="1" applyAlignment="1">
      <alignment horizontal="left"/>
    </xf>
    <xf numFmtId="0" fontId="111" fillId="0" borderId="0" xfId="0" applyFont="1"/>
    <xf numFmtId="0" fontId="112" fillId="2" borderId="0" xfId="0" applyFont="1" applyFill="1" applyAlignment="1">
      <alignment horizontal="left"/>
    </xf>
    <xf numFmtId="0" fontId="113" fillId="0" borderId="0" xfId="0" applyFont="1" applyFill="1"/>
    <xf numFmtId="0" fontId="114" fillId="0" borderId="0" xfId="0" applyFont="1" applyFill="1" applyAlignment="1">
      <alignment horizontal="center"/>
    </xf>
    <xf numFmtId="0" fontId="113" fillId="0" borderId="0" xfId="0" applyFont="1" applyFill="1" applyAlignment="1"/>
    <xf numFmtId="0" fontId="114" fillId="0" borderId="0" xfId="0" applyFont="1" applyFill="1" applyAlignment="1">
      <alignment horizontal="left"/>
    </xf>
    <xf numFmtId="4" fontId="112" fillId="0" borderId="0" xfId="0" applyNumberFormat="1" applyFont="1" applyFill="1" applyAlignment="1"/>
    <xf numFmtId="164" fontId="115" fillId="0" borderId="0" xfId="1" applyFont="1" applyFill="1" applyBorder="1"/>
    <xf numFmtId="164" fontId="112" fillId="0" borderId="0" xfId="1" applyFont="1" applyFill="1" applyBorder="1"/>
    <xf numFmtId="0" fontId="112" fillId="0" borderId="0" xfId="0" applyFont="1" applyFill="1" applyBorder="1"/>
    <xf numFmtId="0" fontId="115" fillId="0" borderId="0" xfId="0" applyFont="1" applyFill="1" applyBorder="1" applyAlignment="1">
      <alignment horizontal="left"/>
    </xf>
    <xf numFmtId="164" fontId="115" fillId="0" borderId="0" xfId="1" applyFont="1" applyFill="1"/>
    <xf numFmtId="164" fontId="112" fillId="0" borderId="0" xfId="1" applyFont="1" applyFill="1"/>
    <xf numFmtId="0" fontId="112" fillId="0" borderId="0" xfId="0" applyFont="1" applyFill="1"/>
    <xf numFmtId="0" fontId="115" fillId="0" borderId="0" xfId="0" applyFont="1" applyFill="1" applyAlignment="1">
      <alignment horizontal="left"/>
    </xf>
    <xf numFmtId="0" fontId="112" fillId="2" borderId="0" xfId="0" applyFont="1" applyFill="1" applyAlignment="1">
      <alignment horizontal="right"/>
    </xf>
    <xf numFmtId="4" fontId="114" fillId="0" borderId="0" xfId="1" applyNumberFormat="1" applyFont="1" applyFill="1" applyAlignment="1"/>
    <xf numFmtId="164" fontId="113" fillId="0" borderId="0" xfId="1" applyFont="1" applyFill="1"/>
    <xf numFmtId="164" fontId="114" fillId="0" borderId="0" xfId="1" applyFont="1" applyFill="1"/>
    <xf numFmtId="164" fontId="113" fillId="0" borderId="0" xfId="1" applyFont="1" applyFill="1" applyAlignment="1">
      <alignment horizontal="left"/>
    </xf>
    <xf numFmtId="0" fontId="112" fillId="2" borderId="1" xfId="0" applyFont="1" applyFill="1" applyBorder="1" applyAlignment="1">
      <alignment horizontal="right"/>
    </xf>
    <xf numFmtId="0" fontId="115" fillId="0" borderId="1" xfId="0" applyFont="1" applyFill="1" applyBorder="1" applyAlignment="1">
      <alignment horizontal="center"/>
    </xf>
    <xf numFmtId="0" fontId="112" fillId="0" borderId="1" xfId="0" applyFont="1" applyFill="1" applyBorder="1" applyAlignment="1">
      <alignment horizontal="center"/>
    </xf>
    <xf numFmtId="0" fontId="115" fillId="0" borderId="1" xfId="0" applyFont="1" applyFill="1" applyBorder="1" applyAlignment="1"/>
    <xf numFmtId="0" fontId="112" fillId="0" borderId="1" xfId="0" applyFont="1" applyFill="1" applyBorder="1" applyAlignment="1">
      <alignment horizontal="left"/>
    </xf>
    <xf numFmtId="4" fontId="112" fillId="0" borderId="1" xfId="1" applyNumberFormat="1" applyFont="1" applyFill="1" applyBorder="1" applyAlignment="1"/>
    <xf numFmtId="164" fontId="115" fillId="0" borderId="1" xfId="1" applyFont="1" applyFill="1" applyBorder="1" applyAlignment="1">
      <alignment horizontal="center"/>
    </xf>
    <xf numFmtId="164" fontId="112" fillId="0" borderId="1" xfId="1" applyFont="1" applyFill="1" applyBorder="1" applyAlignment="1">
      <alignment horizontal="center"/>
    </xf>
    <xf numFmtId="164" fontId="115" fillId="0" borderId="1" xfId="1" applyFont="1" applyFill="1" applyBorder="1" applyAlignment="1">
      <alignment horizontal="left"/>
    </xf>
    <xf numFmtId="0" fontId="116" fillId="0" borderId="1" xfId="0" applyFont="1" applyBorder="1"/>
    <xf numFmtId="0" fontId="117" fillId="0" borderId="1" xfId="0" applyFont="1" applyBorder="1"/>
    <xf numFmtId="14" fontId="114" fillId="2" borderId="1" xfId="0" applyNumberFormat="1" applyFont="1" applyFill="1" applyBorder="1" applyAlignment="1">
      <alignment horizontal="right"/>
    </xf>
    <xf numFmtId="0" fontId="113" fillId="0" borderId="1" xfId="0" applyFont="1" applyFill="1" applyBorder="1" applyAlignment="1">
      <alignment horizontal="left"/>
    </xf>
    <xf numFmtId="0" fontId="114" fillId="0" borderId="1" xfId="0" applyFont="1" applyFill="1" applyBorder="1" applyAlignment="1">
      <alignment horizontal="center"/>
    </xf>
    <xf numFmtId="0" fontId="113" fillId="0" borderId="1" xfId="0" applyFont="1" applyFill="1" applyBorder="1" applyAlignment="1"/>
    <xf numFmtId="0" fontId="114" fillId="0" borderId="1" xfId="0" applyFont="1" applyFill="1" applyBorder="1" applyAlignment="1">
      <alignment horizontal="left"/>
    </xf>
    <xf numFmtId="4" fontId="114" fillId="0" borderId="1" xfId="1" applyNumberFormat="1" applyFont="1" applyFill="1" applyBorder="1" applyAlignment="1"/>
    <xf numFmtId="164" fontId="114" fillId="0" borderId="6" xfId="1" applyFont="1" applyFill="1" applyBorder="1" applyAlignment="1">
      <alignment horizontal="center"/>
    </xf>
    <xf numFmtId="164" fontId="111" fillId="0" borderId="1" xfId="1" applyFont="1" applyBorder="1"/>
    <xf numFmtId="164" fontId="112" fillId="0" borderId="6" xfId="1" applyFont="1" applyFill="1" applyBorder="1" applyAlignment="1">
      <alignment horizontal="center"/>
    </xf>
    <xf numFmtId="164" fontId="113" fillId="0" borderId="6" xfId="1" applyFont="1" applyFill="1" applyBorder="1" applyAlignment="1">
      <alignment horizontal="left"/>
    </xf>
    <xf numFmtId="0" fontId="111" fillId="0" borderId="1" xfId="0" applyFont="1" applyBorder="1"/>
    <xf numFmtId="14" fontId="118" fillId="0" borderId="2" xfId="0" quotePrefix="1" applyNumberFormat="1" applyFont="1" applyFill="1" applyBorder="1" applyAlignment="1">
      <alignment horizontal="right"/>
    </xf>
    <xf numFmtId="0" fontId="114" fillId="0" borderId="2" xfId="0" applyFont="1" applyFill="1" applyBorder="1" applyAlignment="1">
      <alignment horizontal="center"/>
    </xf>
    <xf numFmtId="4" fontId="113" fillId="0" borderId="1" xfId="1" applyNumberFormat="1" applyFont="1" applyFill="1" applyBorder="1" applyAlignment="1"/>
    <xf numFmtId="0" fontId="114" fillId="0" borderId="2" xfId="0" quotePrefix="1" applyFont="1" applyFill="1" applyBorder="1" applyAlignment="1">
      <alignment horizontal="center"/>
    </xf>
    <xf numFmtId="0" fontId="118" fillId="0" borderId="2" xfId="0" quotePrefix="1" applyFont="1" applyFill="1" applyBorder="1" applyAlignment="1">
      <alignment horizontal="left"/>
    </xf>
    <xf numFmtId="4" fontId="114" fillId="0" borderId="2" xfId="1" applyNumberFormat="1" applyFont="1" applyFill="1" applyBorder="1" applyAlignment="1"/>
    <xf numFmtId="164" fontId="119" fillId="0" borderId="5" xfId="1" applyFont="1" applyFill="1" applyBorder="1" applyAlignment="1">
      <alignment horizontal="left"/>
    </xf>
    <xf numFmtId="164" fontId="120" fillId="0" borderId="5" xfId="1" applyFont="1" applyFill="1" applyBorder="1" applyAlignment="1">
      <alignment horizontal="left"/>
    </xf>
    <xf numFmtId="164" fontId="118" fillId="0" borderId="1" xfId="1" quotePrefix="1" applyFont="1" applyFill="1" applyBorder="1" applyAlignment="1">
      <alignment horizontal="center"/>
    </xf>
    <xf numFmtId="164" fontId="113" fillId="0" borderId="5" xfId="1" applyFont="1" applyFill="1" applyBorder="1" applyAlignment="1">
      <alignment horizontal="left"/>
    </xf>
    <xf numFmtId="0" fontId="111" fillId="0" borderId="1" xfId="0" applyFont="1" applyFill="1" applyBorder="1"/>
    <xf numFmtId="0" fontId="111" fillId="0" borderId="0" xfId="0" applyFont="1" applyFill="1"/>
    <xf numFmtId="14" fontId="113" fillId="0" borderId="2" xfId="0" quotePrefix="1" applyNumberFormat="1" applyFont="1" applyFill="1" applyBorder="1" applyAlignment="1">
      <alignment horizontal="right"/>
    </xf>
    <xf numFmtId="0" fontId="113" fillId="0" borderId="1" xfId="0" applyFont="1" applyFill="1" applyBorder="1" applyAlignment="1">
      <alignment horizontal="center"/>
    </xf>
    <xf numFmtId="0" fontId="117" fillId="0" borderId="1" xfId="0" applyFont="1" applyFill="1" applyBorder="1" applyAlignment="1"/>
    <xf numFmtId="0" fontId="113" fillId="0" borderId="1" xfId="0" quotePrefix="1" applyFont="1" applyFill="1" applyBorder="1" applyAlignment="1">
      <alignment horizontal="center"/>
    </xf>
    <xf numFmtId="0" fontId="113" fillId="0" borderId="2" xfId="0" quotePrefix="1" applyFont="1" applyFill="1" applyBorder="1" applyAlignment="1">
      <alignment horizontal="left"/>
    </xf>
    <xf numFmtId="164" fontId="113" fillId="0" borderId="1" xfId="1" applyFont="1" applyFill="1" applyBorder="1" applyAlignment="1"/>
    <xf numFmtId="164" fontId="113" fillId="0" borderId="1" xfId="1" applyFont="1" applyFill="1" applyBorder="1" applyAlignment="1">
      <alignment horizontal="center"/>
    </xf>
    <xf numFmtId="164" fontId="113" fillId="0" borderId="1" xfId="1" quotePrefix="1" applyFont="1" applyFill="1" applyBorder="1" applyAlignment="1">
      <alignment horizontal="center"/>
    </xf>
    <xf numFmtId="0" fontId="113" fillId="0" borderId="1" xfId="0" quotePrefix="1" applyFont="1" applyFill="1" applyBorder="1" applyAlignment="1">
      <alignment horizontal="left"/>
    </xf>
    <xf numFmtId="0" fontId="117" fillId="0" borderId="1" xfId="0" applyFont="1" applyFill="1" applyBorder="1"/>
    <xf numFmtId="0" fontId="117" fillId="0" borderId="0" xfId="0" applyFont="1" applyFill="1"/>
    <xf numFmtId="14" fontId="113" fillId="0" borderId="1" xfId="0" quotePrefix="1" applyNumberFormat="1" applyFont="1" applyFill="1" applyBorder="1" applyAlignment="1">
      <alignment horizontal="right"/>
    </xf>
    <xf numFmtId="0" fontId="113" fillId="0" borderId="1" xfId="0" applyFont="1" applyFill="1" applyBorder="1" applyAlignment="1">
      <alignment horizontal="center" vertical="top"/>
    </xf>
    <xf numFmtId="164" fontId="117" fillId="0" borderId="1" xfId="1" applyFont="1" applyFill="1" applyBorder="1" applyAlignment="1">
      <alignment horizontal="left"/>
    </xf>
    <xf numFmtId="164" fontId="117" fillId="0" borderId="1" xfId="1" applyFont="1" applyFill="1" applyBorder="1"/>
    <xf numFmtId="0" fontId="117" fillId="0" borderId="1" xfId="0" applyFont="1" applyFill="1" applyBorder="1" applyAlignment="1">
      <alignment horizontal="left"/>
    </xf>
    <xf numFmtId="164" fontId="117" fillId="0" borderId="1" xfId="1" applyFont="1" applyFill="1" applyBorder="1" applyAlignment="1"/>
    <xf numFmtId="0" fontId="117" fillId="0" borderId="0" xfId="0" applyFont="1" applyFill="1" applyAlignment="1"/>
    <xf numFmtId="0" fontId="113" fillId="0" borderId="1" xfId="0" applyFont="1" applyFill="1" applyBorder="1" applyAlignment="1">
      <alignment horizontal="left" wrapText="1"/>
    </xf>
    <xf numFmtId="14" fontId="121" fillId="5" borderId="1" xfId="2" quotePrefix="1" applyNumberFormat="1" applyFont="1" applyBorder="1" applyAlignment="1">
      <alignment horizontal="right"/>
    </xf>
    <xf numFmtId="0" fontId="121" fillId="5" borderId="1" xfId="2" applyFont="1" applyBorder="1" applyAlignment="1">
      <alignment horizontal="left"/>
    </xf>
    <xf numFmtId="0" fontId="121" fillId="5" borderId="1" xfId="2" applyFont="1" applyBorder="1" applyAlignment="1">
      <alignment horizontal="center"/>
    </xf>
    <xf numFmtId="0" fontId="121" fillId="5" borderId="1" xfId="2" applyFont="1" applyBorder="1" applyAlignment="1"/>
    <xf numFmtId="0" fontId="121" fillId="5" borderId="1" xfId="2" quotePrefix="1" applyFont="1" applyBorder="1" applyAlignment="1">
      <alignment horizontal="center"/>
    </xf>
    <xf numFmtId="0" fontId="121" fillId="5" borderId="1" xfId="2" quotePrefix="1" applyFont="1" applyBorder="1" applyAlignment="1">
      <alignment horizontal="left"/>
    </xf>
    <xf numFmtId="164" fontId="121" fillId="5" borderId="1" xfId="2" applyNumberFormat="1" applyFont="1" applyBorder="1" applyAlignment="1"/>
    <xf numFmtId="164" fontId="121" fillId="5" borderId="1" xfId="2" applyNumberFormat="1" applyFont="1" applyBorder="1" applyAlignment="1">
      <alignment horizontal="left"/>
    </xf>
    <xf numFmtId="0" fontId="121" fillId="5" borderId="1" xfId="2" applyFont="1" applyBorder="1"/>
    <xf numFmtId="0" fontId="121" fillId="5" borderId="0" xfId="2" applyFont="1"/>
    <xf numFmtId="164" fontId="121" fillId="5" borderId="1" xfId="2" applyNumberFormat="1" applyFont="1" applyBorder="1"/>
    <xf numFmtId="164" fontId="117" fillId="0" borderId="1" xfId="1" applyFont="1" applyFill="1" applyBorder="1" applyAlignment="1">
      <alignment horizontal="right"/>
    </xf>
    <xf numFmtId="0" fontId="113" fillId="0" borderId="1" xfId="0" applyFont="1" applyFill="1" applyBorder="1"/>
    <xf numFmtId="14" fontId="113" fillId="4" borderId="1" xfId="0" quotePrefix="1" applyNumberFormat="1" applyFont="1" applyFill="1" applyBorder="1" applyAlignment="1">
      <alignment horizontal="right"/>
    </xf>
    <xf numFmtId="0" fontId="113" fillId="4" borderId="1" xfId="0" applyFont="1" applyFill="1" applyBorder="1" applyAlignment="1">
      <alignment horizontal="left"/>
    </xf>
    <xf numFmtId="0" fontId="113" fillId="4" borderId="1" xfId="0" applyFont="1" applyFill="1" applyBorder="1" applyAlignment="1">
      <alignment horizontal="center"/>
    </xf>
    <xf numFmtId="0" fontId="113" fillId="4" borderId="1" xfId="0" applyFont="1" applyFill="1" applyBorder="1" applyAlignment="1"/>
    <xf numFmtId="0" fontId="113" fillId="4" borderId="1" xfId="0" quotePrefix="1" applyFont="1" applyFill="1" applyBorder="1" applyAlignment="1">
      <alignment horizontal="center"/>
    </xf>
    <xf numFmtId="0" fontId="113" fillId="4" borderId="1" xfId="0" quotePrefix="1" applyFont="1" applyFill="1" applyBorder="1" applyAlignment="1">
      <alignment horizontal="left"/>
    </xf>
    <xf numFmtId="164" fontId="113" fillId="4" borderId="1" xfId="1" applyFont="1" applyFill="1" applyBorder="1" applyAlignment="1"/>
    <xf numFmtId="164" fontId="117" fillId="4" borderId="1" xfId="1" applyFont="1" applyFill="1" applyBorder="1" applyAlignment="1">
      <alignment horizontal="left"/>
    </xf>
    <xf numFmtId="0" fontId="117" fillId="4" borderId="1" xfId="0" applyFont="1" applyFill="1" applyBorder="1"/>
    <xf numFmtId="0" fontId="117" fillId="4" borderId="1" xfId="0" applyFont="1" applyFill="1" applyBorder="1" applyAlignment="1">
      <alignment horizontal="left"/>
    </xf>
    <xf numFmtId="0" fontId="117" fillId="4" borderId="0" xfId="0" applyFont="1" applyFill="1"/>
    <xf numFmtId="0" fontId="118" fillId="0" borderId="1" xfId="0" applyFont="1" applyFill="1" applyBorder="1" applyAlignment="1">
      <alignment horizontal="left"/>
    </xf>
    <xf numFmtId="164" fontId="122" fillId="4" borderId="0" xfId="1" applyFont="1" applyFill="1"/>
    <xf numFmtId="14" fontId="117" fillId="0" borderId="0" xfId="0" quotePrefix="1" applyNumberFormat="1" applyFont="1"/>
    <xf numFmtId="0" fontId="117" fillId="0" borderId="0" xfId="0" applyFont="1"/>
    <xf numFmtId="0" fontId="117" fillId="0" borderId="0" xfId="0" quotePrefix="1" applyFont="1"/>
    <xf numFmtId="0" fontId="117" fillId="0" borderId="0" xfId="0" quotePrefix="1" applyFont="1" applyAlignment="1">
      <alignment horizontal="left"/>
    </xf>
    <xf numFmtId="164" fontId="117" fillId="4" borderId="1" xfId="1" applyFont="1" applyFill="1" applyBorder="1"/>
    <xf numFmtId="14" fontId="113" fillId="0" borderId="1" xfId="0" quotePrefix="1" applyNumberFormat="1" applyFont="1" applyFill="1" applyBorder="1" applyAlignment="1">
      <alignment horizontal="left"/>
    </xf>
    <xf numFmtId="14" fontId="113" fillId="4" borderId="1" xfId="0" quotePrefix="1" applyNumberFormat="1" applyFont="1" applyFill="1" applyBorder="1" applyAlignment="1">
      <alignment horizontal="left"/>
    </xf>
    <xf numFmtId="0" fontId="119" fillId="0" borderId="1" xfId="0" applyFont="1" applyFill="1" applyBorder="1" applyAlignment="1">
      <alignment horizontal="center"/>
    </xf>
    <xf numFmtId="0" fontId="118" fillId="4" borderId="1" xfId="0" applyFont="1" applyFill="1" applyBorder="1" applyAlignment="1">
      <alignment horizontal="left"/>
    </xf>
    <xf numFmtId="0" fontId="119" fillId="4" borderId="1" xfId="0" applyFont="1" applyFill="1" applyBorder="1" applyAlignment="1">
      <alignment horizontal="center"/>
    </xf>
    <xf numFmtId="164" fontId="117" fillId="0" borderId="1" xfId="1" applyFont="1" applyFill="1" applyBorder="1" applyAlignment="1">
      <alignment horizontal="center"/>
    </xf>
    <xf numFmtId="14" fontId="123" fillId="7" borderId="7" xfId="4" quotePrefix="1" applyNumberFormat="1" applyFont="1" applyAlignment="1">
      <alignment horizontal="right"/>
    </xf>
    <xf numFmtId="0" fontId="123" fillId="7" borderId="7" xfId="4" applyFont="1" applyAlignment="1">
      <alignment horizontal="left"/>
    </xf>
    <xf numFmtId="0" fontId="123" fillId="7" borderId="7" xfId="4" applyFont="1" applyAlignment="1">
      <alignment horizontal="center"/>
    </xf>
    <xf numFmtId="0" fontId="123" fillId="7" borderId="7" xfId="4" quotePrefix="1" applyFont="1" applyAlignment="1">
      <alignment horizontal="left"/>
    </xf>
    <xf numFmtId="0" fontId="123" fillId="7" borderId="7" xfId="4" quotePrefix="1" applyFont="1" applyAlignment="1">
      <alignment horizontal="center"/>
    </xf>
    <xf numFmtId="164" fontId="123" fillId="7" borderId="7" xfId="4" applyNumberFormat="1" applyFont="1" applyAlignment="1"/>
    <xf numFmtId="164" fontId="123" fillId="7" borderId="7" xfId="4" applyNumberFormat="1" applyFont="1"/>
    <xf numFmtId="0" fontId="123" fillId="7" borderId="7" xfId="4" applyFont="1"/>
    <xf numFmtId="0" fontId="117" fillId="0" borderId="0" xfId="0" quotePrefix="1" applyFont="1" applyAlignment="1">
      <alignment horizontal="right"/>
    </xf>
    <xf numFmtId="0" fontId="113" fillId="0" borderId="0" xfId="0" applyFont="1" applyFill="1" applyBorder="1" applyAlignment="1">
      <alignment horizontal="left"/>
    </xf>
    <xf numFmtId="0" fontId="117" fillId="0" borderId="0" xfId="0" applyFont="1" applyAlignment="1">
      <alignment horizontal="right"/>
    </xf>
    <xf numFmtId="3" fontId="117" fillId="0" borderId="0" xfId="0" applyNumberFormat="1" applyFont="1" applyAlignment="1">
      <alignment horizontal="right"/>
    </xf>
    <xf numFmtId="14" fontId="117" fillId="0" borderId="0" xfId="0" quotePrefix="1" applyNumberFormat="1" applyFont="1" applyAlignment="1">
      <alignment horizontal="right"/>
    </xf>
    <xf numFmtId="14" fontId="114" fillId="4" borderId="1" xfId="0" applyNumberFormat="1" applyFont="1" applyFill="1" applyBorder="1" applyAlignment="1">
      <alignment horizontal="right"/>
    </xf>
    <xf numFmtId="0" fontId="115" fillId="4" borderId="1" xfId="0" applyFont="1" applyFill="1" applyBorder="1"/>
    <xf numFmtId="0" fontId="114" fillId="4" borderId="1" xfId="0" applyFont="1" applyFill="1" applyBorder="1" applyAlignment="1">
      <alignment horizontal="center"/>
    </xf>
    <xf numFmtId="4" fontId="112" fillId="4" borderId="1" xfId="1" applyNumberFormat="1" applyFont="1" applyFill="1" applyBorder="1" applyAlignment="1"/>
    <xf numFmtId="164" fontId="115" fillId="4" borderId="1" xfId="1" applyFont="1" applyFill="1" applyBorder="1"/>
    <xf numFmtId="164" fontId="112" fillId="4" borderId="1" xfId="1" applyFont="1" applyFill="1" applyBorder="1"/>
    <xf numFmtId="4" fontId="112" fillId="4" borderId="1" xfId="1" applyNumberFormat="1" applyFont="1" applyFill="1" applyBorder="1"/>
    <xf numFmtId="164" fontId="115" fillId="4" borderId="1" xfId="1" applyFont="1" applyFill="1" applyBorder="1" applyAlignment="1">
      <alignment horizontal="left"/>
    </xf>
    <xf numFmtId="4" fontId="116" fillId="4" borderId="1" xfId="1" applyNumberFormat="1" applyFont="1" applyFill="1" applyBorder="1"/>
    <xf numFmtId="164" fontId="117" fillId="4" borderId="1" xfId="0" applyNumberFormat="1" applyFont="1" applyFill="1" applyBorder="1"/>
    <xf numFmtId="0" fontId="111" fillId="4" borderId="0" xfId="0" applyFont="1" applyFill="1" applyBorder="1"/>
    <xf numFmtId="0" fontId="111" fillId="0" borderId="0" xfId="0" applyFont="1" applyAlignment="1">
      <alignment horizontal="right"/>
    </xf>
    <xf numFmtId="0" fontId="117" fillId="0" borderId="0" xfId="0" applyFont="1" applyAlignment="1"/>
    <xf numFmtId="0" fontId="111" fillId="0" borderId="0" xfId="0" applyFont="1" applyAlignment="1">
      <alignment horizontal="center"/>
    </xf>
    <xf numFmtId="0" fontId="111" fillId="0" borderId="0" xfId="0" applyFont="1" applyAlignment="1">
      <alignment horizontal="left"/>
    </xf>
    <xf numFmtId="0" fontId="124" fillId="0" borderId="0" xfId="0" applyFont="1" applyAlignment="1"/>
    <xf numFmtId="164" fontId="117" fillId="0" borderId="0" xfId="1" applyFont="1"/>
    <xf numFmtId="164" fontId="111" fillId="0" borderId="0" xfId="1" applyFont="1"/>
    <xf numFmtId="0" fontId="117" fillId="0" borderId="0" xfId="0" applyFont="1" applyAlignment="1">
      <alignment horizontal="left"/>
    </xf>
    <xf numFmtId="0" fontId="111" fillId="0" borderId="0" xfId="0" applyFont="1" applyAlignment="1"/>
    <xf numFmtId="164" fontId="27" fillId="0" borderId="0" xfId="0" applyNumberFormat="1" applyFont="1"/>
    <xf numFmtId="43" fontId="111" fillId="0" borderId="0" xfId="0" applyNumberFormat="1" applyFont="1"/>
    <xf numFmtId="164" fontId="111" fillId="0" borderId="0" xfId="0" applyNumberFormat="1" applyFont="1"/>
    <xf numFmtId="164" fontId="86" fillId="0" borderId="1" xfId="1" applyFont="1" applyFill="1" applyBorder="1" applyAlignment="1">
      <alignment horizontal="center"/>
    </xf>
    <xf numFmtId="164" fontId="85" fillId="0" borderId="1" xfId="1" applyFont="1" applyFill="1" applyBorder="1" applyAlignment="1">
      <alignment horizontal="left"/>
    </xf>
    <xf numFmtId="14" fontId="90" fillId="0" borderId="1" xfId="0" quotePrefix="1" applyNumberFormat="1" applyFont="1" applyFill="1" applyBorder="1" applyAlignment="1">
      <alignment horizontal="right"/>
    </xf>
    <xf numFmtId="0" fontId="86" fillId="0" borderId="1" xfId="0" quotePrefix="1" applyFont="1" applyFill="1" applyBorder="1" applyAlignment="1">
      <alignment horizontal="center"/>
    </xf>
    <xf numFmtId="0" fontId="90" fillId="0" borderId="1" xfId="0" quotePrefix="1" applyFont="1" applyFill="1" applyBorder="1" applyAlignment="1">
      <alignment horizontal="left"/>
    </xf>
    <xf numFmtId="164" fontId="91" fillId="0" borderId="1" xfId="1" applyFont="1" applyFill="1" applyBorder="1" applyAlignment="1">
      <alignment horizontal="left"/>
    </xf>
    <xf numFmtId="164" fontId="92" fillId="0" borderId="1" xfId="1" applyFont="1" applyFill="1" applyBorder="1" applyAlignment="1">
      <alignment horizontal="left"/>
    </xf>
    <xf numFmtId="164" fontId="94" fillId="4" borderId="1" xfId="1" applyFont="1" applyFill="1" applyBorder="1"/>
    <xf numFmtId="14" fontId="89" fillId="0" borderId="1" xfId="0" quotePrefix="1" applyNumberFormat="1" applyFont="1" applyBorder="1"/>
    <xf numFmtId="0" fontId="89" fillId="0" borderId="1" xfId="0" quotePrefix="1" applyFont="1" applyBorder="1"/>
    <xf numFmtId="0" fontId="89" fillId="0" borderId="1" xfId="0" quotePrefix="1" applyFont="1" applyBorder="1" applyAlignment="1">
      <alignment horizontal="left"/>
    </xf>
    <xf numFmtId="14" fontId="95" fillId="7" borderId="1" xfId="4" quotePrefix="1" applyNumberFormat="1" applyFont="1" applyBorder="1" applyAlignment="1">
      <alignment horizontal="right"/>
    </xf>
    <xf numFmtId="0" fontId="95" fillId="7" borderId="1" xfId="4" applyFont="1" applyBorder="1" applyAlignment="1">
      <alignment horizontal="left"/>
    </xf>
    <xf numFmtId="0" fontId="95" fillId="7" borderId="1" xfId="4" applyFont="1" applyBorder="1" applyAlignment="1">
      <alignment horizontal="center"/>
    </xf>
    <xf numFmtId="0" fontId="95" fillId="7" borderId="1" xfId="4" quotePrefix="1" applyFont="1" applyBorder="1" applyAlignment="1">
      <alignment horizontal="left"/>
    </xf>
    <xf numFmtId="0" fontId="95" fillId="7" borderId="1" xfId="4" quotePrefix="1" applyFont="1" applyBorder="1" applyAlignment="1">
      <alignment horizontal="center"/>
    </xf>
    <xf numFmtId="164" fontId="95" fillId="7" borderId="1" xfId="4" applyNumberFormat="1" applyFont="1" applyBorder="1" applyAlignment="1"/>
    <xf numFmtId="164" fontId="95" fillId="7" borderId="1" xfId="4" applyNumberFormat="1" applyFont="1" applyBorder="1"/>
    <xf numFmtId="0" fontId="95" fillId="7" borderId="1" xfId="4" applyFont="1" applyBorder="1"/>
    <xf numFmtId="0" fontId="89" fillId="0" borderId="1" xfId="0" quotePrefix="1" applyFont="1" applyBorder="1" applyAlignment="1">
      <alignment horizontal="right"/>
    </xf>
    <xf numFmtId="0" fontId="89" fillId="0" borderId="1" xfId="0" applyFont="1" applyBorder="1" applyAlignment="1">
      <alignment horizontal="right"/>
    </xf>
    <xf numFmtId="14" fontId="89" fillId="0" borderId="1" xfId="0" quotePrefix="1" applyNumberFormat="1" applyFont="1" applyBorder="1" applyAlignment="1">
      <alignment horizontal="right"/>
    </xf>
    <xf numFmtId="3" fontId="89" fillId="0" borderId="1" xfId="0" applyNumberFormat="1" applyFont="1" applyBorder="1" applyAlignment="1">
      <alignment horizontal="right"/>
    </xf>
    <xf numFmtId="4" fontId="89" fillId="0" borderId="1" xfId="0" applyNumberFormat="1" applyFont="1" applyBorder="1" applyAlignment="1">
      <alignment horizontal="right"/>
    </xf>
    <xf numFmtId="0" fontId="83" fillId="4" borderId="1" xfId="0" applyFont="1" applyFill="1" applyBorder="1"/>
    <xf numFmtId="3" fontId="89" fillId="0" borderId="1" xfId="0" applyNumberFormat="1" applyFont="1" applyBorder="1" applyAlignment="1">
      <alignment horizontal="center"/>
    </xf>
    <xf numFmtId="164" fontId="87" fillId="4" borderId="1" xfId="1" applyFont="1" applyFill="1" applyBorder="1" applyAlignment="1">
      <alignment horizontal="center"/>
    </xf>
    <xf numFmtId="164" fontId="125" fillId="4" borderId="1" xfId="0" applyNumberFormat="1" applyFont="1" applyFill="1" applyBorder="1"/>
    <xf numFmtId="4" fontId="125" fillId="4" borderId="1" xfId="0" applyNumberFormat="1" applyFont="1" applyFill="1" applyBorder="1"/>
    <xf numFmtId="166" fontId="89" fillId="0" borderId="1" xfId="0" applyNumberFormat="1" applyFont="1" applyBorder="1" applyAlignment="1">
      <alignment horizontal="right"/>
    </xf>
    <xf numFmtId="14" fontId="126" fillId="5" borderId="1" xfId="2" quotePrefix="1" applyNumberFormat="1" applyFont="1" applyBorder="1" applyAlignment="1">
      <alignment horizontal="right"/>
    </xf>
    <xf numFmtId="0" fontId="126" fillId="5" borderId="1" xfId="2" applyFont="1" applyBorder="1"/>
    <xf numFmtId="0" fontId="86" fillId="0" borderId="1" xfId="0" applyFont="1" applyFill="1" applyBorder="1" applyAlignment="1"/>
    <xf numFmtId="0" fontId="90" fillId="0" borderId="1" xfId="0" quotePrefix="1" applyFont="1" applyFill="1" applyBorder="1" applyAlignment="1"/>
    <xf numFmtId="0" fontId="85" fillId="0" borderId="1" xfId="0" quotePrefix="1" applyFont="1" applyFill="1" applyBorder="1" applyAlignment="1"/>
    <xf numFmtId="0" fontId="89" fillId="0" borderId="1" xfId="0" quotePrefix="1" applyFont="1" applyBorder="1" applyAlignment="1"/>
    <xf numFmtId="0" fontId="79" fillId="2" borderId="1" xfId="0" applyFont="1" applyFill="1" applyBorder="1" applyAlignment="1">
      <alignment horizontal="left"/>
    </xf>
    <xf numFmtId="0" fontId="80" fillId="0" borderId="1" xfId="0" applyFont="1" applyFill="1" applyBorder="1"/>
    <xf numFmtId="0" fontId="81" fillId="0" borderId="1" xfId="0" applyFont="1" applyFill="1" applyBorder="1" applyAlignment="1">
      <alignment horizontal="center"/>
    </xf>
    <xf numFmtId="0" fontId="80" fillId="0" borderId="1" xfId="0" applyFont="1" applyFill="1" applyBorder="1" applyAlignment="1"/>
    <xf numFmtId="0" fontId="81" fillId="0" borderId="1" xfId="0" applyFont="1" applyFill="1" applyBorder="1" applyAlignment="1">
      <alignment horizontal="left"/>
    </xf>
    <xf numFmtId="4" fontId="79" fillId="0" borderId="1" xfId="0" applyNumberFormat="1" applyFont="1" applyFill="1" applyBorder="1" applyAlignment="1"/>
    <xf numFmtId="164" fontId="82" fillId="0" borderId="1" xfId="1" applyFont="1" applyFill="1" applyBorder="1"/>
    <xf numFmtId="164" fontId="79" fillId="0" borderId="1" xfId="1" applyFont="1" applyFill="1" applyBorder="1"/>
    <xf numFmtId="0" fontId="79" fillId="0" borderId="1" xfId="0" applyFont="1" applyFill="1" applyBorder="1"/>
    <xf numFmtId="0" fontId="82" fillId="0" borderId="1" xfId="0" applyFont="1" applyFill="1" applyBorder="1" applyAlignment="1">
      <alignment horizontal="left"/>
    </xf>
    <xf numFmtId="0" fontId="84" fillId="2" borderId="1" xfId="0" applyFont="1" applyFill="1" applyBorder="1" applyAlignment="1">
      <alignment horizontal="left"/>
    </xf>
    <xf numFmtId="4" fontId="84" fillId="0" borderId="1" xfId="0" applyNumberFormat="1" applyFont="1" applyFill="1" applyBorder="1" applyAlignment="1"/>
    <xf numFmtId="0" fontId="84" fillId="0" borderId="1" xfId="0" applyFont="1" applyFill="1" applyBorder="1"/>
    <xf numFmtId="0" fontId="87" fillId="0" borderId="1" xfId="0" applyFont="1" applyFill="1" applyBorder="1" applyAlignment="1">
      <alignment horizontal="left"/>
    </xf>
    <xf numFmtId="164" fontId="85" fillId="0" borderId="1" xfId="1" applyFont="1" applyFill="1" applyBorder="1"/>
    <xf numFmtId="164" fontId="86" fillId="0" borderId="1" xfId="1" applyFont="1" applyFill="1" applyBorder="1"/>
    <xf numFmtId="0" fontId="107" fillId="0" borderId="1" xfId="0" applyFont="1" applyBorder="1"/>
    <xf numFmtId="0" fontId="107" fillId="0" borderId="1" xfId="0" quotePrefix="1" applyFont="1" applyBorder="1"/>
    <xf numFmtId="0" fontId="107" fillId="0" borderId="1" xfId="0" quotePrefix="1" applyFont="1" applyBorder="1" applyAlignment="1"/>
    <xf numFmtId="4" fontId="107" fillId="0" borderId="1" xfId="0" applyNumberFormat="1" applyFont="1" applyBorder="1"/>
    <xf numFmtId="3" fontId="107" fillId="0" borderId="1" xfId="0" applyNumberFormat="1" applyFont="1" applyBorder="1"/>
    <xf numFmtId="0" fontId="107" fillId="0" borderId="1" xfId="0" quotePrefix="1" applyFont="1" applyBorder="1" applyAlignment="1">
      <alignment horizontal="left"/>
    </xf>
    <xf numFmtId="0" fontId="83" fillId="0" borderId="1" xfId="0" applyFont="1" applyBorder="1" applyAlignment="1">
      <alignment horizontal="right"/>
    </xf>
    <xf numFmtId="0" fontId="89" fillId="0" borderId="1" xfId="0" applyFont="1" applyBorder="1" applyAlignment="1"/>
    <xf numFmtId="0" fontId="83" fillId="0" borderId="1" xfId="0" applyFont="1" applyBorder="1" applyAlignment="1">
      <alignment horizontal="center"/>
    </xf>
    <xf numFmtId="0" fontId="83" fillId="0" borderId="1" xfId="0" applyFont="1" applyBorder="1" applyAlignment="1">
      <alignment horizontal="left"/>
    </xf>
    <xf numFmtId="0" fontId="96" fillId="0" borderId="1" xfId="0" applyFont="1" applyBorder="1" applyAlignment="1"/>
    <xf numFmtId="164" fontId="89" fillId="0" borderId="1" xfId="1" applyFont="1" applyBorder="1"/>
    <xf numFmtId="0" fontId="89" fillId="0" borderId="1" xfId="0" applyFont="1" applyBorder="1" applyAlignment="1">
      <alignment horizontal="left"/>
    </xf>
    <xf numFmtId="0" fontId="83" fillId="0" borderId="1" xfId="0" applyFont="1" applyBorder="1" applyAlignment="1"/>
    <xf numFmtId="164" fontId="25" fillId="0" borderId="1" xfId="0" applyNumberFormat="1" applyFont="1" applyBorder="1"/>
    <xf numFmtId="43" fontId="83" fillId="0" borderId="1" xfId="0" applyNumberFormat="1" applyFont="1" applyBorder="1"/>
    <xf numFmtId="164" fontId="83" fillId="0" borderId="1" xfId="0" applyNumberFormat="1" applyFont="1" applyBorder="1"/>
    <xf numFmtId="3" fontId="89" fillId="0" borderId="1" xfId="0" applyNumberFormat="1" applyFont="1" applyBorder="1"/>
    <xf numFmtId="167" fontId="79" fillId="2" borderId="0" xfId="0" applyNumberFormat="1" applyFont="1" applyFill="1" applyAlignment="1">
      <alignment horizontal="left"/>
    </xf>
    <xf numFmtId="167" fontId="84" fillId="2" borderId="0" xfId="0" applyNumberFormat="1" applyFont="1" applyFill="1" applyAlignment="1">
      <alignment horizontal="left"/>
    </xf>
    <xf numFmtId="167" fontId="84" fillId="2" borderId="1" xfId="0" applyNumberFormat="1" applyFont="1" applyFill="1" applyBorder="1" applyAlignment="1">
      <alignment horizontal="center"/>
    </xf>
    <xf numFmtId="167" fontId="84" fillId="2" borderId="0" xfId="0" applyNumberFormat="1" applyFont="1" applyFill="1" applyAlignment="1">
      <alignment horizontal="center"/>
    </xf>
    <xf numFmtId="167" fontId="86" fillId="4" borderId="1" xfId="0" applyNumberFormat="1" applyFont="1" applyFill="1" applyBorder="1" applyAlignment="1">
      <alignment horizontal="center"/>
    </xf>
    <xf numFmtId="167" fontId="83" fillId="0" borderId="0" xfId="0" applyNumberFormat="1" applyFont="1" applyAlignment="1">
      <alignment horizontal="center"/>
    </xf>
    <xf numFmtId="0" fontId="123" fillId="7" borderId="1" xfId="4" applyFont="1" applyBorder="1"/>
    <xf numFmtId="0" fontId="80" fillId="0" borderId="0" xfId="0" applyFont="1" applyFill="1" applyAlignment="1">
      <alignment horizontal="left"/>
    </xf>
    <xf numFmtId="0" fontId="85" fillId="0" borderId="0" xfId="0" applyFont="1" applyFill="1" applyAlignment="1">
      <alignment horizontal="left"/>
    </xf>
    <xf numFmtId="0" fontId="127" fillId="0" borderId="1" xfId="0" applyFont="1" applyBorder="1"/>
    <xf numFmtId="0" fontId="127" fillId="0" borderId="1" xfId="0" applyFont="1" applyFill="1" applyBorder="1"/>
    <xf numFmtId="0" fontId="127" fillId="0" borderId="1" xfId="0" applyFont="1" applyFill="1" applyBorder="1" applyAlignment="1"/>
    <xf numFmtId="0" fontId="127" fillId="5" borderId="1" xfId="2" applyFont="1" applyBorder="1"/>
    <xf numFmtId="0" fontId="127" fillId="4" borderId="1" xfId="0" applyFont="1" applyFill="1" applyBorder="1"/>
    <xf numFmtId="0" fontId="127" fillId="7" borderId="1" xfId="4" applyFont="1" applyBorder="1"/>
    <xf numFmtId="0" fontId="128" fillId="0" borderId="1" xfId="0" applyFont="1" applyBorder="1" applyAlignment="1">
      <alignment horizontal="center"/>
    </xf>
    <xf numFmtId="0" fontId="128" fillId="0" borderId="1" xfId="0" applyFont="1" applyBorder="1"/>
    <xf numFmtId="0" fontId="128" fillId="0" borderId="1" xfId="0" applyFont="1" applyFill="1" applyBorder="1" applyAlignment="1">
      <alignment horizontal="center"/>
    </xf>
    <xf numFmtId="0" fontId="128" fillId="0" borderId="1" xfId="0" applyFont="1" applyFill="1" applyBorder="1"/>
    <xf numFmtId="0" fontId="128" fillId="0" borderId="1" xfId="0" applyFont="1" applyFill="1" applyBorder="1" applyAlignment="1">
      <alignment horizontal="left"/>
    </xf>
    <xf numFmtId="0" fontId="128" fillId="0" borderId="1" xfId="0" applyFont="1" applyFill="1" applyBorder="1" applyAlignment="1"/>
    <xf numFmtId="0" fontId="128" fillId="5" borderId="1" xfId="2" applyFont="1" applyBorder="1"/>
    <xf numFmtId="0" fontId="128" fillId="5" borderId="1" xfId="2" applyFont="1" applyBorder="1" applyAlignment="1">
      <alignment horizontal="left"/>
    </xf>
    <xf numFmtId="0" fontId="92" fillId="0" borderId="1" xfId="0" applyFont="1" applyFill="1" applyBorder="1"/>
    <xf numFmtId="0" fontId="128" fillId="4" borderId="1" xfId="0" applyFont="1" applyFill="1" applyBorder="1" applyAlignment="1">
      <alignment horizontal="left"/>
    </xf>
    <xf numFmtId="0" fontId="128" fillId="4" borderId="1" xfId="0" applyFont="1" applyFill="1" applyBorder="1"/>
    <xf numFmtId="0" fontId="92" fillId="0" borderId="1" xfId="0" quotePrefix="1" applyFont="1" applyFill="1" applyBorder="1" applyAlignment="1">
      <alignment horizontal="left"/>
    </xf>
    <xf numFmtId="0" fontId="128" fillId="7" borderId="1" xfId="4" applyFont="1" applyBorder="1"/>
    <xf numFmtId="0" fontId="89" fillId="0" borderId="1" xfId="0" applyFont="1" applyBorder="1" applyAlignment="1">
      <alignment horizontal="center"/>
    </xf>
    <xf numFmtId="0" fontId="83" fillId="0" borderId="1" xfId="0" quotePrefix="1" applyFont="1" applyBorder="1" applyAlignment="1">
      <alignment horizontal="center"/>
    </xf>
    <xf numFmtId="4" fontId="83" fillId="0" borderId="1" xfId="0" applyNumberFormat="1" applyFont="1" applyBorder="1" applyAlignment="1">
      <alignment horizontal="center"/>
    </xf>
    <xf numFmtId="4" fontId="83" fillId="0" borderId="1" xfId="0" quotePrefix="1" applyNumberFormat="1" applyFont="1" applyBorder="1" applyAlignment="1">
      <alignment horizontal="center"/>
    </xf>
    <xf numFmtId="167" fontId="83" fillId="0" borderId="1" xfId="0" applyNumberFormat="1" applyFont="1" applyBorder="1" applyAlignment="1">
      <alignment horizontal="center"/>
    </xf>
    <xf numFmtId="167" fontId="83" fillId="0" borderId="1" xfId="0" quotePrefix="1" applyNumberFormat="1" applyFont="1" applyBorder="1" applyAlignment="1">
      <alignment horizontal="center"/>
    </xf>
    <xf numFmtId="0" fontId="50" fillId="0" borderId="0" xfId="0" applyFont="1" applyBorder="1" applyAlignment="1">
      <alignment horizontal="center"/>
    </xf>
    <xf numFmtId="4" fontId="43" fillId="0" borderId="1" xfId="0" applyNumberFormat="1" applyFont="1" applyFill="1" applyBorder="1" applyAlignment="1">
      <alignment horizontal="center"/>
    </xf>
    <xf numFmtId="43" fontId="0" fillId="0" borderId="0" xfId="0" applyNumberFormat="1"/>
    <xf numFmtId="0" fontId="50" fillId="0" borderId="0" xfId="0" applyFont="1" applyBorder="1" applyAlignment="1">
      <alignment horizontal="center"/>
    </xf>
    <xf numFmtId="164" fontId="49" fillId="4" borderId="1" xfId="1" applyFont="1" applyFill="1" applyBorder="1" applyAlignment="1">
      <alignment horizontal="center"/>
    </xf>
    <xf numFmtId="164" fontId="52" fillId="0" borderId="1" xfId="1" applyFont="1" applyBorder="1" applyAlignment="1"/>
    <xf numFmtId="0" fontId="125" fillId="0" borderId="1" xfId="0" applyFont="1" applyBorder="1" applyAlignment="1">
      <alignment horizontal="center"/>
    </xf>
    <xf numFmtId="0" fontId="51" fillId="0" borderId="1" xfId="0" applyFont="1" applyFill="1" applyBorder="1" applyAlignment="1"/>
    <xf numFmtId="4" fontId="41" fillId="0" borderId="1" xfId="0" applyNumberFormat="1" applyFont="1" applyFill="1" applyBorder="1" applyAlignment="1">
      <alignment horizontal="center"/>
    </xf>
    <xf numFmtId="4" fontId="83" fillId="0" borderId="1" xfId="0" applyNumberFormat="1" applyFont="1" applyBorder="1" applyAlignment="1">
      <alignment horizontal="left"/>
    </xf>
    <xf numFmtId="167" fontId="89" fillId="0" borderId="1" xfId="0" quotePrefix="1" applyNumberFormat="1" applyFont="1" applyBorder="1" applyAlignment="1">
      <alignment horizontal="center"/>
    </xf>
    <xf numFmtId="0" fontId="89" fillId="0" borderId="1" xfId="0" quotePrefix="1" applyFont="1" applyBorder="1" applyAlignment="1">
      <alignment horizontal="center"/>
    </xf>
    <xf numFmtId="4" fontId="89" fillId="0" borderId="1" xfId="0" applyNumberFormat="1" applyFont="1" applyBorder="1" applyAlignment="1">
      <alignment horizontal="center"/>
    </xf>
    <xf numFmtId="4" fontId="89" fillId="0" borderId="1" xfId="0" quotePrefix="1" applyNumberFormat="1" applyFont="1" applyBorder="1" applyAlignment="1">
      <alignment horizontal="center"/>
    </xf>
    <xf numFmtId="0" fontId="83" fillId="0" borderId="1" xfId="0" quotePrefix="1" applyFont="1" applyBorder="1" applyAlignment="1"/>
    <xf numFmtId="0" fontId="87" fillId="4" borderId="1" xfId="0" applyFont="1" applyFill="1" applyBorder="1" applyAlignment="1"/>
    <xf numFmtId="4" fontId="83" fillId="4" borderId="1" xfId="0" applyNumberFormat="1" applyFont="1" applyFill="1" applyBorder="1" applyAlignment="1">
      <alignment horizontal="center"/>
    </xf>
    <xf numFmtId="14" fontId="83" fillId="0" borderId="1" xfId="0" applyNumberFormat="1" applyFont="1" applyBorder="1" applyAlignment="1"/>
    <xf numFmtId="0" fontId="50" fillId="0" borderId="0" xfId="0" applyFont="1" applyBorder="1" applyAlignment="1">
      <alignment horizontal="center"/>
    </xf>
    <xf numFmtId="164" fontId="0" fillId="0" borderId="1" xfId="1" applyFont="1" applyBorder="1" applyAlignment="1">
      <alignment horizontal="center"/>
    </xf>
    <xf numFmtId="164" fontId="52" fillId="0" borderId="1" xfId="1" applyFont="1" applyBorder="1" applyAlignment="1">
      <alignment horizontal="center"/>
    </xf>
    <xf numFmtId="164" fontId="0" fillId="0" borderId="0" xfId="1" applyFont="1" applyAlignment="1">
      <alignment horizontal="center"/>
    </xf>
    <xf numFmtId="164" fontId="53" fillId="0" borderId="1" xfId="1" applyFont="1" applyBorder="1" applyAlignment="1">
      <alignment horizontal="center"/>
    </xf>
    <xf numFmtId="164" fontId="48" fillId="0" borderId="1" xfId="1" applyFont="1" applyBorder="1" applyAlignment="1">
      <alignment horizontal="center"/>
    </xf>
    <xf numFmtId="164" fontId="55" fillId="0" borderId="0" xfId="1" applyFont="1" applyAlignment="1">
      <alignment horizontal="center" wrapText="1"/>
    </xf>
    <xf numFmtId="0" fontId="55" fillId="0" borderId="0" xfId="0" applyFont="1" applyAlignment="1">
      <alignment horizontal="center" wrapText="1"/>
    </xf>
    <xf numFmtId="4" fontId="111" fillId="0" borderId="1" xfId="0" applyNumberFormat="1" applyFon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xf>
    <xf numFmtId="164" fontId="47" fillId="0" borderId="1" xfId="1" applyFont="1" applyBorder="1" applyAlignment="1">
      <alignment horizontal="center"/>
    </xf>
    <xf numFmtId="164" fontId="47" fillId="0" borderId="1" xfId="1" applyFont="1" applyBorder="1" applyAlignment="1"/>
    <xf numFmtId="167" fontId="98" fillId="8" borderId="1" xfId="6" quotePrefix="1" applyNumberFormat="1" applyBorder="1" applyAlignment="1">
      <alignment horizontal="center"/>
    </xf>
    <xf numFmtId="14" fontId="98" fillId="8" borderId="1" xfId="6" applyNumberFormat="1" applyBorder="1" applyAlignment="1"/>
    <xf numFmtId="0" fontId="98" fillId="8" borderId="1" xfId="6" applyBorder="1" applyAlignment="1">
      <alignment horizontal="center"/>
    </xf>
    <xf numFmtId="0" fontId="98" fillId="8" borderId="1" xfId="6" quotePrefix="1" applyBorder="1" applyAlignment="1">
      <alignment horizontal="center"/>
    </xf>
    <xf numFmtId="4" fontId="98" fillId="8" borderId="1" xfId="6" applyNumberFormat="1" applyBorder="1" applyAlignment="1">
      <alignment horizontal="center"/>
    </xf>
    <xf numFmtId="0" fontId="98" fillId="8" borderId="1" xfId="6" applyBorder="1"/>
    <xf numFmtId="0" fontId="98" fillId="8" borderId="0" xfId="6"/>
    <xf numFmtId="0" fontId="98" fillId="8" borderId="1" xfId="6" applyBorder="1" applyAlignment="1"/>
    <xf numFmtId="0" fontId="129" fillId="0" borderId="1" xfId="0" applyFont="1" applyBorder="1" applyAlignment="1">
      <alignment horizontal="center"/>
    </xf>
    <xf numFmtId="0" fontId="56" fillId="0" borderId="1" xfId="0" applyFont="1" applyBorder="1" applyAlignment="1">
      <alignment horizontal="center"/>
    </xf>
    <xf numFmtId="167" fontId="98" fillId="8" borderId="3" xfId="6" quotePrefix="1" applyNumberFormat="1" applyBorder="1" applyAlignment="1">
      <alignment horizontal="center"/>
    </xf>
    <xf numFmtId="14" fontId="98" fillId="8" borderId="3" xfId="6" applyNumberFormat="1" applyBorder="1" applyAlignment="1"/>
    <xf numFmtId="0" fontId="98" fillId="8" borderId="3" xfId="6" applyBorder="1" applyAlignment="1">
      <alignment horizontal="center"/>
    </xf>
    <xf numFmtId="0" fontId="98" fillId="8" borderId="3" xfId="6" quotePrefix="1" applyBorder="1" applyAlignment="1">
      <alignment horizontal="center"/>
    </xf>
    <xf numFmtId="4" fontId="98" fillId="8" borderId="3" xfId="6" applyNumberFormat="1" applyBorder="1" applyAlignment="1">
      <alignment horizontal="center"/>
    </xf>
    <xf numFmtId="0" fontId="98" fillId="8" borderId="3" xfId="6" applyBorder="1"/>
    <xf numFmtId="167" fontId="86" fillId="4" borderId="2" xfId="0" applyNumberFormat="1" applyFont="1" applyFill="1" applyBorder="1" applyAlignment="1">
      <alignment horizontal="center"/>
    </xf>
    <xf numFmtId="0" fontId="87" fillId="4" borderId="2" xfId="0" applyFont="1" applyFill="1" applyBorder="1" applyAlignment="1"/>
    <xf numFmtId="0" fontId="86" fillId="4" borderId="2" xfId="0" applyFont="1" applyFill="1" applyBorder="1" applyAlignment="1">
      <alignment horizontal="center"/>
    </xf>
    <xf numFmtId="0" fontId="85" fillId="4" borderId="2" xfId="0" applyFont="1" applyFill="1" applyBorder="1" applyAlignment="1"/>
    <xf numFmtId="0" fontId="85" fillId="4" borderId="2" xfId="0" quotePrefix="1" applyFont="1" applyFill="1" applyBorder="1" applyAlignment="1">
      <alignment horizontal="left"/>
    </xf>
    <xf numFmtId="4" fontId="83" fillId="4" borderId="2" xfId="0" applyNumberFormat="1" applyFont="1" applyFill="1" applyBorder="1" applyAlignment="1">
      <alignment horizontal="center"/>
    </xf>
    <xf numFmtId="0" fontId="56" fillId="4" borderId="2" xfId="0" applyFont="1" applyFill="1" applyBorder="1" applyAlignment="1">
      <alignment horizontal="center"/>
    </xf>
    <xf numFmtId="0" fontId="83" fillId="4" borderId="2" xfId="0" applyFont="1" applyFill="1" applyBorder="1"/>
    <xf numFmtId="0" fontId="83" fillId="0" borderId="1" xfId="0" quotePrefix="1" applyFont="1" applyBorder="1"/>
    <xf numFmtId="14" fontId="98" fillId="8" borderId="1" xfId="6" quotePrefix="1" applyNumberFormat="1" applyBorder="1" applyAlignment="1">
      <alignment horizontal="center"/>
    </xf>
    <xf numFmtId="0" fontId="98" fillId="8" borderId="1" xfId="6" applyBorder="1" applyAlignment="1">
      <alignment horizontal="left"/>
    </xf>
    <xf numFmtId="4" fontId="56" fillId="0" borderId="1" xfId="0" applyNumberFormat="1" applyFont="1" applyBorder="1" applyAlignment="1">
      <alignment horizontal="center"/>
    </xf>
    <xf numFmtId="14" fontId="98" fillId="8" borderId="0" xfId="6" quotePrefix="1" applyNumberFormat="1" applyAlignment="1">
      <alignment horizontal="right"/>
    </xf>
    <xf numFmtId="14" fontId="98" fillId="8" borderId="0" xfId="6" applyNumberFormat="1" applyAlignment="1">
      <alignment wrapText="1"/>
    </xf>
    <xf numFmtId="164" fontId="98" fillId="8" borderId="0" xfId="6" applyNumberFormat="1"/>
    <xf numFmtId="9" fontId="98" fillId="8" borderId="0" xfId="6" applyNumberFormat="1"/>
    <xf numFmtId="14" fontId="98" fillId="8" borderId="1" xfId="6" quotePrefix="1" applyNumberFormat="1" applyBorder="1" applyAlignment="1">
      <alignment horizontal="right"/>
    </xf>
    <xf numFmtId="14" fontId="98" fillId="8" borderId="1" xfId="6" applyNumberFormat="1" applyBorder="1" applyAlignment="1">
      <alignment wrapText="1"/>
    </xf>
    <xf numFmtId="164" fontId="98" fillId="8" borderId="1" xfId="6" applyNumberFormat="1" applyBorder="1"/>
    <xf numFmtId="9" fontId="98" fillId="8" borderId="1" xfId="6" applyNumberFormat="1" applyBorder="1"/>
    <xf numFmtId="0" fontId="98" fillId="8" borderId="2" xfId="6" applyBorder="1"/>
    <xf numFmtId="0" fontId="98" fillId="8" borderId="2" xfId="6" quotePrefix="1" applyBorder="1" applyAlignment="1">
      <alignment horizontal="center"/>
    </xf>
    <xf numFmtId="4" fontId="98" fillId="8" borderId="2" xfId="6" applyNumberFormat="1" applyBorder="1" applyAlignment="1">
      <alignment horizontal="center"/>
    </xf>
    <xf numFmtId="0" fontId="98" fillId="8" borderId="0" xfId="6" applyBorder="1"/>
    <xf numFmtId="14" fontId="98" fillId="8" borderId="2" xfId="6" quotePrefix="1" applyNumberFormat="1" applyBorder="1" applyAlignment="1">
      <alignment horizontal="center"/>
    </xf>
    <xf numFmtId="14" fontId="98" fillId="8" borderId="4" xfId="6" quotePrefix="1" applyNumberFormat="1" applyBorder="1" applyAlignment="1">
      <alignment horizontal="center"/>
    </xf>
    <xf numFmtId="0" fontId="98" fillId="8" borderId="4" xfId="6" applyBorder="1"/>
    <xf numFmtId="0" fontId="98" fillId="8" borderId="4" xfId="6" quotePrefix="1" applyBorder="1" applyAlignment="1">
      <alignment horizontal="center"/>
    </xf>
    <xf numFmtId="4" fontId="98" fillId="8" borderId="4" xfId="6" applyNumberFormat="1" applyBorder="1" applyAlignment="1">
      <alignment horizontal="center"/>
    </xf>
    <xf numFmtId="0" fontId="56" fillId="0" borderId="1" xfId="0" quotePrefix="1" applyFont="1" applyBorder="1"/>
    <xf numFmtId="0" fontId="80" fillId="0" borderId="0" xfId="0" applyFont="1" applyFill="1" applyAlignment="1">
      <alignment horizontal="center"/>
    </xf>
    <xf numFmtId="0" fontId="85" fillId="0" borderId="0" xfId="0" applyFont="1" applyFill="1" applyAlignment="1">
      <alignment horizontal="center"/>
    </xf>
    <xf numFmtId="0" fontId="56" fillId="0" borderId="1" xfId="0" quotePrefix="1" applyFont="1" applyBorder="1" applyAlignment="1">
      <alignment horizontal="center"/>
    </xf>
    <xf numFmtId="0" fontId="85" fillId="4" borderId="2" xfId="0" applyFont="1" applyFill="1" applyBorder="1" applyAlignment="1">
      <alignment horizontal="center"/>
    </xf>
    <xf numFmtId="0" fontId="89" fillId="0" borderId="0" xfId="0" applyFont="1" applyAlignment="1">
      <alignment horizontal="center"/>
    </xf>
    <xf numFmtId="0" fontId="85" fillId="4" borderId="2" xfId="0" quotePrefix="1" applyFont="1" applyFill="1" applyBorder="1" applyAlignment="1">
      <alignment horizontal="center"/>
    </xf>
    <xf numFmtId="164" fontId="82" fillId="0" borderId="0" xfId="1" applyFont="1" applyFill="1" applyBorder="1" applyAlignment="1">
      <alignment horizontal="center"/>
    </xf>
    <xf numFmtId="164" fontId="87" fillId="0" borderId="0" xfId="1" applyFont="1" applyFill="1" applyBorder="1" applyAlignment="1">
      <alignment horizontal="center"/>
    </xf>
    <xf numFmtId="164" fontId="87" fillId="0" borderId="0" xfId="1" applyFont="1" applyFill="1" applyAlignment="1">
      <alignment horizontal="center"/>
    </xf>
    <xf numFmtId="164" fontId="85" fillId="0" borderId="0" xfId="1" applyFont="1" applyFill="1" applyAlignment="1">
      <alignment horizontal="center"/>
    </xf>
    <xf numFmtId="164" fontId="89" fillId="0" borderId="0" xfId="1" applyFont="1" applyAlignment="1">
      <alignment horizontal="center"/>
    </xf>
    <xf numFmtId="3" fontId="56" fillId="0" borderId="1" xfId="0" applyNumberFormat="1" applyFont="1" applyBorder="1" applyAlignment="1">
      <alignment horizontal="center"/>
    </xf>
    <xf numFmtId="14" fontId="56" fillId="0" borderId="1" xfId="0" quotePrefix="1" applyNumberFormat="1" applyFont="1" applyBorder="1"/>
    <xf numFmtId="0" fontId="98" fillId="8" borderId="2" xfId="6" quotePrefix="1" applyBorder="1"/>
    <xf numFmtId="3" fontId="98" fillId="8" borderId="2" xfId="6" applyNumberFormat="1" applyBorder="1" applyAlignment="1">
      <alignment horizontal="center"/>
    </xf>
    <xf numFmtId="0" fontId="83" fillId="0" borderId="2" xfId="0" applyFont="1" applyBorder="1"/>
    <xf numFmtId="0" fontId="83" fillId="0" borderId="2" xfId="0" quotePrefix="1" applyFont="1" applyBorder="1" applyAlignment="1">
      <alignment horizontal="center"/>
    </xf>
    <xf numFmtId="0" fontId="83" fillId="0" borderId="2" xfId="0" applyFont="1" applyBorder="1" applyAlignment="1">
      <alignment horizontal="center"/>
    </xf>
    <xf numFmtId="14" fontId="83" fillId="0" borderId="2" xfId="0" quotePrefix="1" applyNumberFormat="1" applyFont="1" applyBorder="1"/>
    <xf numFmtId="0" fontId="98" fillId="8" borderId="4" xfId="6" quotePrefix="1" applyBorder="1"/>
    <xf numFmtId="3" fontId="98" fillId="8" borderId="4" xfId="6" applyNumberFormat="1" applyBorder="1" applyAlignment="1">
      <alignment horizontal="center"/>
    </xf>
    <xf numFmtId="14" fontId="83" fillId="0" borderId="1" xfId="0" quotePrefix="1" applyNumberFormat="1" applyFont="1" applyBorder="1" applyAlignment="1">
      <alignment horizontal="center"/>
    </xf>
    <xf numFmtId="14" fontId="83" fillId="0" borderId="2" xfId="0" quotePrefix="1" applyNumberFormat="1" applyFont="1" applyBorder="1" applyAlignment="1">
      <alignment horizontal="center"/>
    </xf>
    <xf numFmtId="0" fontId="83" fillId="0" borderId="2" xfId="0" applyFont="1" applyBorder="1" applyAlignment="1">
      <alignment horizontal="left"/>
    </xf>
    <xf numFmtId="4" fontId="83" fillId="0" borderId="2" xfId="0" applyNumberFormat="1" applyFont="1" applyBorder="1" applyAlignment="1">
      <alignment horizontal="center"/>
    </xf>
    <xf numFmtId="0" fontId="83" fillId="0" borderId="0" xfId="0" applyFont="1" applyBorder="1" applyAlignment="1">
      <alignment horizontal="center"/>
    </xf>
    <xf numFmtId="4" fontId="56" fillId="0" borderId="1" xfId="0" applyNumberFormat="1" applyFont="1" applyBorder="1"/>
    <xf numFmtId="0" fontId="98" fillId="8" borderId="0" xfId="6" applyBorder="1" applyAlignment="1">
      <alignment horizontal="center"/>
    </xf>
    <xf numFmtId="0" fontId="98" fillId="8" borderId="4" xfId="6" applyBorder="1" applyAlignment="1">
      <alignment horizontal="left"/>
    </xf>
    <xf numFmtId="0" fontId="98" fillId="8" borderId="4" xfId="6" applyBorder="1" applyAlignment="1">
      <alignment horizontal="center"/>
    </xf>
    <xf numFmtId="14" fontId="56" fillId="0" borderId="1" xfId="0" quotePrefix="1" applyNumberFormat="1" applyFont="1" applyBorder="1" applyAlignment="1">
      <alignment horizontal="center"/>
    </xf>
    <xf numFmtId="0" fontId="98" fillId="8" borderId="0" xfId="6" applyBorder="1" applyAlignment="1">
      <alignment wrapText="1"/>
    </xf>
    <xf numFmtId="0" fontId="98" fillId="8" borderId="4" xfId="6" applyBorder="1" applyAlignment="1"/>
    <xf numFmtId="0" fontId="0" fillId="0" borderId="1" xfId="0" quotePrefix="1" applyBorder="1" applyAlignment="1">
      <alignment horizontal="center"/>
    </xf>
    <xf numFmtId="3" fontId="0" fillId="0" borderId="1" xfId="0" applyNumberFormat="1" applyBorder="1" applyAlignment="1">
      <alignment horizontal="center"/>
    </xf>
    <xf numFmtId="14" fontId="0" fillId="0" borderId="1" xfId="0" quotePrefix="1" applyNumberFormat="1" applyBorder="1" applyAlignment="1">
      <alignment horizontal="center"/>
    </xf>
    <xf numFmtId="167" fontId="83" fillId="0" borderId="2" xfId="0" quotePrefix="1" applyNumberFormat="1" applyFont="1" applyBorder="1" applyAlignment="1">
      <alignment horizontal="center"/>
    </xf>
    <xf numFmtId="14" fontId="83" fillId="0" borderId="2" xfId="0" applyNumberFormat="1" applyFont="1" applyBorder="1" applyAlignment="1"/>
    <xf numFmtId="0" fontId="56" fillId="0" borderId="2" xfId="0" applyFont="1" applyBorder="1" applyAlignment="1">
      <alignment horizontal="center"/>
    </xf>
    <xf numFmtId="0" fontId="117" fillId="0" borderId="2" xfId="0" applyFont="1" applyBorder="1"/>
    <xf numFmtId="0" fontId="42" fillId="0" borderId="0" xfId="0" applyFont="1" applyFill="1" applyAlignment="1">
      <alignment horizontal="center"/>
    </xf>
    <xf numFmtId="0" fontId="43" fillId="0" borderId="0" xfId="0" applyFont="1" applyFill="1" applyAlignment="1">
      <alignment horizontal="center"/>
    </xf>
    <xf numFmtId="0" fontId="46" fillId="0" borderId="0" xfId="0" applyFont="1" applyFill="1" applyAlignment="1">
      <alignment horizontal="center"/>
    </xf>
    <xf numFmtId="4" fontId="25" fillId="0" borderId="0" xfId="0" applyNumberFormat="1" applyFont="1" applyAlignment="1">
      <alignment horizontal="center"/>
    </xf>
    <xf numFmtId="164" fontId="55" fillId="0" borderId="0" xfId="1" applyFont="1" applyAlignment="1">
      <alignment horizontal="center"/>
    </xf>
    <xf numFmtId="0" fontId="50" fillId="0" borderId="0" xfId="0" applyFont="1" applyBorder="1" applyAlignment="1">
      <alignment horizontal="center"/>
    </xf>
  </cellXfs>
  <cellStyles count="13">
    <cellStyle name="Accent1" xfId="8" builtinId="29"/>
    <cellStyle name="Accent2" xfId="9" builtinId="33"/>
    <cellStyle name="Accent3" xfId="10" builtinId="37"/>
    <cellStyle name="Accent4" xfId="11" builtinId="41"/>
    <cellStyle name="Accent5" xfId="2" builtinId="45"/>
    <cellStyle name="Accent6" xfId="12" builtinId="49"/>
    <cellStyle name="Bad" xfId="6" builtinId="27"/>
    <cellStyle name="Comma" xfId="1" builtinId="3"/>
    <cellStyle name="Good" xfId="3" builtinId="26"/>
    <cellStyle name="Heading 2" xfId="5" builtinId="17"/>
    <cellStyle name="Input" xfId="4" builtinId="20"/>
    <cellStyle name="Neutral" xfId="7" builtinId="28"/>
    <cellStyle name="Normal" xfId="0" builtinId="0"/>
  </cellStyles>
  <dxfs count="0"/>
  <tableStyles count="0" defaultTableStyle="TableStyleMedium9" defaultPivotStyle="PivotStyleLight16"/>
  <colors>
    <mruColors>
      <color rgb="FF0000CC"/>
      <color rgb="FF3333FF"/>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5"/>
  <sheetViews>
    <sheetView topLeftCell="A19" zoomScale="95" zoomScaleNormal="95" workbookViewId="0">
      <selection activeCell="G19" sqref="G1:G1048576"/>
    </sheetView>
  </sheetViews>
  <sheetFormatPr defaultColWidth="21.85546875" defaultRowHeight="15" x14ac:dyDescent="0.25"/>
  <cols>
    <col min="1" max="1" width="21.85546875" style="326"/>
    <col min="2" max="2" width="21.85546875" style="213"/>
    <col min="3" max="3" width="21.85546875" style="192"/>
    <col min="4" max="4" width="21.85546875" style="118"/>
    <col min="5" max="5" width="21.85546875" style="192"/>
    <col min="6" max="6" width="21.85546875" style="194"/>
    <col min="7" max="7" width="21.85546875" style="193"/>
    <col min="8" max="8" width="21.85546875" style="327"/>
    <col min="9" max="9" width="16.5703125" style="87" customWidth="1"/>
    <col min="10" max="10" width="15.42578125" style="48" customWidth="1"/>
    <col min="11" max="11" width="17.28515625" style="48" customWidth="1"/>
    <col min="12" max="12" width="16" style="48" customWidth="1"/>
    <col min="13" max="13" width="15.7109375" style="48" customWidth="1"/>
    <col min="14" max="14" width="21.85546875" style="48"/>
    <col min="15" max="15" width="21.85546875" style="192"/>
    <col min="16" max="16" width="21.85546875" style="95"/>
    <col min="17" max="16384" width="21.85546875" style="192"/>
  </cols>
  <sheetData>
    <row r="1" spans="1:18" x14ac:dyDescent="0.25">
      <c r="A1" s="288" t="s">
        <v>8</v>
      </c>
      <c r="B1" s="289"/>
      <c r="C1" s="153"/>
      <c r="D1" s="112"/>
      <c r="E1" s="153"/>
      <c r="F1" s="153"/>
      <c r="G1" s="154"/>
      <c r="H1" s="290"/>
      <c r="I1" s="291"/>
      <c r="J1" s="292"/>
      <c r="K1" s="292"/>
      <c r="L1" s="292"/>
      <c r="M1" s="292"/>
      <c r="N1" s="292"/>
      <c r="O1" s="155"/>
      <c r="P1" s="293"/>
    </row>
    <row r="2" spans="1:18" x14ac:dyDescent="0.25">
      <c r="A2" s="294" t="s">
        <v>9</v>
      </c>
      <c r="B2" s="295"/>
      <c r="C2" s="157"/>
      <c r="D2" s="113"/>
      <c r="E2" s="157"/>
      <c r="F2" s="157"/>
      <c r="G2" s="158"/>
      <c r="H2" s="296"/>
      <c r="I2" s="297"/>
      <c r="J2" s="298"/>
      <c r="K2" s="298"/>
      <c r="L2" s="298"/>
      <c r="M2" s="298"/>
      <c r="N2" s="298"/>
      <c r="O2" s="159"/>
      <c r="P2" s="299"/>
    </row>
    <row r="3" spans="1:18" x14ac:dyDescent="0.25">
      <c r="A3" s="294" t="s">
        <v>10</v>
      </c>
      <c r="B3" s="295"/>
      <c r="C3" s="157"/>
      <c r="D3" s="113"/>
      <c r="E3" s="157"/>
      <c r="F3" s="157"/>
      <c r="G3" s="158"/>
      <c r="H3" s="296"/>
      <c r="I3" s="300"/>
      <c r="J3" s="301"/>
      <c r="K3" s="301"/>
      <c r="L3" s="301"/>
      <c r="M3" s="301"/>
      <c r="N3" s="301"/>
      <c r="O3" s="302"/>
      <c r="P3" s="303"/>
    </row>
    <row r="4" spans="1:18" x14ac:dyDescent="0.25">
      <c r="A4" s="294" t="s">
        <v>353</v>
      </c>
      <c r="B4" s="295"/>
      <c r="C4" s="157"/>
      <c r="D4" s="113"/>
      <c r="E4" s="157"/>
      <c r="F4" s="157"/>
      <c r="G4" s="158"/>
      <c r="H4" s="296"/>
      <c r="I4" s="300"/>
      <c r="J4" s="301"/>
      <c r="K4" s="301"/>
      <c r="L4" s="301"/>
      <c r="M4" s="301"/>
      <c r="N4" s="301"/>
      <c r="O4" s="302"/>
      <c r="P4" s="303"/>
    </row>
    <row r="5" spans="1:18" x14ac:dyDescent="0.25">
      <c r="A5" s="304"/>
      <c r="B5" s="295"/>
      <c r="C5" s="157"/>
      <c r="D5" s="113"/>
      <c r="E5" s="157"/>
      <c r="F5" s="157"/>
      <c r="G5" s="158"/>
      <c r="H5" s="305"/>
      <c r="I5" s="306"/>
      <c r="J5" s="162"/>
      <c r="K5" s="162"/>
      <c r="L5" s="162"/>
      <c r="M5" s="162"/>
      <c r="N5" s="162"/>
      <c r="O5" s="162"/>
      <c r="P5" s="307"/>
    </row>
    <row r="6" spans="1:18" x14ac:dyDescent="0.25">
      <c r="A6" s="308" t="s">
        <v>0</v>
      </c>
      <c r="B6" s="309" t="s">
        <v>1</v>
      </c>
      <c r="C6" s="163" t="s">
        <v>2</v>
      </c>
      <c r="D6" s="114" t="s">
        <v>89</v>
      </c>
      <c r="E6" s="163" t="s">
        <v>76</v>
      </c>
      <c r="F6" s="163" t="s">
        <v>3</v>
      </c>
      <c r="G6" s="310" t="s">
        <v>4</v>
      </c>
      <c r="H6" s="89"/>
      <c r="I6" s="311" t="s">
        <v>69</v>
      </c>
      <c r="J6" s="164" t="s">
        <v>70</v>
      </c>
      <c r="K6" s="164" t="s">
        <v>71</v>
      </c>
      <c r="L6" s="164" t="s">
        <v>72</v>
      </c>
      <c r="M6" s="164" t="s">
        <v>75</v>
      </c>
      <c r="N6" s="164" t="s">
        <v>73</v>
      </c>
      <c r="O6" s="164" t="s">
        <v>74</v>
      </c>
      <c r="P6" s="94"/>
      <c r="Q6" s="123" t="s">
        <v>7</v>
      </c>
      <c r="R6" s="120" t="s">
        <v>6</v>
      </c>
    </row>
    <row r="7" spans="1:18" x14ac:dyDescent="0.25">
      <c r="A7" s="82">
        <v>43878</v>
      </c>
      <c r="B7" s="121" t="s">
        <v>63</v>
      </c>
      <c r="C7" s="84"/>
      <c r="D7" s="115" t="s">
        <v>90</v>
      </c>
      <c r="E7" s="84"/>
      <c r="F7" s="84"/>
      <c r="G7" s="83" t="s">
        <v>102</v>
      </c>
      <c r="H7" s="85"/>
      <c r="I7" s="86"/>
      <c r="J7" s="83"/>
      <c r="K7" s="126"/>
      <c r="L7" s="312"/>
      <c r="M7" s="312"/>
      <c r="N7" s="312"/>
      <c r="O7" s="86">
        <v>33421.01</v>
      </c>
      <c r="P7" s="313" t="s">
        <v>22</v>
      </c>
      <c r="Q7" s="124"/>
      <c r="R7" s="124"/>
    </row>
    <row r="8" spans="1:18" s="35" customFormat="1" x14ac:dyDescent="0.25">
      <c r="A8" s="314">
        <v>44092</v>
      </c>
      <c r="B8" s="115" t="s">
        <v>78</v>
      </c>
      <c r="C8" s="165"/>
      <c r="D8" s="116" t="s">
        <v>92</v>
      </c>
      <c r="E8" s="165"/>
      <c r="F8" s="166"/>
      <c r="G8" s="315" t="s">
        <v>77</v>
      </c>
      <c r="H8" s="316"/>
      <c r="I8" s="317"/>
      <c r="J8" s="318"/>
      <c r="K8" s="318"/>
      <c r="L8" s="318"/>
      <c r="M8" s="318"/>
      <c r="N8" s="318"/>
      <c r="O8" s="319">
        <v>108000</v>
      </c>
      <c r="P8" s="320"/>
      <c r="Q8" s="122"/>
      <c r="R8" s="122"/>
    </row>
    <row r="9" spans="1:18" s="44" customFormat="1" x14ac:dyDescent="0.25">
      <c r="A9" s="321">
        <v>44352</v>
      </c>
      <c r="B9" s="115" t="s">
        <v>107</v>
      </c>
      <c r="C9" s="129"/>
      <c r="D9" s="117" t="s">
        <v>90</v>
      </c>
      <c r="E9" s="130"/>
      <c r="F9" s="130">
        <v>1918</v>
      </c>
      <c r="G9" s="322">
        <v>4457</v>
      </c>
      <c r="H9" s="131"/>
      <c r="I9" s="191"/>
      <c r="J9" s="191"/>
      <c r="K9" s="191"/>
      <c r="L9" s="191"/>
      <c r="M9" s="191"/>
      <c r="N9" s="191"/>
      <c r="O9" s="323">
        <v>36289.599999999999</v>
      </c>
      <c r="P9" s="111"/>
      <c r="Q9" s="46"/>
      <c r="R9" s="46"/>
    </row>
    <row r="10" spans="1:18" s="44" customFormat="1" x14ac:dyDescent="0.25">
      <c r="A10" s="321">
        <v>44413</v>
      </c>
      <c r="B10" s="115" t="s">
        <v>107</v>
      </c>
      <c r="C10" s="129"/>
      <c r="D10" s="117" t="s">
        <v>90</v>
      </c>
      <c r="E10" s="130"/>
      <c r="F10" s="130"/>
      <c r="G10" s="322">
        <v>4457</v>
      </c>
      <c r="H10" s="131"/>
      <c r="I10" s="191"/>
      <c r="J10" s="191"/>
      <c r="K10" s="191"/>
      <c r="L10" s="191"/>
      <c r="M10" s="191"/>
      <c r="N10" s="191"/>
      <c r="O10" s="323">
        <v>176976.8</v>
      </c>
      <c r="P10" s="111"/>
      <c r="Q10" s="46"/>
      <c r="R10" s="46"/>
    </row>
    <row r="11" spans="1:18" s="44" customFormat="1" ht="15" customHeight="1" x14ac:dyDescent="0.25">
      <c r="A11" s="128">
        <v>44420</v>
      </c>
      <c r="B11" s="121" t="s">
        <v>108</v>
      </c>
      <c r="C11" s="129"/>
      <c r="D11" s="115" t="s">
        <v>90</v>
      </c>
      <c r="E11" s="130"/>
      <c r="F11" s="130"/>
      <c r="G11" s="111" t="s">
        <v>120</v>
      </c>
      <c r="H11" s="131"/>
      <c r="I11" s="191"/>
      <c r="J11" s="191"/>
      <c r="K11" s="191"/>
      <c r="L11" s="191"/>
      <c r="M11" s="191"/>
      <c r="N11" s="191"/>
      <c r="O11" s="191">
        <v>470000</v>
      </c>
      <c r="P11" s="111"/>
      <c r="Q11" s="46"/>
      <c r="R11" s="46" t="s">
        <v>121</v>
      </c>
    </row>
    <row r="12" spans="1:18" s="44" customFormat="1" ht="15" customHeight="1" x14ac:dyDescent="0.25">
      <c r="A12" s="128">
        <v>44474</v>
      </c>
      <c r="B12" s="121" t="s">
        <v>110</v>
      </c>
      <c r="C12" s="129"/>
      <c r="D12" s="115" t="s">
        <v>92</v>
      </c>
      <c r="E12" s="130"/>
      <c r="F12" s="324"/>
      <c r="G12" s="111" t="s">
        <v>111</v>
      </c>
      <c r="H12" s="131"/>
      <c r="I12" s="119"/>
      <c r="J12" s="119"/>
      <c r="K12" s="110"/>
      <c r="L12" s="110"/>
      <c r="M12" s="110"/>
      <c r="N12" s="110"/>
      <c r="O12" s="110">
        <v>125000</v>
      </c>
      <c r="P12" s="111" t="s">
        <v>22</v>
      </c>
      <c r="Q12" s="46"/>
      <c r="R12" s="93" t="s">
        <v>112</v>
      </c>
    </row>
    <row r="13" spans="1:18" s="133" customFormat="1" ht="15" customHeight="1" x14ac:dyDescent="0.25">
      <c r="A13" s="128">
        <v>44480</v>
      </c>
      <c r="B13" s="121" t="s">
        <v>43</v>
      </c>
      <c r="C13" s="129"/>
      <c r="D13" s="111" t="s">
        <v>90</v>
      </c>
      <c r="E13" s="130"/>
      <c r="F13" s="324">
        <v>2019</v>
      </c>
      <c r="G13" s="111" t="s">
        <v>132</v>
      </c>
      <c r="H13" s="131"/>
      <c r="I13" s="119"/>
      <c r="J13" s="119"/>
      <c r="K13" s="67"/>
      <c r="L13" s="67"/>
      <c r="M13" s="67"/>
      <c r="N13" s="67"/>
      <c r="O13" s="67">
        <v>147281.20000000001</v>
      </c>
      <c r="P13" s="111"/>
      <c r="Q13" s="117"/>
      <c r="R13" s="93" t="s">
        <v>133</v>
      </c>
    </row>
    <row r="14" spans="1:18" s="44" customFormat="1" ht="15" customHeight="1" x14ac:dyDescent="0.25">
      <c r="A14" s="128">
        <v>44589</v>
      </c>
      <c r="B14" s="121" t="s">
        <v>125</v>
      </c>
      <c r="C14" s="129"/>
      <c r="D14" s="115" t="s">
        <v>90</v>
      </c>
      <c r="E14" s="130"/>
      <c r="F14" s="130"/>
      <c r="G14" s="111">
        <v>4880</v>
      </c>
      <c r="H14" s="131"/>
      <c r="I14" s="119"/>
      <c r="J14" s="119"/>
      <c r="K14" s="119"/>
      <c r="L14" s="119"/>
      <c r="M14" s="119"/>
      <c r="N14" s="119"/>
      <c r="O14" s="119">
        <v>37000</v>
      </c>
      <c r="P14" s="119" t="s">
        <v>22</v>
      </c>
      <c r="Q14" s="46"/>
      <c r="R14" s="46" t="s">
        <v>126</v>
      </c>
    </row>
    <row r="15" spans="1:18" s="44" customFormat="1" ht="15" customHeight="1" x14ac:dyDescent="0.25">
      <c r="A15" s="128">
        <v>44607</v>
      </c>
      <c r="B15" s="147" t="s">
        <v>59</v>
      </c>
      <c r="C15" s="129"/>
      <c r="D15" s="115" t="s">
        <v>90</v>
      </c>
      <c r="E15" s="130" t="s">
        <v>135</v>
      </c>
      <c r="F15" s="130"/>
      <c r="G15" s="111" t="s">
        <v>131</v>
      </c>
      <c r="H15" s="131"/>
      <c r="I15" s="119"/>
      <c r="J15" s="119"/>
      <c r="K15" s="119"/>
      <c r="L15" s="119"/>
      <c r="M15" s="119"/>
      <c r="N15" s="119"/>
      <c r="O15" s="119">
        <v>16076.04</v>
      </c>
      <c r="P15" s="119" t="s">
        <v>22</v>
      </c>
      <c r="Q15" s="46"/>
      <c r="R15" s="93" t="s">
        <v>134</v>
      </c>
    </row>
    <row r="16" spans="1:18" s="44" customFormat="1" ht="15" customHeight="1" x14ac:dyDescent="0.25">
      <c r="A16" s="128">
        <v>44609</v>
      </c>
      <c r="B16" s="121" t="s">
        <v>59</v>
      </c>
      <c r="C16" s="129"/>
      <c r="D16" s="115" t="s">
        <v>90</v>
      </c>
      <c r="E16" s="130" t="s">
        <v>129</v>
      </c>
      <c r="F16" s="130"/>
      <c r="G16" s="111" t="s">
        <v>118</v>
      </c>
      <c r="H16" s="131"/>
      <c r="I16" s="119"/>
      <c r="J16" s="119"/>
      <c r="K16" s="119"/>
      <c r="L16" s="119"/>
      <c r="M16" s="119"/>
      <c r="N16" s="119"/>
      <c r="O16" s="119">
        <v>7186.99</v>
      </c>
      <c r="P16" s="119" t="s">
        <v>22</v>
      </c>
      <c r="Q16" s="46"/>
      <c r="R16" s="46" t="s">
        <v>130</v>
      </c>
    </row>
    <row r="17" spans="1:18" s="44" customFormat="1" ht="15" customHeight="1" x14ac:dyDescent="0.25">
      <c r="A17" s="128">
        <v>44614</v>
      </c>
      <c r="B17" s="121" t="s">
        <v>136</v>
      </c>
      <c r="C17" s="129"/>
      <c r="D17" s="115" t="s">
        <v>92</v>
      </c>
      <c r="E17" s="130"/>
      <c r="F17" s="130"/>
      <c r="G17" s="111" t="s">
        <v>376</v>
      </c>
      <c r="H17" s="131"/>
      <c r="I17" s="119"/>
      <c r="J17" s="119"/>
      <c r="K17" s="119"/>
      <c r="L17" s="119"/>
      <c r="M17" s="119"/>
      <c r="N17" s="119"/>
      <c r="O17" s="119">
        <v>526625</v>
      </c>
      <c r="P17" s="119"/>
      <c r="Q17" s="46"/>
      <c r="R17" s="46" t="s">
        <v>193</v>
      </c>
    </row>
    <row r="18" spans="1:18" s="44" customFormat="1" ht="15" customHeight="1" x14ac:dyDescent="0.25">
      <c r="A18" s="128">
        <v>44631</v>
      </c>
      <c r="B18" s="121" t="s">
        <v>136</v>
      </c>
      <c r="C18" s="129"/>
      <c r="D18" s="115" t="s">
        <v>92</v>
      </c>
      <c r="E18" s="130"/>
      <c r="F18" s="130"/>
      <c r="G18" s="111">
        <v>4943</v>
      </c>
      <c r="H18" s="131"/>
      <c r="I18" s="119"/>
      <c r="J18" s="119"/>
      <c r="K18" s="119"/>
      <c r="L18" s="119"/>
      <c r="M18" s="119"/>
      <c r="N18" s="119"/>
      <c r="O18" s="119">
        <v>5975</v>
      </c>
      <c r="P18" s="111"/>
      <c r="Q18" s="46"/>
      <c r="R18" s="46" t="s">
        <v>138</v>
      </c>
    </row>
    <row r="19" spans="1:18" s="44" customFormat="1" ht="15" customHeight="1" x14ac:dyDescent="0.25">
      <c r="A19" s="128">
        <v>44638</v>
      </c>
      <c r="B19" s="121" t="s">
        <v>136</v>
      </c>
      <c r="C19" s="129"/>
      <c r="D19" s="115" t="s">
        <v>92</v>
      </c>
      <c r="E19" s="130"/>
      <c r="F19" s="130"/>
      <c r="G19" s="111">
        <v>4953</v>
      </c>
      <c r="H19" s="131"/>
      <c r="I19" s="119"/>
      <c r="J19" s="119"/>
      <c r="K19" s="119"/>
      <c r="L19" s="119"/>
      <c r="M19" s="119"/>
      <c r="N19" s="119"/>
      <c r="O19" s="119">
        <v>4950</v>
      </c>
      <c r="P19" s="111"/>
      <c r="Q19" s="46"/>
      <c r="R19" s="46" t="s">
        <v>139</v>
      </c>
    </row>
    <row r="20" spans="1:18" s="44" customFormat="1" ht="15" customHeight="1" x14ac:dyDescent="0.25">
      <c r="A20" s="128">
        <v>44711</v>
      </c>
      <c r="B20" s="121" t="s">
        <v>153</v>
      </c>
      <c r="C20" s="129"/>
      <c r="D20" s="115" t="s">
        <v>92</v>
      </c>
      <c r="E20" s="130"/>
      <c r="F20" s="130"/>
      <c r="G20" s="111" t="s">
        <v>181</v>
      </c>
      <c r="H20" s="131"/>
      <c r="I20" s="119"/>
      <c r="J20" s="119"/>
      <c r="K20" s="119"/>
      <c r="L20" s="119"/>
      <c r="M20" s="119"/>
      <c r="N20" s="119"/>
      <c r="O20" s="119">
        <v>164667</v>
      </c>
      <c r="P20" s="110"/>
      <c r="Q20" s="46"/>
      <c r="R20" s="93" t="s">
        <v>182</v>
      </c>
    </row>
    <row r="21" spans="1:18" s="694" customFormat="1" ht="15" customHeight="1" x14ac:dyDescent="0.25">
      <c r="A21" s="684">
        <v>44714</v>
      </c>
      <c r="B21" s="685" t="s">
        <v>59</v>
      </c>
      <c r="C21" s="686"/>
      <c r="D21" s="687" t="s">
        <v>90</v>
      </c>
      <c r="E21" s="688"/>
      <c r="F21" s="688">
        <v>2062</v>
      </c>
      <c r="G21" s="689" t="s">
        <v>118</v>
      </c>
      <c r="H21" s="690"/>
      <c r="I21" s="691"/>
      <c r="J21" s="691"/>
      <c r="K21" s="691"/>
      <c r="L21" s="691"/>
      <c r="M21" s="691"/>
      <c r="N21" s="691"/>
      <c r="O21" s="691">
        <v>77456</v>
      </c>
      <c r="P21" s="691" t="s">
        <v>22</v>
      </c>
      <c r="Q21" s="692"/>
      <c r="R21" s="693" t="s">
        <v>142</v>
      </c>
    </row>
    <row r="22" spans="1:18" s="694" customFormat="1" ht="15" customHeight="1" x14ac:dyDescent="0.25">
      <c r="A22" s="684">
        <v>44714</v>
      </c>
      <c r="B22" s="685" t="s">
        <v>59</v>
      </c>
      <c r="C22" s="686"/>
      <c r="D22" s="687" t="s">
        <v>90</v>
      </c>
      <c r="E22" s="688" t="s">
        <v>143</v>
      </c>
      <c r="F22" s="688"/>
      <c r="G22" s="689" t="s">
        <v>118</v>
      </c>
      <c r="H22" s="690"/>
      <c r="I22" s="691"/>
      <c r="J22" s="691"/>
      <c r="K22" s="691"/>
      <c r="L22" s="691"/>
      <c r="M22" s="691"/>
      <c r="N22" s="691"/>
      <c r="O22" s="691">
        <v>72499.08</v>
      </c>
      <c r="P22" s="691" t="s">
        <v>22</v>
      </c>
      <c r="Q22" s="692"/>
      <c r="R22" s="693" t="s">
        <v>144</v>
      </c>
    </row>
    <row r="23" spans="1:18" s="694" customFormat="1" ht="15" customHeight="1" x14ac:dyDescent="0.25">
      <c r="A23" s="684">
        <v>44741</v>
      </c>
      <c r="B23" s="685" t="s">
        <v>59</v>
      </c>
      <c r="C23" s="686"/>
      <c r="D23" s="687" t="s">
        <v>90</v>
      </c>
      <c r="E23" s="688" t="s">
        <v>166</v>
      </c>
      <c r="F23" s="688"/>
      <c r="G23" s="689">
        <v>5098</v>
      </c>
      <c r="H23" s="690"/>
      <c r="I23" s="691"/>
      <c r="J23" s="691"/>
      <c r="K23" s="691"/>
      <c r="L23" s="691"/>
      <c r="M23" s="695"/>
      <c r="N23" s="695"/>
      <c r="O23" s="695">
        <v>510</v>
      </c>
      <c r="P23" s="695" t="s">
        <v>22</v>
      </c>
      <c r="Q23" s="692"/>
      <c r="R23" s="693" t="s">
        <v>167</v>
      </c>
    </row>
    <row r="24" spans="1:18" s="44" customFormat="1" ht="15" customHeight="1" x14ac:dyDescent="0.25">
      <c r="A24" s="128">
        <v>44768</v>
      </c>
      <c r="B24" s="121" t="s">
        <v>159</v>
      </c>
      <c r="C24" s="129"/>
      <c r="D24" s="115" t="s">
        <v>90</v>
      </c>
      <c r="E24" s="130"/>
      <c r="F24" s="130"/>
      <c r="G24" s="111" t="s">
        <v>151</v>
      </c>
      <c r="H24" s="131"/>
      <c r="I24" s="119"/>
      <c r="J24" s="119"/>
      <c r="K24" s="119"/>
      <c r="L24" s="119"/>
      <c r="M24" s="119"/>
      <c r="N24" s="119"/>
      <c r="O24" s="119">
        <v>1035500</v>
      </c>
      <c r="P24" s="119" t="s">
        <v>22</v>
      </c>
      <c r="Q24" s="46"/>
      <c r="R24" s="198" t="s">
        <v>199</v>
      </c>
    </row>
    <row r="25" spans="1:18" s="44" customFormat="1" ht="15" customHeight="1" x14ac:dyDescent="0.25">
      <c r="A25" s="128">
        <v>44786</v>
      </c>
      <c r="B25" s="121" t="s">
        <v>150</v>
      </c>
      <c r="C25" s="129"/>
      <c r="D25" s="115" t="s">
        <v>94</v>
      </c>
      <c r="E25" s="130"/>
      <c r="F25" s="130">
        <v>2136</v>
      </c>
      <c r="G25" s="111" t="s">
        <v>170</v>
      </c>
      <c r="H25" s="131"/>
      <c r="I25" s="119"/>
      <c r="J25" s="119"/>
      <c r="K25" s="119"/>
      <c r="L25" s="119"/>
      <c r="M25" s="110"/>
      <c r="N25" s="119"/>
      <c r="O25" s="119">
        <v>193400</v>
      </c>
      <c r="P25" s="111" t="s">
        <v>22</v>
      </c>
      <c r="Q25" s="46"/>
      <c r="R25" s="93" t="s">
        <v>171</v>
      </c>
    </row>
    <row r="26" spans="1:18" s="44" customFormat="1" ht="15" customHeight="1" x14ac:dyDescent="0.25">
      <c r="A26" s="128">
        <v>44824</v>
      </c>
      <c r="B26" s="121" t="s">
        <v>43</v>
      </c>
      <c r="C26" s="129"/>
      <c r="D26" s="115" t="s">
        <v>90</v>
      </c>
      <c r="E26" s="130"/>
      <c r="F26" s="130">
        <v>2162</v>
      </c>
      <c r="G26" s="111">
        <v>5218</v>
      </c>
      <c r="H26" s="131"/>
      <c r="I26" s="119"/>
      <c r="J26" s="119"/>
      <c r="K26" s="119"/>
      <c r="L26" s="110"/>
      <c r="M26" s="119"/>
      <c r="N26" s="119"/>
      <c r="O26" s="119">
        <v>54650</v>
      </c>
      <c r="P26" s="111"/>
      <c r="Q26" s="46"/>
      <c r="R26" s="93" t="s">
        <v>174</v>
      </c>
    </row>
    <row r="27" spans="1:18" s="44" customFormat="1" ht="15" customHeight="1" x14ac:dyDescent="0.25">
      <c r="A27" s="128">
        <v>44839</v>
      </c>
      <c r="B27" s="121" t="s">
        <v>43</v>
      </c>
      <c r="C27" s="129"/>
      <c r="D27" s="115" t="s">
        <v>90</v>
      </c>
      <c r="E27" s="130"/>
      <c r="F27" s="130">
        <v>2140</v>
      </c>
      <c r="G27" s="111">
        <v>5248</v>
      </c>
      <c r="H27" s="131"/>
      <c r="I27" s="119"/>
      <c r="J27" s="119"/>
      <c r="K27" s="119"/>
      <c r="L27" s="119"/>
      <c r="M27" s="119"/>
      <c r="N27" s="119"/>
      <c r="O27" s="119">
        <v>25000</v>
      </c>
      <c r="P27" s="111"/>
      <c r="Q27" s="46"/>
      <c r="R27" s="93" t="s">
        <v>160</v>
      </c>
    </row>
    <row r="28" spans="1:18" s="694" customFormat="1" ht="15" customHeight="1" x14ac:dyDescent="0.25">
      <c r="A28" s="684">
        <v>44855</v>
      </c>
      <c r="B28" s="685" t="s">
        <v>59</v>
      </c>
      <c r="C28" s="686"/>
      <c r="D28" s="687" t="s">
        <v>90</v>
      </c>
      <c r="E28" s="688" t="s">
        <v>164</v>
      </c>
      <c r="F28" s="688"/>
      <c r="G28" s="689" t="s">
        <v>118</v>
      </c>
      <c r="H28" s="690"/>
      <c r="I28" s="691"/>
      <c r="J28" s="691"/>
      <c r="K28" s="691"/>
      <c r="L28" s="691"/>
      <c r="M28" s="691"/>
      <c r="N28" s="691"/>
      <c r="O28" s="691">
        <v>6650</v>
      </c>
      <c r="P28" s="691" t="s">
        <v>22</v>
      </c>
      <c r="Q28" s="692"/>
      <c r="R28" s="693" t="s">
        <v>165</v>
      </c>
    </row>
    <row r="29" spans="1:18" s="694" customFormat="1" ht="15" customHeight="1" x14ac:dyDescent="0.25">
      <c r="A29" s="684">
        <v>44855</v>
      </c>
      <c r="B29" s="685" t="s">
        <v>59</v>
      </c>
      <c r="C29" s="686"/>
      <c r="D29" s="687" t="s">
        <v>90</v>
      </c>
      <c r="E29" s="688" t="s">
        <v>168</v>
      </c>
      <c r="F29" s="688"/>
      <c r="G29" s="689" t="s">
        <v>118</v>
      </c>
      <c r="H29" s="690"/>
      <c r="I29" s="691"/>
      <c r="J29" s="691"/>
      <c r="K29" s="691"/>
      <c r="L29" s="691"/>
      <c r="M29" s="691"/>
      <c r="N29" s="691"/>
      <c r="O29" s="691">
        <v>3000</v>
      </c>
      <c r="P29" s="691" t="s">
        <v>22</v>
      </c>
      <c r="Q29" s="692"/>
      <c r="R29" s="693" t="s">
        <v>169</v>
      </c>
    </row>
    <row r="30" spans="1:18" s="694" customFormat="1" ht="15" customHeight="1" x14ac:dyDescent="0.25">
      <c r="A30" s="684">
        <v>44916</v>
      </c>
      <c r="B30" s="685" t="s">
        <v>59</v>
      </c>
      <c r="C30" s="686"/>
      <c r="D30" s="687" t="s">
        <v>90</v>
      </c>
      <c r="E30" s="688"/>
      <c r="F30" s="688">
        <v>2176</v>
      </c>
      <c r="G30" s="689" t="s">
        <v>118</v>
      </c>
      <c r="H30" s="690"/>
      <c r="I30" s="691"/>
      <c r="J30" s="691"/>
      <c r="K30" s="691"/>
      <c r="L30" s="691"/>
      <c r="M30" s="691"/>
      <c r="N30" s="695"/>
      <c r="O30" s="691">
        <v>186146</v>
      </c>
      <c r="P30" s="689"/>
      <c r="Q30" s="692"/>
      <c r="R30" s="693" t="s">
        <v>179</v>
      </c>
    </row>
    <row r="31" spans="1:18" s="203" customFormat="1" ht="15" customHeight="1" x14ac:dyDescent="0.25">
      <c r="A31" s="134">
        <v>44954</v>
      </c>
      <c r="B31" s="135" t="s">
        <v>145</v>
      </c>
      <c r="C31" s="136"/>
      <c r="D31" s="137" t="s">
        <v>92</v>
      </c>
      <c r="E31" s="138" t="s">
        <v>260</v>
      </c>
      <c r="F31" s="138"/>
      <c r="G31" s="139" t="s">
        <v>262</v>
      </c>
      <c r="H31" s="199"/>
      <c r="I31" s="200"/>
      <c r="J31" s="200"/>
      <c r="K31" s="200"/>
      <c r="L31" s="200"/>
      <c r="M31" s="200"/>
      <c r="N31" s="200"/>
      <c r="O31" s="200">
        <v>666000</v>
      </c>
      <c r="P31" s="200"/>
      <c r="Q31" s="201"/>
      <c r="R31" s="100" t="s">
        <v>264</v>
      </c>
    </row>
    <row r="32" spans="1:18" s="203" customFormat="1" ht="15" customHeight="1" x14ac:dyDescent="0.25">
      <c r="A32" s="134">
        <v>44954</v>
      </c>
      <c r="B32" s="135" t="s">
        <v>145</v>
      </c>
      <c r="C32" s="136"/>
      <c r="D32" s="137" t="s">
        <v>92</v>
      </c>
      <c r="E32" s="138" t="s">
        <v>261</v>
      </c>
      <c r="F32" s="138"/>
      <c r="G32" s="139" t="s">
        <v>263</v>
      </c>
      <c r="H32" s="199"/>
      <c r="I32" s="200"/>
      <c r="J32" s="200"/>
      <c r="K32" s="200"/>
      <c r="L32" s="200"/>
      <c r="M32" s="200"/>
      <c r="N32" s="200"/>
      <c r="O32" s="200">
        <v>657658.5</v>
      </c>
      <c r="P32" s="200"/>
      <c r="Q32" s="201"/>
      <c r="R32" s="100" t="s">
        <v>265</v>
      </c>
    </row>
    <row r="33" spans="1:18" s="44" customFormat="1" ht="15" customHeight="1" x14ac:dyDescent="0.25">
      <c r="A33" s="128">
        <v>44977</v>
      </c>
      <c r="B33" s="121" t="s">
        <v>110</v>
      </c>
      <c r="C33" s="129"/>
      <c r="D33" s="111" t="s">
        <v>92</v>
      </c>
      <c r="E33" s="130"/>
      <c r="F33" s="130"/>
      <c r="G33" s="111">
        <v>5407</v>
      </c>
      <c r="H33" s="131"/>
      <c r="I33" s="119"/>
      <c r="J33" s="119"/>
      <c r="K33" s="119"/>
      <c r="L33" s="119"/>
      <c r="M33" s="119"/>
      <c r="N33" s="110"/>
      <c r="O33" s="119">
        <v>89500</v>
      </c>
      <c r="P33" s="111"/>
      <c r="Q33" s="46"/>
      <c r="R33" s="93" t="s">
        <v>185</v>
      </c>
    </row>
    <row r="34" spans="1:18" s="44" customFormat="1" ht="15" customHeight="1" x14ac:dyDescent="0.25">
      <c r="A34" s="128" t="s">
        <v>190</v>
      </c>
      <c r="B34" s="121" t="s">
        <v>191</v>
      </c>
      <c r="C34" s="129"/>
      <c r="D34" s="115" t="s">
        <v>92</v>
      </c>
      <c r="E34" s="130"/>
      <c r="F34" s="130"/>
      <c r="G34" s="111" t="s">
        <v>118</v>
      </c>
      <c r="H34" s="131"/>
      <c r="I34" s="119"/>
      <c r="J34" s="119"/>
      <c r="K34" s="119"/>
      <c r="L34" s="119"/>
      <c r="M34" s="119"/>
      <c r="N34" s="119"/>
      <c r="O34" s="119">
        <v>67000</v>
      </c>
      <c r="P34" s="119" t="s">
        <v>22</v>
      </c>
      <c r="Q34" s="46"/>
      <c r="R34" s="93"/>
    </row>
    <row r="35" spans="1:18" s="44" customFormat="1" ht="15" customHeight="1" x14ac:dyDescent="0.25">
      <c r="A35" s="128">
        <v>45014</v>
      </c>
      <c r="B35" s="121" t="s">
        <v>43</v>
      </c>
      <c r="C35" s="129"/>
      <c r="D35" s="111" t="s">
        <v>90</v>
      </c>
      <c r="E35" s="130"/>
      <c r="F35" s="130"/>
      <c r="G35" s="111">
        <v>5760</v>
      </c>
      <c r="H35" s="131"/>
      <c r="I35" s="110"/>
      <c r="J35" s="119"/>
      <c r="K35" s="119"/>
      <c r="L35" s="110"/>
      <c r="M35" s="110"/>
      <c r="N35" s="110"/>
      <c r="O35" s="110">
        <v>51025</v>
      </c>
      <c r="P35" s="111"/>
      <c r="Q35" s="46"/>
      <c r="R35" s="93" t="s">
        <v>248</v>
      </c>
    </row>
    <row r="36" spans="1:18" s="203" customFormat="1" ht="15.75" customHeight="1" x14ac:dyDescent="0.25">
      <c r="A36" s="134">
        <v>45017</v>
      </c>
      <c r="B36" s="135" t="s">
        <v>145</v>
      </c>
      <c r="C36" s="136"/>
      <c r="D36" s="137" t="s">
        <v>92</v>
      </c>
      <c r="E36" s="138"/>
      <c r="F36" s="138"/>
      <c r="G36" s="139">
        <v>5460</v>
      </c>
      <c r="H36" s="199" t="s">
        <v>257</v>
      </c>
      <c r="I36" s="200"/>
      <c r="J36" s="200"/>
      <c r="K36" s="200"/>
      <c r="L36" s="200"/>
      <c r="M36" s="200"/>
      <c r="N36" s="200"/>
      <c r="O36" s="696">
        <v>413995.98</v>
      </c>
      <c r="P36" s="139"/>
      <c r="Q36" s="201"/>
      <c r="R36" s="100" t="s">
        <v>276</v>
      </c>
    </row>
    <row r="37" spans="1:18" s="203" customFormat="1" ht="15" customHeight="1" x14ac:dyDescent="0.25">
      <c r="A37" s="134">
        <v>45147</v>
      </c>
      <c r="B37" s="135" t="s">
        <v>205</v>
      </c>
      <c r="C37" s="136"/>
      <c r="D37" s="137" t="s">
        <v>92</v>
      </c>
      <c r="E37" s="138"/>
      <c r="F37" s="138"/>
      <c r="G37" s="139">
        <v>5568</v>
      </c>
      <c r="H37" s="199"/>
      <c r="I37" s="202"/>
      <c r="J37" s="202"/>
      <c r="K37" s="202"/>
      <c r="L37" s="202"/>
      <c r="M37" s="202"/>
      <c r="N37" s="202"/>
      <c r="O37" s="202">
        <v>10000</v>
      </c>
      <c r="P37" s="200" t="s">
        <v>210</v>
      </c>
      <c r="Q37" s="201"/>
      <c r="R37" s="100" t="s">
        <v>206</v>
      </c>
    </row>
    <row r="38" spans="1:18" s="44" customFormat="1" ht="15" customHeight="1" x14ac:dyDescent="0.25">
      <c r="A38" s="128">
        <v>45158</v>
      </c>
      <c r="B38" s="121" t="s">
        <v>43</v>
      </c>
      <c r="C38" s="129"/>
      <c r="D38" s="111" t="s">
        <v>90</v>
      </c>
      <c r="E38" s="130"/>
      <c r="F38" s="130">
        <v>2357</v>
      </c>
      <c r="G38" s="111">
        <v>5587</v>
      </c>
      <c r="H38" s="131"/>
      <c r="I38" s="110"/>
      <c r="J38" s="110"/>
      <c r="K38" s="110"/>
      <c r="L38" s="110"/>
      <c r="M38" s="110"/>
      <c r="N38" s="110"/>
      <c r="O38" s="110">
        <v>419745</v>
      </c>
      <c r="P38" s="111"/>
      <c r="Q38" s="46"/>
      <c r="R38" s="93" t="s">
        <v>352</v>
      </c>
    </row>
    <row r="39" spans="1:18" s="203" customFormat="1" ht="15" customHeight="1" x14ac:dyDescent="0.25">
      <c r="A39" s="134">
        <v>45181</v>
      </c>
      <c r="B39" s="135" t="s">
        <v>145</v>
      </c>
      <c r="C39" s="136"/>
      <c r="D39" s="137" t="s">
        <v>90</v>
      </c>
      <c r="E39" s="138" t="s">
        <v>277</v>
      </c>
      <c r="F39" s="138"/>
      <c r="G39" s="139">
        <v>5606</v>
      </c>
      <c r="H39" s="199"/>
      <c r="I39" s="202"/>
      <c r="J39" s="202"/>
      <c r="K39" s="202"/>
      <c r="L39" s="202"/>
      <c r="M39" s="202"/>
      <c r="N39" s="202"/>
      <c r="O39" s="202">
        <v>676930.8</v>
      </c>
      <c r="P39" s="139"/>
      <c r="Q39" s="201"/>
      <c r="R39" s="100" t="s">
        <v>278</v>
      </c>
    </row>
    <row r="40" spans="1:18" s="44" customFormat="1" ht="15" customHeight="1" x14ac:dyDescent="0.25">
      <c r="A40" s="128">
        <v>45195</v>
      </c>
      <c r="B40" s="121" t="s">
        <v>271</v>
      </c>
      <c r="C40" s="129"/>
      <c r="D40" s="115" t="s">
        <v>92</v>
      </c>
      <c r="E40" s="130"/>
      <c r="F40" s="130"/>
      <c r="G40" s="111" t="s">
        <v>272</v>
      </c>
      <c r="H40" s="131"/>
      <c r="I40" s="110"/>
      <c r="J40" s="110"/>
      <c r="K40" s="110"/>
      <c r="L40" s="110"/>
      <c r="M40" s="110"/>
      <c r="N40" s="110"/>
      <c r="O40" s="110">
        <v>2339.29</v>
      </c>
      <c r="P40" s="111" t="s">
        <v>22</v>
      </c>
      <c r="Q40" s="46"/>
      <c r="R40" s="111" t="s">
        <v>273</v>
      </c>
    </row>
    <row r="41" spans="1:18" s="44" customFormat="1" ht="15" customHeight="1" x14ac:dyDescent="0.25">
      <c r="A41" s="128">
        <v>45223</v>
      </c>
      <c r="B41" s="121" t="s">
        <v>115</v>
      </c>
      <c r="C41" s="129"/>
      <c r="D41" s="111" t="s">
        <v>90</v>
      </c>
      <c r="E41" s="130"/>
      <c r="F41" s="130"/>
      <c r="G41" s="111">
        <v>5641</v>
      </c>
      <c r="H41" s="131"/>
      <c r="I41" s="110"/>
      <c r="J41" s="110"/>
      <c r="K41" s="110"/>
      <c r="L41" s="110"/>
      <c r="M41" s="110"/>
      <c r="N41" s="110"/>
      <c r="O41" s="110">
        <v>445000</v>
      </c>
      <c r="P41" s="111"/>
      <c r="Q41" s="46"/>
      <c r="R41" s="93" t="s">
        <v>266</v>
      </c>
    </row>
    <row r="42" spans="1:18" s="44" customFormat="1" ht="15" customHeight="1" x14ac:dyDescent="0.25">
      <c r="A42" s="128">
        <v>45310</v>
      </c>
      <c r="B42" s="207" t="s">
        <v>109</v>
      </c>
      <c r="C42" s="129"/>
      <c r="D42" s="111" t="s">
        <v>90</v>
      </c>
      <c r="E42" s="130"/>
      <c r="F42" s="130"/>
      <c r="G42" s="111" t="s">
        <v>327</v>
      </c>
      <c r="H42" s="131"/>
      <c r="I42" s="110"/>
      <c r="J42" s="110"/>
      <c r="K42" s="110"/>
      <c r="L42" s="110"/>
      <c r="M42" s="110"/>
      <c r="N42" s="110"/>
      <c r="O42" s="110">
        <v>16550</v>
      </c>
      <c r="P42" s="111" t="s">
        <v>22</v>
      </c>
      <c r="Q42" s="46"/>
      <c r="R42" s="93" t="s">
        <v>328</v>
      </c>
    </row>
    <row r="43" spans="1:18" s="203" customFormat="1" ht="15" customHeight="1" x14ac:dyDescent="0.25">
      <c r="A43" s="134">
        <v>45313</v>
      </c>
      <c r="B43" s="697" t="s">
        <v>37</v>
      </c>
      <c r="C43" s="136"/>
      <c r="D43" s="139" t="s">
        <v>90</v>
      </c>
      <c r="E43" s="138" t="s">
        <v>233</v>
      </c>
      <c r="F43" s="138"/>
      <c r="G43" s="139">
        <v>5714</v>
      </c>
      <c r="H43" s="199"/>
      <c r="I43" s="202"/>
      <c r="J43" s="202"/>
      <c r="K43" s="202"/>
      <c r="L43" s="202"/>
      <c r="M43" s="202"/>
      <c r="N43" s="202"/>
      <c r="O43" s="202">
        <v>150000</v>
      </c>
      <c r="P43" s="139"/>
      <c r="Q43" s="201"/>
      <c r="R43" s="100" t="s">
        <v>234</v>
      </c>
    </row>
    <row r="44" spans="1:18" s="44" customFormat="1" ht="15" customHeight="1" x14ac:dyDescent="0.25">
      <c r="A44" s="128">
        <v>45313</v>
      </c>
      <c r="B44" s="121" t="s">
        <v>230</v>
      </c>
      <c r="C44" s="129"/>
      <c r="D44" s="121" t="s">
        <v>92</v>
      </c>
      <c r="E44" s="130"/>
      <c r="F44" s="130"/>
      <c r="G44" s="111">
        <v>5715</v>
      </c>
      <c r="H44" s="131"/>
      <c r="I44" s="110"/>
      <c r="J44" s="110"/>
      <c r="K44" s="110"/>
      <c r="L44" s="110"/>
      <c r="M44" s="110"/>
      <c r="N44" s="110"/>
      <c r="O44" s="110">
        <v>78</v>
      </c>
      <c r="P44" s="110" t="s">
        <v>255</v>
      </c>
      <c r="Q44" s="46"/>
      <c r="R44" s="93" t="s">
        <v>231</v>
      </c>
    </row>
    <row r="45" spans="1:18" s="44" customFormat="1" ht="15" customHeight="1" x14ac:dyDescent="0.25">
      <c r="A45" s="128">
        <v>45342</v>
      </c>
      <c r="B45" s="207" t="s">
        <v>237</v>
      </c>
      <c r="C45" s="129"/>
      <c r="D45" s="111" t="s">
        <v>90</v>
      </c>
      <c r="E45" s="111"/>
      <c r="F45" s="130">
        <v>2358</v>
      </c>
      <c r="G45" s="111">
        <v>5739</v>
      </c>
      <c r="H45" s="131"/>
      <c r="I45" s="110"/>
      <c r="J45" s="110"/>
      <c r="K45" s="110"/>
      <c r="L45" s="110"/>
      <c r="M45" s="110"/>
      <c r="N45" s="110"/>
      <c r="O45" s="110">
        <v>318000</v>
      </c>
      <c r="P45" s="110"/>
      <c r="Q45" s="46"/>
      <c r="R45" s="93" t="s">
        <v>348</v>
      </c>
    </row>
    <row r="46" spans="1:18" s="694" customFormat="1" ht="15" customHeight="1" x14ac:dyDescent="0.25">
      <c r="A46" s="684">
        <v>45343</v>
      </c>
      <c r="B46" s="685" t="s">
        <v>59</v>
      </c>
      <c r="C46" s="686"/>
      <c r="D46" s="685" t="s">
        <v>90</v>
      </c>
      <c r="E46" s="688" t="s">
        <v>238</v>
      </c>
      <c r="F46" s="688"/>
      <c r="G46" s="689" t="s">
        <v>118</v>
      </c>
      <c r="H46" s="690"/>
      <c r="I46" s="695"/>
      <c r="J46" s="695"/>
      <c r="K46" s="695"/>
      <c r="L46" s="695"/>
      <c r="M46" s="695"/>
      <c r="N46" s="695"/>
      <c r="O46" s="695">
        <v>22500</v>
      </c>
      <c r="P46" s="691" t="s">
        <v>22</v>
      </c>
      <c r="Q46" s="692"/>
      <c r="R46" s="693" t="s">
        <v>239</v>
      </c>
    </row>
    <row r="47" spans="1:18" s="44" customFormat="1" ht="15" customHeight="1" x14ac:dyDescent="0.25">
      <c r="A47" s="128">
        <v>45344</v>
      </c>
      <c r="B47" s="207" t="s">
        <v>217</v>
      </c>
      <c r="C47" s="129"/>
      <c r="D47" s="111" t="s">
        <v>90</v>
      </c>
      <c r="E47" s="130"/>
      <c r="F47" s="130">
        <v>2315</v>
      </c>
      <c r="G47" s="111">
        <v>5740</v>
      </c>
      <c r="H47" s="131"/>
      <c r="I47" s="110"/>
      <c r="J47" s="110"/>
      <c r="K47" s="110"/>
      <c r="L47" s="110"/>
      <c r="M47" s="110"/>
      <c r="N47" s="110"/>
      <c r="O47" s="110">
        <v>189330</v>
      </c>
      <c r="P47" s="119"/>
      <c r="Q47" s="46"/>
      <c r="R47" s="93" t="s">
        <v>316</v>
      </c>
    </row>
    <row r="48" spans="1:18" s="44" customFormat="1" ht="15" customHeight="1" x14ac:dyDescent="0.25">
      <c r="A48" s="128">
        <v>45353</v>
      </c>
      <c r="B48" s="207" t="s">
        <v>241</v>
      </c>
      <c r="C48" s="129"/>
      <c r="D48" s="111" t="s">
        <v>90</v>
      </c>
      <c r="E48" s="130"/>
      <c r="F48" s="130"/>
      <c r="G48" s="130" t="s">
        <v>346</v>
      </c>
      <c r="H48" s="131"/>
      <c r="I48" s="110"/>
      <c r="J48" s="110"/>
      <c r="K48" s="110"/>
      <c r="L48" s="110"/>
      <c r="M48" s="110"/>
      <c r="N48" s="110"/>
      <c r="O48" s="110">
        <v>142953</v>
      </c>
      <c r="P48" s="119" t="s">
        <v>22</v>
      </c>
      <c r="Q48" s="46"/>
      <c r="R48" s="93" t="s">
        <v>347</v>
      </c>
    </row>
    <row r="49" spans="1:18" s="44" customFormat="1" ht="15" customHeight="1" x14ac:dyDescent="0.25">
      <c r="A49" s="128">
        <v>45371</v>
      </c>
      <c r="B49" s="121" t="s">
        <v>250</v>
      </c>
      <c r="C49" s="129"/>
      <c r="D49" s="111" t="s">
        <v>221</v>
      </c>
      <c r="E49" s="130"/>
      <c r="F49" s="130"/>
      <c r="G49" s="111">
        <v>5769</v>
      </c>
      <c r="H49" s="131"/>
      <c r="I49" s="110"/>
      <c r="J49" s="110"/>
      <c r="K49" s="110"/>
      <c r="L49" s="110"/>
      <c r="M49" s="110"/>
      <c r="N49" s="110"/>
      <c r="O49" s="110">
        <v>250</v>
      </c>
      <c r="P49" s="119" t="s">
        <v>22</v>
      </c>
      <c r="Q49" s="46"/>
      <c r="R49" s="93" t="s">
        <v>251</v>
      </c>
    </row>
    <row r="50" spans="1:18" s="203" customFormat="1" ht="15" customHeight="1" x14ac:dyDescent="0.25">
      <c r="A50" s="134">
        <v>45386</v>
      </c>
      <c r="B50" s="135" t="s">
        <v>145</v>
      </c>
      <c r="C50" s="136"/>
      <c r="D50" s="139" t="s">
        <v>90</v>
      </c>
      <c r="E50" s="138"/>
      <c r="F50" s="138"/>
      <c r="G50" s="139">
        <v>5776</v>
      </c>
      <c r="H50" s="199"/>
      <c r="I50" s="202"/>
      <c r="J50" s="202"/>
      <c r="K50" s="202"/>
      <c r="L50" s="202"/>
      <c r="M50" s="202"/>
      <c r="N50" s="202"/>
      <c r="O50" s="202">
        <v>455997.92</v>
      </c>
      <c r="P50" s="200" t="s">
        <v>22</v>
      </c>
      <c r="Q50" s="201"/>
      <c r="R50" s="100" t="s">
        <v>256</v>
      </c>
    </row>
    <row r="51" spans="1:18" s="44" customFormat="1" ht="15" customHeight="1" x14ac:dyDescent="0.25">
      <c r="A51" s="128">
        <v>45399</v>
      </c>
      <c r="B51" s="121" t="s">
        <v>43</v>
      </c>
      <c r="C51" s="129"/>
      <c r="D51" s="111" t="s">
        <v>90</v>
      </c>
      <c r="E51" s="130"/>
      <c r="F51" s="130">
        <v>2356</v>
      </c>
      <c r="G51" s="111" t="s">
        <v>258</v>
      </c>
      <c r="H51" s="131"/>
      <c r="I51" s="110"/>
      <c r="J51" s="110"/>
      <c r="K51" s="110"/>
      <c r="L51" s="110"/>
      <c r="M51" s="110"/>
      <c r="N51" s="110"/>
      <c r="O51" s="110">
        <v>217025</v>
      </c>
      <c r="P51" s="111"/>
      <c r="Q51" s="46"/>
      <c r="R51" s="93" t="s">
        <v>351</v>
      </c>
    </row>
    <row r="52" spans="1:18" s="44" customFormat="1" ht="15" customHeight="1" x14ac:dyDescent="0.25">
      <c r="A52" s="128">
        <v>45458</v>
      </c>
      <c r="B52" s="121" t="s">
        <v>43</v>
      </c>
      <c r="C52" s="129"/>
      <c r="D52" s="111" t="s">
        <v>90</v>
      </c>
      <c r="E52" s="130"/>
      <c r="F52" s="130">
        <v>2355</v>
      </c>
      <c r="G52" s="111" t="s">
        <v>290</v>
      </c>
      <c r="H52" s="131"/>
      <c r="I52" s="110"/>
      <c r="J52" s="110"/>
      <c r="K52" s="110"/>
      <c r="L52" s="110"/>
      <c r="M52" s="110">
        <v>206450</v>
      </c>
      <c r="N52" s="110"/>
      <c r="O52" s="111"/>
      <c r="P52" s="111"/>
      <c r="Q52" s="46"/>
      <c r="R52" s="46" t="s">
        <v>350</v>
      </c>
    </row>
    <row r="53" spans="1:18" s="44" customFormat="1" ht="15" customHeight="1" x14ac:dyDescent="0.25">
      <c r="A53" s="128">
        <v>45489</v>
      </c>
      <c r="B53" s="216" t="s">
        <v>285</v>
      </c>
      <c r="C53" s="129"/>
      <c r="D53" s="111" t="s">
        <v>221</v>
      </c>
      <c r="E53" s="130"/>
      <c r="F53" s="130">
        <v>2291</v>
      </c>
      <c r="G53" s="111">
        <v>5831</v>
      </c>
      <c r="H53" s="131"/>
      <c r="I53" s="110"/>
      <c r="J53" s="119"/>
      <c r="K53" s="119"/>
      <c r="L53" s="119">
        <v>81500</v>
      </c>
      <c r="M53" s="110"/>
      <c r="N53" s="110"/>
      <c r="O53" s="111"/>
      <c r="P53" s="111"/>
      <c r="Q53" s="46"/>
      <c r="R53" s="46" t="s">
        <v>64</v>
      </c>
    </row>
    <row r="54" spans="1:18" s="44" customFormat="1" ht="15" customHeight="1" x14ac:dyDescent="0.25">
      <c r="A54" s="128">
        <v>45489</v>
      </c>
      <c r="B54" s="216" t="s">
        <v>285</v>
      </c>
      <c r="C54" s="129"/>
      <c r="D54" s="111" t="s">
        <v>221</v>
      </c>
      <c r="E54" s="130"/>
      <c r="F54" s="130">
        <v>2292</v>
      </c>
      <c r="G54" s="111">
        <v>5832</v>
      </c>
      <c r="H54" s="131"/>
      <c r="I54" s="110"/>
      <c r="J54" s="110"/>
      <c r="K54" s="110"/>
      <c r="L54" s="110">
        <v>351500</v>
      </c>
      <c r="M54" s="110"/>
      <c r="N54" s="110"/>
      <c r="O54" s="111"/>
      <c r="P54" s="111"/>
      <c r="Q54" s="46"/>
      <c r="R54" s="46" t="s">
        <v>286</v>
      </c>
    </row>
    <row r="55" spans="1:18" s="44" customFormat="1" ht="15" customHeight="1" x14ac:dyDescent="0.25">
      <c r="A55" s="128">
        <v>45492</v>
      </c>
      <c r="B55" s="121" t="s">
        <v>270</v>
      </c>
      <c r="C55" s="129"/>
      <c r="D55" s="111" t="s">
        <v>90</v>
      </c>
      <c r="E55" s="130"/>
      <c r="F55" s="130">
        <v>2296</v>
      </c>
      <c r="G55" s="111">
        <v>5841</v>
      </c>
      <c r="H55" s="131"/>
      <c r="I55" s="110"/>
      <c r="J55" s="110"/>
      <c r="K55" s="110"/>
      <c r="L55" s="110">
        <v>108900</v>
      </c>
      <c r="M55" s="110"/>
      <c r="N55" s="110"/>
      <c r="O55" s="111"/>
      <c r="P55" s="111"/>
      <c r="Q55" s="46"/>
      <c r="R55" s="46" t="s">
        <v>294</v>
      </c>
    </row>
    <row r="56" spans="1:18" s="44" customFormat="1" ht="15" customHeight="1" x14ac:dyDescent="0.25">
      <c r="A56" s="128">
        <v>45500</v>
      </c>
      <c r="B56" s="121" t="s">
        <v>288</v>
      </c>
      <c r="C56" s="129"/>
      <c r="D56" s="111" t="s">
        <v>92</v>
      </c>
      <c r="E56" s="130"/>
      <c r="F56" s="130"/>
      <c r="G56" s="111">
        <v>5848</v>
      </c>
      <c r="H56" s="131"/>
      <c r="I56" s="110"/>
      <c r="J56" s="110"/>
      <c r="K56" s="110"/>
      <c r="L56" s="110">
        <v>150000</v>
      </c>
      <c r="M56" s="110"/>
      <c r="N56" s="110"/>
      <c r="O56" s="111"/>
      <c r="P56" s="111"/>
      <c r="Q56" s="46"/>
      <c r="R56" s="46" t="s">
        <v>289</v>
      </c>
    </row>
    <row r="57" spans="1:18" s="44" customFormat="1" ht="15" customHeight="1" x14ac:dyDescent="0.25">
      <c r="A57" s="128">
        <v>45505</v>
      </c>
      <c r="B57" s="121" t="s">
        <v>270</v>
      </c>
      <c r="C57" s="129"/>
      <c r="D57" s="111" t="s">
        <v>90</v>
      </c>
      <c r="E57" s="130"/>
      <c r="F57" s="130">
        <v>2298</v>
      </c>
      <c r="G57" s="111" t="s">
        <v>295</v>
      </c>
      <c r="H57" s="131"/>
      <c r="I57" s="110"/>
      <c r="J57" s="110"/>
      <c r="K57" s="110">
        <v>475000</v>
      </c>
      <c r="L57" s="110"/>
      <c r="M57" s="110"/>
      <c r="N57" s="110"/>
      <c r="O57" s="111"/>
      <c r="P57" s="111"/>
      <c r="Q57" s="46"/>
      <c r="R57" s="46" t="s">
        <v>296</v>
      </c>
    </row>
    <row r="58" spans="1:18" s="44" customFormat="1" ht="15" customHeight="1" x14ac:dyDescent="0.25">
      <c r="A58" s="128">
        <v>45512</v>
      </c>
      <c r="B58" s="121" t="s">
        <v>299</v>
      </c>
      <c r="C58" s="129"/>
      <c r="D58" s="111" t="s">
        <v>91</v>
      </c>
      <c r="E58" s="130"/>
      <c r="F58" s="130">
        <v>2299</v>
      </c>
      <c r="G58" s="111">
        <v>5855</v>
      </c>
      <c r="H58" s="131"/>
      <c r="I58" s="110"/>
      <c r="J58" s="110"/>
      <c r="K58" s="110">
        <v>399800</v>
      </c>
      <c r="L58" s="110"/>
      <c r="M58" s="110"/>
      <c r="N58" s="110"/>
      <c r="O58" s="111"/>
      <c r="P58" s="111"/>
      <c r="Q58" s="46"/>
      <c r="R58" s="46" t="s">
        <v>300</v>
      </c>
    </row>
    <row r="59" spans="1:18" s="44" customFormat="1" ht="15" customHeight="1" x14ac:dyDescent="0.25">
      <c r="A59" s="128">
        <v>45528</v>
      </c>
      <c r="B59" s="121" t="s">
        <v>321</v>
      </c>
      <c r="C59" s="129"/>
      <c r="D59" s="111" t="s">
        <v>90</v>
      </c>
      <c r="E59" s="130"/>
      <c r="F59" s="130">
        <v>2309</v>
      </c>
      <c r="G59" s="111">
        <v>5901</v>
      </c>
      <c r="H59" s="131"/>
      <c r="I59" s="110"/>
      <c r="J59" s="119"/>
      <c r="K59" s="119">
        <v>120970</v>
      </c>
      <c r="L59" s="119" t="s">
        <v>323</v>
      </c>
      <c r="M59" s="110"/>
      <c r="N59" s="110"/>
      <c r="O59" s="111"/>
      <c r="P59" s="111"/>
      <c r="Q59" s="46"/>
      <c r="R59" s="46" t="s">
        <v>322</v>
      </c>
    </row>
    <row r="60" spans="1:18" s="44" customFormat="1" ht="15" customHeight="1" x14ac:dyDescent="0.25">
      <c r="A60" s="128">
        <v>45533</v>
      </c>
      <c r="B60" s="121" t="s">
        <v>61</v>
      </c>
      <c r="C60" s="129"/>
      <c r="D60" s="111" t="s">
        <v>90</v>
      </c>
      <c r="E60" s="130"/>
      <c r="F60" s="130">
        <v>2307</v>
      </c>
      <c r="G60" s="111">
        <v>5873</v>
      </c>
      <c r="H60" s="131"/>
      <c r="I60" s="110"/>
      <c r="J60" s="110"/>
      <c r="K60" s="110">
        <v>135105</v>
      </c>
      <c r="L60" s="110"/>
      <c r="M60" s="110"/>
      <c r="N60" s="110"/>
      <c r="O60" s="111"/>
      <c r="P60" s="111"/>
      <c r="Q60" s="46"/>
      <c r="R60" s="46" t="s">
        <v>305</v>
      </c>
    </row>
    <row r="61" spans="1:18" s="44" customFormat="1" ht="15" customHeight="1" x14ac:dyDescent="0.25">
      <c r="A61" s="128">
        <v>45544</v>
      </c>
      <c r="B61" s="121" t="s">
        <v>217</v>
      </c>
      <c r="C61" s="129"/>
      <c r="D61" s="111" t="s">
        <v>90</v>
      </c>
      <c r="E61" s="130"/>
      <c r="F61" s="130">
        <v>2316</v>
      </c>
      <c r="G61" s="111">
        <v>5882</v>
      </c>
      <c r="H61" s="131"/>
      <c r="I61" s="110"/>
      <c r="J61" s="110">
        <v>458000</v>
      </c>
      <c r="K61" s="119"/>
      <c r="L61" s="110"/>
      <c r="M61" s="110"/>
      <c r="N61" s="110"/>
      <c r="O61" s="111"/>
      <c r="P61" s="111"/>
      <c r="Q61" s="46"/>
      <c r="R61" s="46" t="s">
        <v>317</v>
      </c>
    </row>
    <row r="62" spans="1:18" s="44" customFormat="1" ht="15" customHeight="1" x14ac:dyDescent="0.25">
      <c r="A62" s="128">
        <v>45551</v>
      </c>
      <c r="B62" s="121" t="s">
        <v>287</v>
      </c>
      <c r="C62" s="129"/>
      <c r="D62" s="111" t="s">
        <v>259</v>
      </c>
      <c r="E62" s="130" t="s">
        <v>319</v>
      </c>
      <c r="F62" s="130"/>
      <c r="G62" s="111" t="s">
        <v>118</v>
      </c>
      <c r="H62" s="131"/>
      <c r="I62" s="110"/>
      <c r="J62" s="110">
        <v>132518.39999999999</v>
      </c>
      <c r="K62" s="119"/>
      <c r="L62" s="110"/>
      <c r="M62" s="110"/>
      <c r="N62" s="110"/>
      <c r="O62" s="111"/>
      <c r="P62" s="111"/>
      <c r="Q62" s="46"/>
      <c r="R62" s="46" t="s">
        <v>320</v>
      </c>
    </row>
    <row r="63" spans="1:18" s="44" customFormat="1" ht="15" customHeight="1" x14ac:dyDescent="0.25">
      <c r="A63" s="128">
        <v>45583</v>
      </c>
      <c r="B63" s="121" t="s">
        <v>318</v>
      </c>
      <c r="C63" s="129"/>
      <c r="D63" s="111" t="s">
        <v>221</v>
      </c>
      <c r="E63" s="130"/>
      <c r="F63" s="130">
        <v>2352</v>
      </c>
      <c r="G63" s="111">
        <v>5897</v>
      </c>
      <c r="H63" s="131"/>
      <c r="I63" s="110">
        <v>610000</v>
      </c>
      <c r="J63" s="119"/>
      <c r="K63" s="119"/>
      <c r="L63" s="110"/>
      <c r="M63" s="110"/>
      <c r="N63" s="110"/>
      <c r="O63" s="111"/>
      <c r="P63" s="111"/>
      <c r="Q63" s="46"/>
      <c r="R63" s="46" t="s">
        <v>332</v>
      </c>
    </row>
    <row r="64" spans="1:18" s="44" customFormat="1" ht="15" customHeight="1" x14ac:dyDescent="0.25">
      <c r="A64" s="128">
        <v>45588</v>
      </c>
      <c r="B64" s="121" t="s">
        <v>334</v>
      </c>
      <c r="C64" s="129"/>
      <c r="D64" s="111" t="s">
        <v>282</v>
      </c>
      <c r="E64" s="130"/>
      <c r="F64" s="130"/>
      <c r="G64" s="111">
        <v>5908</v>
      </c>
      <c r="H64" s="131"/>
      <c r="I64" s="110">
        <v>138000</v>
      </c>
      <c r="J64" s="119"/>
      <c r="K64" s="119"/>
      <c r="L64" s="110"/>
      <c r="M64" s="110"/>
      <c r="N64" s="110"/>
      <c r="O64" s="111"/>
      <c r="P64" s="111"/>
      <c r="Q64" s="46"/>
      <c r="R64" s="46" t="s">
        <v>335</v>
      </c>
    </row>
    <row r="65" spans="1:18" s="44" customFormat="1" ht="15" customHeight="1" x14ac:dyDescent="0.25">
      <c r="A65" s="128">
        <v>45580</v>
      </c>
      <c r="B65" s="121" t="s">
        <v>338</v>
      </c>
      <c r="C65" s="129"/>
      <c r="D65" s="111" t="s">
        <v>92</v>
      </c>
      <c r="E65" s="130"/>
      <c r="F65" s="130"/>
      <c r="G65" s="111">
        <v>5966</v>
      </c>
      <c r="H65" s="131"/>
      <c r="I65" s="110">
        <v>167083</v>
      </c>
      <c r="J65" s="119"/>
      <c r="K65" s="119"/>
      <c r="L65" s="110"/>
      <c r="M65" s="110"/>
      <c r="N65" s="110"/>
      <c r="O65" s="111"/>
      <c r="P65" s="111"/>
      <c r="Q65" s="46"/>
      <c r="R65" s="46" t="s">
        <v>340</v>
      </c>
    </row>
    <row r="66" spans="1:18" s="44" customFormat="1" ht="15" customHeight="1" x14ac:dyDescent="0.25">
      <c r="A66" s="128">
        <v>45580</v>
      </c>
      <c r="B66" s="121" t="s">
        <v>338</v>
      </c>
      <c r="C66" s="129"/>
      <c r="D66" s="111" t="s">
        <v>92</v>
      </c>
      <c r="E66" s="130"/>
      <c r="F66" s="130">
        <v>2362</v>
      </c>
      <c r="G66" s="111">
        <v>5967</v>
      </c>
      <c r="H66" s="131"/>
      <c r="I66" s="110">
        <v>112640</v>
      </c>
      <c r="J66" s="119"/>
      <c r="K66" s="119"/>
      <c r="L66" s="110"/>
      <c r="M66" s="110"/>
      <c r="N66" s="110"/>
      <c r="O66" s="111"/>
      <c r="P66" s="111"/>
      <c r="Q66" s="46"/>
      <c r="R66" s="46" t="s">
        <v>339</v>
      </c>
    </row>
    <row r="67" spans="1:18" s="44" customFormat="1" ht="15" customHeight="1" x14ac:dyDescent="0.25">
      <c r="A67" s="128">
        <v>45593</v>
      </c>
      <c r="B67" s="121" t="s">
        <v>281</v>
      </c>
      <c r="C67" s="129"/>
      <c r="D67" s="111" t="s">
        <v>282</v>
      </c>
      <c r="E67" s="130"/>
      <c r="F67" s="130" t="s">
        <v>366</v>
      </c>
      <c r="G67" s="111" t="s">
        <v>360</v>
      </c>
      <c r="H67" s="131"/>
      <c r="I67" s="110">
        <v>705100.29</v>
      </c>
      <c r="J67" s="119"/>
      <c r="K67" s="119"/>
      <c r="L67" s="110"/>
      <c r="M67" s="110"/>
      <c r="N67" s="110"/>
      <c r="O67" s="111"/>
      <c r="P67" s="111"/>
      <c r="Q67" s="46"/>
      <c r="R67" s="93" t="s">
        <v>367</v>
      </c>
    </row>
    <row r="68" spans="1:18" s="44" customFormat="1" ht="15" customHeight="1" x14ac:dyDescent="0.25">
      <c r="A68" s="128">
        <v>45600</v>
      </c>
      <c r="B68" s="121" t="s">
        <v>287</v>
      </c>
      <c r="C68" s="129"/>
      <c r="D68" s="111" t="s">
        <v>259</v>
      </c>
      <c r="E68" s="130" t="s">
        <v>341</v>
      </c>
      <c r="F68" s="130"/>
      <c r="G68" s="111" t="s">
        <v>118</v>
      </c>
      <c r="H68" s="131"/>
      <c r="I68" s="110">
        <v>83204.800000000003</v>
      </c>
      <c r="J68" s="119"/>
      <c r="K68" s="119"/>
      <c r="L68" s="110"/>
      <c r="M68" s="110"/>
      <c r="N68" s="110"/>
      <c r="O68" s="111"/>
      <c r="P68" s="111"/>
      <c r="Q68" s="46"/>
      <c r="R68" s="46" t="s">
        <v>343</v>
      </c>
    </row>
    <row r="69" spans="1:18" s="44" customFormat="1" ht="15" customHeight="1" x14ac:dyDescent="0.25">
      <c r="A69" s="128">
        <v>45600</v>
      </c>
      <c r="B69" s="121" t="s">
        <v>287</v>
      </c>
      <c r="C69" s="129"/>
      <c r="D69" s="111" t="s">
        <v>259</v>
      </c>
      <c r="E69" s="130" t="s">
        <v>342</v>
      </c>
      <c r="F69" s="130"/>
      <c r="G69" s="111" t="s">
        <v>118</v>
      </c>
      <c r="H69" s="131"/>
      <c r="I69" s="110">
        <v>15680</v>
      </c>
      <c r="J69" s="119"/>
      <c r="K69" s="119"/>
      <c r="L69" s="110"/>
      <c r="M69" s="110"/>
      <c r="N69" s="110"/>
      <c r="O69" s="111"/>
      <c r="P69" s="111"/>
      <c r="Q69" s="46"/>
      <c r="R69" s="46" t="s">
        <v>343</v>
      </c>
    </row>
    <row r="70" spans="1:18" s="203" customFormat="1" ht="15" customHeight="1" x14ac:dyDescent="0.25">
      <c r="A70" s="134">
        <v>45601</v>
      </c>
      <c r="B70" s="135" t="s">
        <v>145</v>
      </c>
      <c r="C70" s="136"/>
      <c r="D70" s="139" t="s">
        <v>90</v>
      </c>
      <c r="E70" s="138"/>
      <c r="F70" s="138"/>
      <c r="G70" s="139">
        <v>5920</v>
      </c>
      <c r="H70" s="199"/>
      <c r="I70" s="202">
        <v>320000</v>
      </c>
      <c r="J70" s="200" t="s">
        <v>354</v>
      </c>
      <c r="K70" s="200"/>
      <c r="L70" s="202"/>
      <c r="M70" s="202"/>
      <c r="N70" s="202"/>
      <c r="O70" s="139"/>
      <c r="P70" s="139"/>
      <c r="Q70" s="201"/>
      <c r="R70" s="201" t="s">
        <v>355</v>
      </c>
    </row>
    <row r="71" spans="1:18" s="44" customFormat="1" ht="15" customHeight="1" x14ac:dyDescent="0.25">
      <c r="A71" s="128">
        <v>45602</v>
      </c>
      <c r="B71" s="121" t="s">
        <v>321</v>
      </c>
      <c r="C71" s="129"/>
      <c r="D71" s="111" t="s">
        <v>90</v>
      </c>
      <c r="E71" s="130"/>
      <c r="F71" s="130">
        <v>2332</v>
      </c>
      <c r="G71" s="111">
        <v>5922</v>
      </c>
      <c r="H71" s="131"/>
      <c r="I71" s="110">
        <v>3353500</v>
      </c>
      <c r="J71" s="119"/>
      <c r="K71" s="119"/>
      <c r="L71" s="110"/>
      <c r="M71" s="110"/>
      <c r="N71" s="110"/>
      <c r="O71" s="111"/>
      <c r="P71" s="111"/>
      <c r="Q71" s="46"/>
      <c r="R71" s="46" t="s">
        <v>368</v>
      </c>
    </row>
    <row r="72" spans="1:18" s="44" customFormat="1" ht="15" customHeight="1" x14ac:dyDescent="0.25">
      <c r="A72" s="128">
        <v>45607</v>
      </c>
      <c r="B72" s="121" t="s">
        <v>287</v>
      </c>
      <c r="C72" s="129"/>
      <c r="D72" s="111" t="s">
        <v>259</v>
      </c>
      <c r="E72" s="130" t="s">
        <v>357</v>
      </c>
      <c r="F72" s="130"/>
      <c r="G72" s="111" t="s">
        <v>118</v>
      </c>
      <c r="H72" s="131"/>
      <c r="I72" s="110">
        <v>47040</v>
      </c>
      <c r="J72" s="119"/>
      <c r="K72" s="119"/>
      <c r="L72" s="110"/>
      <c r="M72" s="110"/>
      <c r="N72" s="110"/>
      <c r="O72" s="111"/>
      <c r="P72" s="111"/>
      <c r="Q72" s="46"/>
      <c r="R72" s="46" t="s">
        <v>358</v>
      </c>
    </row>
    <row r="73" spans="1:18" s="44" customFormat="1" ht="15" customHeight="1" x14ac:dyDescent="0.25">
      <c r="A73" s="128">
        <v>45611</v>
      </c>
      <c r="B73" s="121" t="s">
        <v>287</v>
      </c>
      <c r="C73" s="129"/>
      <c r="D73" s="111" t="s">
        <v>259</v>
      </c>
      <c r="E73" s="130" t="s">
        <v>369</v>
      </c>
      <c r="F73" s="130"/>
      <c r="G73" s="111" t="s">
        <v>118</v>
      </c>
      <c r="H73" s="131"/>
      <c r="I73" s="110">
        <v>71680</v>
      </c>
      <c r="J73" s="119"/>
      <c r="K73" s="119"/>
      <c r="L73" s="110"/>
      <c r="M73" s="110"/>
      <c r="N73" s="110"/>
      <c r="O73" s="111"/>
      <c r="P73" s="111"/>
      <c r="Q73" s="46"/>
      <c r="R73" s="46" t="s">
        <v>370</v>
      </c>
    </row>
    <row r="74" spans="1:18" s="44" customFormat="1" ht="15" customHeight="1" x14ac:dyDescent="0.25">
      <c r="A74" s="128">
        <v>45616</v>
      </c>
      <c r="B74" s="121" t="s">
        <v>270</v>
      </c>
      <c r="C74" s="129"/>
      <c r="D74" s="111" t="s">
        <v>90</v>
      </c>
      <c r="E74" s="130"/>
      <c r="F74" s="130">
        <v>2334</v>
      </c>
      <c r="G74" s="111" t="s">
        <v>373</v>
      </c>
      <c r="H74" s="131"/>
      <c r="I74" s="110">
        <v>113500</v>
      </c>
      <c r="J74" s="119"/>
      <c r="K74" s="119"/>
      <c r="L74" s="110"/>
      <c r="M74" s="110"/>
      <c r="N74" s="110"/>
      <c r="O74" s="111"/>
      <c r="P74" s="111"/>
      <c r="Q74" s="46"/>
      <c r="R74" s="46" t="s">
        <v>374</v>
      </c>
    </row>
    <row r="75" spans="1:18" s="44" customFormat="1" ht="15" customHeight="1" x14ac:dyDescent="0.25">
      <c r="A75" s="128">
        <v>45621</v>
      </c>
      <c r="B75" s="121" t="s">
        <v>287</v>
      </c>
      <c r="C75" s="129"/>
      <c r="D75" s="111" t="s">
        <v>259</v>
      </c>
      <c r="E75" s="130" t="s">
        <v>403</v>
      </c>
      <c r="F75" s="130"/>
      <c r="G75" s="111"/>
      <c r="H75" s="131"/>
      <c r="I75" s="110">
        <v>71680</v>
      </c>
      <c r="J75" s="119"/>
      <c r="K75" s="119"/>
      <c r="L75" s="110"/>
      <c r="M75" s="110"/>
      <c r="N75" s="110"/>
      <c r="O75" s="111"/>
      <c r="P75" s="111"/>
      <c r="Q75" s="46"/>
      <c r="R75" s="46" t="s">
        <v>404</v>
      </c>
    </row>
    <row r="76" spans="1:18" s="44" customFormat="1" ht="15" customHeight="1" x14ac:dyDescent="0.25">
      <c r="A76" s="128">
        <v>45621</v>
      </c>
      <c r="B76" s="121" t="s">
        <v>287</v>
      </c>
      <c r="C76" s="129"/>
      <c r="D76" s="111" t="s">
        <v>259</v>
      </c>
      <c r="E76" s="130" t="s">
        <v>405</v>
      </c>
      <c r="F76" s="130"/>
      <c r="G76" s="111"/>
      <c r="H76" s="131"/>
      <c r="I76" s="110">
        <v>9856</v>
      </c>
      <c r="J76" s="119"/>
      <c r="K76" s="119"/>
      <c r="L76" s="110"/>
      <c r="M76" s="110"/>
      <c r="N76" s="110"/>
      <c r="O76" s="111"/>
      <c r="P76" s="111"/>
      <c r="Q76" s="46"/>
      <c r="R76" s="46" t="s">
        <v>406</v>
      </c>
    </row>
    <row r="77" spans="1:18" s="92" customFormat="1" x14ac:dyDescent="0.25">
      <c r="A77" s="88"/>
      <c r="B77" s="212" t="s">
        <v>7</v>
      </c>
      <c r="C77" s="84"/>
      <c r="D77" s="115" t="s">
        <v>140</v>
      </c>
      <c r="E77" s="84"/>
      <c r="F77" s="84"/>
      <c r="G77" s="111"/>
      <c r="H77" s="89"/>
      <c r="I77" s="90">
        <f>SUM(I23:I76)</f>
        <v>5818964.0899999999</v>
      </c>
      <c r="J77" s="91">
        <f>SUM(J61:J69)</f>
        <v>590518.4</v>
      </c>
      <c r="K77" s="91">
        <f>SUM(K46:K69)</f>
        <v>1130875</v>
      </c>
      <c r="L77" s="208">
        <f>SUM(L53:L69)</f>
        <v>691900</v>
      </c>
      <c r="M77" s="91">
        <f>SUM(M50:M60)</f>
        <v>206450</v>
      </c>
      <c r="N77" s="91">
        <f>SUM(N49:N62)</f>
        <v>0</v>
      </c>
      <c r="O77" s="91">
        <f>SUM(O7:O69)</f>
        <v>8526138.2100000009</v>
      </c>
      <c r="P77" s="94"/>
      <c r="Q77" s="325">
        <f>I77+J77+K77+L77+M77+N77+O77</f>
        <v>16964845.700000003</v>
      </c>
      <c r="R77" s="120"/>
    </row>
    <row r="78" spans="1:18" x14ac:dyDescent="0.25">
      <c r="A78" s="326" t="s">
        <v>64</v>
      </c>
      <c r="F78" s="194" t="s">
        <v>64</v>
      </c>
      <c r="H78" s="210"/>
    </row>
    <row r="79" spans="1:18" x14ac:dyDescent="0.25">
      <c r="H79" s="210"/>
    </row>
    <row r="80" spans="1:18" x14ac:dyDescent="0.25">
      <c r="E80" s="192" t="s">
        <v>324</v>
      </c>
      <c r="O80" s="48"/>
    </row>
    <row r="81" spans="6:17" x14ac:dyDescent="0.25">
      <c r="F81" s="194" t="s">
        <v>64</v>
      </c>
      <c r="O81" s="48"/>
    </row>
    <row r="82" spans="6:17" x14ac:dyDescent="0.25">
      <c r="G82" s="192"/>
      <c r="H82" s="192"/>
      <c r="I82" s="192"/>
      <c r="J82" s="192" t="s">
        <v>64</v>
      </c>
      <c r="K82" s="192"/>
      <c r="O82" s="48"/>
      <c r="P82" s="192"/>
    </row>
    <row r="83" spans="6:17" x14ac:dyDescent="0.25">
      <c r="O83" s="48"/>
      <c r="Q83" s="48"/>
    </row>
    <row r="84" spans="6:17" x14ac:dyDescent="0.25">
      <c r="O84" s="48"/>
    </row>
    <row r="85" spans="6:17" x14ac:dyDescent="0.25">
      <c r="O85" s="48"/>
    </row>
    <row r="86" spans="6:17" x14ac:dyDescent="0.25">
      <c r="O86" s="48"/>
    </row>
    <row r="87" spans="6:17" x14ac:dyDescent="0.25">
      <c r="O87" s="48"/>
    </row>
    <row r="88" spans="6:17" x14ac:dyDescent="0.25">
      <c r="O88" s="48"/>
    </row>
    <row r="89" spans="6:17" x14ac:dyDescent="0.25">
      <c r="O89" s="48"/>
    </row>
    <row r="90" spans="6:17" x14ac:dyDescent="0.25">
      <c r="O90" s="48"/>
    </row>
    <row r="91" spans="6:17" x14ac:dyDescent="0.25">
      <c r="O91" s="214"/>
    </row>
    <row r="92" spans="6:17" x14ac:dyDescent="0.25">
      <c r="O92" s="328"/>
    </row>
    <row r="93" spans="6:17" x14ac:dyDescent="0.25">
      <c r="O93" s="329"/>
    </row>
    <row r="94" spans="6:17" x14ac:dyDescent="0.25">
      <c r="O94" s="328"/>
    </row>
    <row r="95" spans="6:17" x14ac:dyDescent="0.25">
      <c r="O95" s="329"/>
    </row>
  </sheetData>
  <pageMargins left="0.70866141732283472" right="0.70866141732283472" top="0.74803149606299213" bottom="0.74803149606299213" header="0.31496062992125984" footer="0.31496062992125984"/>
  <pageSetup paperSize="5" scale="50"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
  <sheetViews>
    <sheetView workbookViewId="0">
      <selection activeCell="C18" sqref="C18"/>
    </sheetView>
  </sheetViews>
  <sheetFormatPr defaultColWidth="21.85546875" defaultRowHeight="15" x14ac:dyDescent="0.25"/>
  <cols>
    <col min="1" max="1" width="21.85546875" style="326"/>
    <col min="2" max="2" width="21.85546875" style="213"/>
    <col min="3" max="3" width="21.85546875" style="192"/>
    <col min="4" max="4" width="21.85546875" style="118"/>
    <col min="5" max="5" width="21.85546875" style="192"/>
    <col min="6" max="6" width="21.85546875" style="194"/>
    <col min="7" max="7" width="21.85546875" style="193"/>
    <col min="8" max="8" width="21.85546875" style="327"/>
    <col min="9" max="9" width="16.5703125" style="87" customWidth="1"/>
    <col min="10" max="10" width="15.42578125" style="48" customWidth="1"/>
    <col min="11" max="11" width="17.28515625" style="48" customWidth="1"/>
    <col min="12" max="12" width="16" style="48" customWidth="1"/>
    <col min="13" max="13" width="15.7109375" style="48" customWidth="1"/>
    <col min="14" max="14" width="21.85546875" style="48"/>
    <col min="15" max="15" width="21.85546875" style="192"/>
    <col min="16" max="16" width="21.85546875" style="95"/>
    <col min="17" max="16384" width="21.85546875" style="192"/>
  </cols>
  <sheetData>
    <row r="1" spans="1:18" x14ac:dyDescent="0.25">
      <c r="A1" s="288" t="s">
        <v>8</v>
      </c>
      <c r="B1" s="289"/>
      <c r="C1" s="153"/>
      <c r="D1" s="112"/>
      <c r="E1" s="153"/>
      <c r="F1" s="153"/>
      <c r="G1" s="154"/>
      <c r="H1" s="290"/>
      <c r="I1" s="291"/>
      <c r="J1" s="292"/>
      <c r="K1" s="292"/>
      <c r="L1" s="292"/>
      <c r="M1" s="292"/>
      <c r="N1" s="292"/>
      <c r="O1" s="155"/>
      <c r="P1" s="293"/>
    </row>
    <row r="2" spans="1:18" x14ac:dyDescent="0.25">
      <c r="A2" s="294" t="s">
        <v>9</v>
      </c>
      <c r="B2" s="295"/>
      <c r="C2" s="157"/>
      <c r="D2" s="113"/>
      <c r="E2" s="157"/>
      <c r="F2" s="157"/>
      <c r="G2" s="158"/>
      <c r="H2" s="296"/>
      <c r="I2" s="297"/>
      <c r="J2" s="298"/>
      <c r="K2" s="298"/>
      <c r="L2" s="298"/>
      <c r="M2" s="298"/>
      <c r="N2" s="298"/>
      <c r="O2" s="159"/>
      <c r="P2" s="299"/>
    </row>
    <row r="3" spans="1:18" x14ac:dyDescent="0.25">
      <c r="A3" s="294" t="s">
        <v>10</v>
      </c>
      <c r="B3" s="295"/>
      <c r="C3" s="157"/>
      <c r="D3" s="113"/>
      <c r="E3" s="157"/>
      <c r="F3" s="157"/>
      <c r="G3" s="158"/>
      <c r="H3" s="296"/>
      <c r="I3" s="300"/>
      <c r="J3" s="301"/>
      <c r="K3" s="301"/>
      <c r="L3" s="301"/>
      <c r="M3" s="301"/>
      <c r="N3" s="301"/>
      <c r="O3" s="302"/>
      <c r="P3" s="303"/>
    </row>
    <row r="4" spans="1:18" x14ac:dyDescent="0.25">
      <c r="A4" s="294" t="s">
        <v>633</v>
      </c>
      <c r="B4" s="295"/>
      <c r="C4" s="157"/>
      <c r="D4" s="113"/>
      <c r="E4" s="157"/>
      <c r="F4" s="157"/>
      <c r="G4" s="158"/>
      <c r="H4" s="296"/>
      <c r="I4" s="300"/>
      <c r="J4" s="301"/>
      <c r="K4" s="301"/>
      <c r="L4" s="301"/>
      <c r="M4" s="301"/>
      <c r="N4" s="301"/>
      <c r="O4" s="302"/>
      <c r="P4" s="303"/>
    </row>
    <row r="5" spans="1:18" x14ac:dyDescent="0.25">
      <c r="A5" s="304"/>
      <c r="B5" s="295"/>
      <c r="C5" s="157"/>
      <c r="D5" s="113"/>
      <c r="E5" s="157"/>
      <c r="F5" s="157"/>
      <c r="G5" s="158"/>
      <c r="H5" s="305"/>
      <c r="I5" s="306"/>
      <c r="J5" s="162"/>
      <c r="K5" s="162"/>
      <c r="L5" s="162"/>
      <c r="M5" s="162"/>
      <c r="N5" s="162"/>
      <c r="O5" s="162"/>
      <c r="P5" s="307"/>
    </row>
    <row r="6" spans="1:18" x14ac:dyDescent="0.25">
      <c r="A6" s="308" t="s">
        <v>0</v>
      </c>
      <c r="B6" s="309" t="s">
        <v>1</v>
      </c>
      <c r="C6" s="163" t="s">
        <v>2</v>
      </c>
      <c r="D6" s="114" t="s">
        <v>89</v>
      </c>
      <c r="E6" s="163" t="s">
        <v>76</v>
      </c>
      <c r="F6" s="163" t="s">
        <v>3</v>
      </c>
      <c r="G6" s="310" t="s">
        <v>4</v>
      </c>
      <c r="H6" s="89"/>
      <c r="I6" s="311" t="s">
        <v>69</v>
      </c>
      <c r="J6" s="164" t="s">
        <v>70</v>
      </c>
      <c r="K6" s="164" t="s">
        <v>71</v>
      </c>
      <c r="L6" s="164" t="s">
        <v>72</v>
      </c>
      <c r="M6" s="164" t="s">
        <v>75</v>
      </c>
      <c r="N6" s="164" t="s">
        <v>73</v>
      </c>
      <c r="O6" s="164" t="s">
        <v>74</v>
      </c>
      <c r="P6" s="94"/>
      <c r="Q6" s="123" t="s">
        <v>7</v>
      </c>
      <c r="R6" s="120" t="s">
        <v>6</v>
      </c>
    </row>
    <row r="7" spans="1:18" x14ac:dyDescent="0.25">
      <c r="A7" s="82">
        <v>43878</v>
      </c>
      <c r="B7" s="121" t="s">
        <v>63</v>
      </c>
      <c r="C7" s="84"/>
      <c r="D7" s="115" t="s">
        <v>90</v>
      </c>
      <c r="E7" s="84"/>
      <c r="F7" s="84"/>
      <c r="G7" s="83" t="s">
        <v>102</v>
      </c>
      <c r="H7" s="85"/>
      <c r="I7" s="86"/>
      <c r="J7" s="83"/>
      <c r="K7" s="126"/>
      <c r="L7" s="312"/>
      <c r="M7" s="312"/>
      <c r="N7" s="312"/>
      <c r="O7" s="86">
        <v>33421.01</v>
      </c>
      <c r="P7" s="313" t="s">
        <v>22</v>
      </c>
      <c r="Q7" s="124"/>
      <c r="R7" s="124"/>
    </row>
    <row r="8" spans="1:18" s="35" customFormat="1" x14ac:dyDescent="0.25">
      <c r="A8" s="314">
        <v>44092</v>
      </c>
      <c r="B8" s="115" t="s">
        <v>78</v>
      </c>
      <c r="C8" s="165"/>
      <c r="D8" s="116" t="s">
        <v>92</v>
      </c>
      <c r="E8" s="165"/>
      <c r="F8" s="166"/>
      <c r="G8" s="315" t="s">
        <v>77</v>
      </c>
      <c r="H8" s="316"/>
      <c r="I8" s="317"/>
      <c r="J8" s="318"/>
      <c r="K8" s="318"/>
      <c r="L8" s="318"/>
      <c r="M8" s="318"/>
      <c r="N8" s="318"/>
      <c r="O8" s="319">
        <v>108000</v>
      </c>
      <c r="P8" s="320"/>
      <c r="Q8" s="122"/>
      <c r="R8" s="122"/>
    </row>
    <row r="9" spans="1:18" s="44" customFormat="1" x14ac:dyDescent="0.25">
      <c r="A9" s="321">
        <v>44352</v>
      </c>
      <c r="B9" s="115" t="s">
        <v>107</v>
      </c>
      <c r="C9" s="129"/>
      <c r="D9" s="117" t="s">
        <v>90</v>
      </c>
      <c r="E9" s="130"/>
      <c r="F9" s="130">
        <v>1918</v>
      </c>
      <c r="G9" s="322">
        <v>4457</v>
      </c>
      <c r="H9" s="131"/>
      <c r="I9" s="191"/>
      <c r="J9" s="191"/>
      <c r="K9" s="191"/>
      <c r="L9" s="191"/>
      <c r="M9" s="191"/>
      <c r="N9" s="191"/>
      <c r="O9" s="323">
        <v>36289.599999999999</v>
      </c>
      <c r="P9" s="111"/>
      <c r="Q9" s="46"/>
      <c r="R9" s="46"/>
    </row>
    <row r="10" spans="1:18" s="44" customFormat="1" x14ac:dyDescent="0.25">
      <c r="A10" s="321">
        <v>44413</v>
      </c>
      <c r="B10" s="115" t="s">
        <v>107</v>
      </c>
      <c r="C10" s="129"/>
      <c r="D10" s="117" t="s">
        <v>90</v>
      </c>
      <c r="E10" s="130"/>
      <c r="F10" s="130"/>
      <c r="G10" s="322">
        <v>4457</v>
      </c>
      <c r="H10" s="131"/>
      <c r="I10" s="191"/>
      <c r="J10" s="191"/>
      <c r="K10" s="191"/>
      <c r="L10" s="191"/>
      <c r="M10" s="191"/>
      <c r="N10" s="191"/>
      <c r="O10" s="323">
        <v>176976.8</v>
      </c>
      <c r="P10" s="111"/>
      <c r="Q10" s="46"/>
      <c r="R10" s="46"/>
    </row>
    <row r="11" spans="1:18" s="44" customFormat="1" ht="15" customHeight="1" x14ac:dyDescent="0.25">
      <c r="A11" s="128">
        <v>44420</v>
      </c>
      <c r="B11" s="121" t="s">
        <v>108</v>
      </c>
      <c r="C11" s="129"/>
      <c r="D11" s="115" t="s">
        <v>90</v>
      </c>
      <c r="E11" s="130"/>
      <c r="F11" s="130"/>
      <c r="G11" s="111" t="s">
        <v>120</v>
      </c>
      <c r="H11" s="131"/>
      <c r="I11" s="191"/>
      <c r="J11" s="191"/>
      <c r="K11" s="191"/>
      <c r="L11" s="191"/>
      <c r="M11" s="191"/>
      <c r="N11" s="191"/>
      <c r="O11" s="191">
        <v>470000</v>
      </c>
      <c r="P11" s="111"/>
      <c r="Q11" s="46"/>
      <c r="R11" s="46" t="s">
        <v>121</v>
      </c>
    </row>
    <row r="12" spans="1:18" s="44" customFormat="1" ht="15" customHeight="1" x14ac:dyDescent="0.25">
      <c r="A12" s="128">
        <v>44474</v>
      </c>
      <c r="B12" s="121" t="s">
        <v>110</v>
      </c>
      <c r="C12" s="129"/>
      <c r="D12" s="115" t="s">
        <v>92</v>
      </c>
      <c r="E12" s="130"/>
      <c r="F12" s="324"/>
      <c r="G12" s="111" t="s">
        <v>111</v>
      </c>
      <c r="H12" s="131"/>
      <c r="I12" s="119"/>
      <c r="J12" s="119"/>
      <c r="K12" s="110"/>
      <c r="L12" s="110"/>
      <c r="M12" s="110"/>
      <c r="N12" s="110"/>
      <c r="O12" s="110">
        <v>125000</v>
      </c>
      <c r="P12" s="111" t="s">
        <v>22</v>
      </c>
      <c r="Q12" s="46"/>
      <c r="R12" s="93" t="s">
        <v>112</v>
      </c>
    </row>
    <row r="13" spans="1:18" s="133" customFormat="1" ht="15" customHeight="1" x14ac:dyDescent="0.25">
      <c r="A13" s="128">
        <v>44480</v>
      </c>
      <c r="B13" s="121" t="s">
        <v>43</v>
      </c>
      <c r="C13" s="129"/>
      <c r="D13" s="111" t="s">
        <v>90</v>
      </c>
      <c r="E13" s="130"/>
      <c r="F13" s="324">
        <v>2019</v>
      </c>
      <c r="G13" s="111" t="s">
        <v>132</v>
      </c>
      <c r="H13" s="131"/>
      <c r="I13" s="119"/>
      <c r="J13" s="119"/>
      <c r="K13" s="67"/>
      <c r="L13" s="67"/>
      <c r="M13" s="67"/>
      <c r="N13" s="67"/>
      <c r="O13" s="67">
        <v>147281.20000000001</v>
      </c>
      <c r="P13" s="111"/>
      <c r="Q13" s="117"/>
      <c r="R13" s="93" t="s">
        <v>133</v>
      </c>
    </row>
    <row r="14" spans="1:18" s="44" customFormat="1" ht="15" customHeight="1" x14ac:dyDescent="0.25">
      <c r="A14" s="128">
        <v>44589</v>
      </c>
      <c r="B14" s="121" t="s">
        <v>125</v>
      </c>
      <c r="C14" s="129"/>
      <c r="D14" s="115" t="s">
        <v>90</v>
      </c>
      <c r="E14" s="130"/>
      <c r="F14" s="130"/>
      <c r="G14" s="111">
        <v>4880</v>
      </c>
      <c r="H14" s="131"/>
      <c r="I14" s="119"/>
      <c r="J14" s="119"/>
      <c r="K14" s="119"/>
      <c r="L14" s="119"/>
      <c r="M14" s="119"/>
      <c r="N14" s="119"/>
      <c r="O14" s="119">
        <v>37000</v>
      </c>
      <c r="P14" s="119" t="s">
        <v>22</v>
      </c>
      <c r="Q14" s="46"/>
      <c r="R14" s="46" t="s">
        <v>126</v>
      </c>
    </row>
    <row r="15" spans="1:18" s="44" customFormat="1" ht="15" customHeight="1" x14ac:dyDescent="0.25">
      <c r="A15" s="128">
        <v>44607</v>
      </c>
      <c r="B15" s="121" t="s">
        <v>59</v>
      </c>
      <c r="C15" s="129"/>
      <c r="D15" s="115" t="s">
        <v>90</v>
      </c>
      <c r="E15" s="130" t="s">
        <v>135</v>
      </c>
      <c r="F15" s="130"/>
      <c r="G15" s="111" t="s">
        <v>131</v>
      </c>
      <c r="H15" s="131"/>
      <c r="I15" s="119"/>
      <c r="J15" s="119"/>
      <c r="K15" s="119"/>
      <c r="L15" s="119"/>
      <c r="M15" s="119"/>
      <c r="N15" s="119"/>
      <c r="O15" s="119">
        <v>16076.04</v>
      </c>
      <c r="P15" s="119" t="s">
        <v>22</v>
      </c>
      <c r="Q15" s="46"/>
      <c r="R15" s="93" t="s">
        <v>134</v>
      </c>
    </row>
    <row r="16" spans="1:18" s="44" customFormat="1" ht="15" customHeight="1" x14ac:dyDescent="0.25">
      <c r="A16" s="128">
        <v>44609</v>
      </c>
      <c r="B16" s="121" t="s">
        <v>59</v>
      </c>
      <c r="C16" s="129"/>
      <c r="D16" s="115" t="s">
        <v>90</v>
      </c>
      <c r="E16" s="130" t="s">
        <v>129</v>
      </c>
      <c r="F16" s="130"/>
      <c r="G16" s="111" t="s">
        <v>118</v>
      </c>
      <c r="H16" s="131"/>
      <c r="I16" s="119"/>
      <c r="J16" s="119"/>
      <c r="K16" s="119"/>
      <c r="L16" s="119"/>
      <c r="M16" s="119"/>
      <c r="N16" s="119"/>
      <c r="O16" s="119">
        <v>7186.99</v>
      </c>
      <c r="P16" s="119" t="s">
        <v>22</v>
      </c>
      <c r="Q16" s="46"/>
      <c r="R16" s="46" t="s">
        <v>130</v>
      </c>
    </row>
    <row r="17" spans="1:18" s="44" customFormat="1" ht="15" customHeight="1" x14ac:dyDescent="0.25">
      <c r="A17" s="128">
        <v>44614</v>
      </c>
      <c r="B17" s="121" t="s">
        <v>136</v>
      </c>
      <c r="C17" s="129"/>
      <c r="D17" s="115" t="s">
        <v>92</v>
      </c>
      <c r="E17" s="130"/>
      <c r="F17" s="130"/>
      <c r="G17" s="111" t="s">
        <v>376</v>
      </c>
      <c r="H17" s="131"/>
      <c r="I17" s="119"/>
      <c r="J17" s="119"/>
      <c r="K17" s="119"/>
      <c r="L17" s="119"/>
      <c r="M17" s="119"/>
      <c r="N17" s="119"/>
      <c r="O17" s="119">
        <v>526625</v>
      </c>
      <c r="P17" s="119"/>
      <c r="Q17" s="46"/>
      <c r="R17" s="46" t="s">
        <v>193</v>
      </c>
    </row>
    <row r="18" spans="1:18" s="44" customFormat="1" ht="15" customHeight="1" x14ac:dyDescent="0.25">
      <c r="A18" s="128">
        <v>44631</v>
      </c>
      <c r="B18" s="121" t="s">
        <v>136</v>
      </c>
      <c r="C18" s="129"/>
      <c r="D18" s="115" t="s">
        <v>92</v>
      </c>
      <c r="E18" s="130"/>
      <c r="F18" s="130"/>
      <c r="G18" s="111">
        <v>4943</v>
      </c>
      <c r="H18" s="131"/>
      <c r="I18" s="119"/>
      <c r="J18" s="119"/>
      <c r="K18" s="119"/>
      <c r="L18" s="119"/>
      <c r="M18" s="119"/>
      <c r="N18" s="119"/>
      <c r="O18" s="119">
        <v>5975</v>
      </c>
      <c r="P18" s="111"/>
      <c r="Q18" s="46"/>
      <c r="R18" s="46" t="s">
        <v>138</v>
      </c>
    </row>
    <row r="19" spans="1:18" s="44" customFormat="1" ht="15" customHeight="1" x14ac:dyDescent="0.25">
      <c r="A19" s="128">
        <v>44638</v>
      </c>
      <c r="B19" s="121" t="s">
        <v>136</v>
      </c>
      <c r="C19" s="129"/>
      <c r="D19" s="115" t="s">
        <v>92</v>
      </c>
      <c r="E19" s="130"/>
      <c r="F19" s="130"/>
      <c r="G19" s="111">
        <v>4953</v>
      </c>
      <c r="H19" s="131"/>
      <c r="I19" s="119"/>
      <c r="J19" s="119"/>
      <c r="K19" s="119"/>
      <c r="L19" s="119"/>
      <c r="M19" s="119"/>
      <c r="N19" s="119"/>
      <c r="O19" s="119">
        <v>4950</v>
      </c>
      <c r="P19" s="111"/>
      <c r="Q19" s="46"/>
      <c r="R19" s="46" t="s">
        <v>139</v>
      </c>
    </row>
    <row r="20" spans="1:18" s="44" customFormat="1" ht="15" customHeight="1" x14ac:dyDescent="0.25">
      <c r="A20" s="128">
        <v>44711</v>
      </c>
      <c r="B20" s="121" t="s">
        <v>153</v>
      </c>
      <c r="C20" s="129"/>
      <c r="D20" s="115" t="s">
        <v>92</v>
      </c>
      <c r="E20" s="130"/>
      <c r="F20" s="130"/>
      <c r="G20" s="111" t="s">
        <v>181</v>
      </c>
      <c r="H20" s="131"/>
      <c r="I20" s="119"/>
      <c r="J20" s="119"/>
      <c r="K20" s="119"/>
      <c r="L20" s="119"/>
      <c r="M20" s="119"/>
      <c r="N20" s="119"/>
      <c r="O20" s="119">
        <v>164667</v>
      </c>
      <c r="P20" s="110"/>
      <c r="Q20" s="46"/>
      <c r="R20" s="93" t="s">
        <v>182</v>
      </c>
    </row>
    <row r="21" spans="1:18" s="694" customFormat="1" ht="15" customHeight="1" x14ac:dyDescent="0.25">
      <c r="A21" s="684">
        <v>44714</v>
      </c>
      <c r="B21" s="685" t="s">
        <v>59</v>
      </c>
      <c r="C21" s="686"/>
      <c r="D21" s="687" t="s">
        <v>90</v>
      </c>
      <c r="E21" s="688"/>
      <c r="F21" s="688">
        <v>2062</v>
      </c>
      <c r="G21" s="689" t="s">
        <v>118</v>
      </c>
      <c r="H21" s="690"/>
      <c r="I21" s="691"/>
      <c r="J21" s="691"/>
      <c r="K21" s="691"/>
      <c r="L21" s="691"/>
      <c r="M21" s="691"/>
      <c r="N21" s="691"/>
      <c r="O21" s="691">
        <v>77456</v>
      </c>
      <c r="P21" s="691" t="s">
        <v>22</v>
      </c>
      <c r="Q21" s="692"/>
      <c r="R21" s="693" t="s">
        <v>142</v>
      </c>
    </row>
    <row r="22" spans="1:18" s="694" customFormat="1" ht="15" customHeight="1" x14ac:dyDescent="0.25">
      <c r="A22" s="684">
        <v>44714</v>
      </c>
      <c r="B22" s="685" t="s">
        <v>59</v>
      </c>
      <c r="C22" s="686"/>
      <c r="D22" s="687" t="s">
        <v>90</v>
      </c>
      <c r="E22" s="688" t="s">
        <v>143</v>
      </c>
      <c r="F22" s="688"/>
      <c r="G22" s="689" t="s">
        <v>118</v>
      </c>
      <c r="H22" s="690"/>
      <c r="I22" s="691"/>
      <c r="J22" s="691"/>
      <c r="K22" s="691"/>
      <c r="L22" s="691"/>
      <c r="M22" s="691"/>
      <c r="N22" s="691"/>
      <c r="O22" s="691">
        <v>72499.08</v>
      </c>
      <c r="P22" s="691" t="s">
        <v>22</v>
      </c>
      <c r="Q22" s="692"/>
      <c r="R22" s="693" t="s">
        <v>144</v>
      </c>
    </row>
    <row r="23" spans="1:18" s="694" customFormat="1" ht="15" customHeight="1" x14ac:dyDescent="0.25">
      <c r="A23" s="684">
        <v>44741</v>
      </c>
      <c r="B23" s="685" t="s">
        <v>59</v>
      </c>
      <c r="C23" s="686"/>
      <c r="D23" s="687" t="s">
        <v>90</v>
      </c>
      <c r="E23" s="688" t="s">
        <v>166</v>
      </c>
      <c r="F23" s="688"/>
      <c r="G23" s="689">
        <v>5098</v>
      </c>
      <c r="H23" s="690"/>
      <c r="I23" s="691"/>
      <c r="J23" s="691"/>
      <c r="K23" s="691"/>
      <c r="L23" s="691"/>
      <c r="M23" s="695"/>
      <c r="N23" s="695"/>
      <c r="O23" s="695">
        <v>510</v>
      </c>
      <c r="P23" s="695" t="s">
        <v>22</v>
      </c>
      <c r="Q23" s="692"/>
      <c r="R23" s="693" t="s">
        <v>167</v>
      </c>
    </row>
    <row r="24" spans="1:18" s="44" customFormat="1" ht="15" customHeight="1" x14ac:dyDescent="0.25">
      <c r="A24" s="128">
        <v>44768</v>
      </c>
      <c r="B24" s="121" t="s">
        <v>159</v>
      </c>
      <c r="C24" s="129"/>
      <c r="D24" s="115" t="s">
        <v>90</v>
      </c>
      <c r="E24" s="130"/>
      <c r="F24" s="130"/>
      <c r="G24" s="111" t="s">
        <v>151</v>
      </c>
      <c r="H24" s="131"/>
      <c r="I24" s="119"/>
      <c r="J24" s="119"/>
      <c r="K24" s="119"/>
      <c r="L24" s="119"/>
      <c r="M24" s="119"/>
      <c r="N24" s="119"/>
      <c r="O24" s="119">
        <v>1035500</v>
      </c>
      <c r="P24" s="119" t="s">
        <v>22</v>
      </c>
      <c r="Q24" s="46"/>
      <c r="R24" s="198" t="s">
        <v>199</v>
      </c>
    </row>
    <row r="25" spans="1:18" s="44" customFormat="1" ht="15" customHeight="1" x14ac:dyDescent="0.25">
      <c r="A25" s="128">
        <v>44786</v>
      </c>
      <c r="B25" s="121" t="s">
        <v>150</v>
      </c>
      <c r="C25" s="129"/>
      <c r="D25" s="115" t="s">
        <v>94</v>
      </c>
      <c r="E25" s="130"/>
      <c r="F25" s="130">
        <v>2136</v>
      </c>
      <c r="G25" s="111" t="s">
        <v>170</v>
      </c>
      <c r="H25" s="131"/>
      <c r="I25" s="119"/>
      <c r="J25" s="119"/>
      <c r="K25" s="119"/>
      <c r="L25" s="119"/>
      <c r="M25" s="110"/>
      <c r="N25" s="119"/>
      <c r="O25" s="119">
        <v>193400</v>
      </c>
      <c r="P25" s="111" t="s">
        <v>22</v>
      </c>
      <c r="Q25" s="46"/>
      <c r="R25" s="93" t="s">
        <v>171</v>
      </c>
    </row>
    <row r="26" spans="1:18" s="44" customFormat="1" ht="15" customHeight="1" x14ac:dyDescent="0.25">
      <c r="A26" s="128">
        <v>44824</v>
      </c>
      <c r="B26" s="121" t="s">
        <v>43</v>
      </c>
      <c r="C26" s="129"/>
      <c r="D26" s="115" t="s">
        <v>90</v>
      </c>
      <c r="E26" s="130"/>
      <c r="F26" s="130">
        <v>2162</v>
      </c>
      <c r="G26" s="111">
        <v>5218</v>
      </c>
      <c r="H26" s="131"/>
      <c r="I26" s="119"/>
      <c r="J26" s="119"/>
      <c r="K26" s="119"/>
      <c r="L26" s="110"/>
      <c r="M26" s="119"/>
      <c r="N26" s="119"/>
      <c r="O26" s="119">
        <v>54650</v>
      </c>
      <c r="P26" s="111"/>
      <c r="Q26" s="46"/>
      <c r="R26" s="93" t="s">
        <v>174</v>
      </c>
    </row>
    <row r="27" spans="1:18" s="44" customFormat="1" ht="15" customHeight="1" x14ac:dyDescent="0.25">
      <c r="A27" s="128">
        <v>44839</v>
      </c>
      <c r="B27" s="121" t="s">
        <v>43</v>
      </c>
      <c r="C27" s="129"/>
      <c r="D27" s="115" t="s">
        <v>90</v>
      </c>
      <c r="E27" s="130"/>
      <c r="F27" s="130">
        <v>2140</v>
      </c>
      <c r="G27" s="111">
        <v>5248</v>
      </c>
      <c r="H27" s="131"/>
      <c r="I27" s="119"/>
      <c r="J27" s="119"/>
      <c r="K27" s="119"/>
      <c r="L27" s="119"/>
      <c r="M27" s="119"/>
      <c r="N27" s="119"/>
      <c r="O27" s="119">
        <v>25000</v>
      </c>
      <c r="P27" s="111"/>
      <c r="Q27" s="46"/>
      <c r="R27" s="93" t="s">
        <v>160</v>
      </c>
    </row>
    <row r="28" spans="1:18" s="694" customFormat="1" ht="15" customHeight="1" x14ac:dyDescent="0.25">
      <c r="A28" s="684">
        <v>44855</v>
      </c>
      <c r="B28" s="685" t="s">
        <v>59</v>
      </c>
      <c r="C28" s="686"/>
      <c r="D28" s="687" t="s">
        <v>90</v>
      </c>
      <c r="E28" s="688" t="s">
        <v>164</v>
      </c>
      <c r="F28" s="688"/>
      <c r="G28" s="689" t="s">
        <v>118</v>
      </c>
      <c r="H28" s="690"/>
      <c r="I28" s="691"/>
      <c r="J28" s="691"/>
      <c r="K28" s="691"/>
      <c r="L28" s="691"/>
      <c r="M28" s="691"/>
      <c r="N28" s="691"/>
      <c r="O28" s="691">
        <v>6650</v>
      </c>
      <c r="P28" s="691" t="s">
        <v>22</v>
      </c>
      <c r="Q28" s="692"/>
      <c r="R28" s="693" t="s">
        <v>165</v>
      </c>
    </row>
    <row r="29" spans="1:18" s="694" customFormat="1" ht="15" customHeight="1" x14ac:dyDescent="0.25">
      <c r="A29" s="684">
        <v>44855</v>
      </c>
      <c r="B29" s="685" t="s">
        <v>59</v>
      </c>
      <c r="C29" s="686"/>
      <c r="D29" s="687" t="s">
        <v>90</v>
      </c>
      <c r="E29" s="688" t="s">
        <v>168</v>
      </c>
      <c r="F29" s="688"/>
      <c r="G29" s="689" t="s">
        <v>118</v>
      </c>
      <c r="H29" s="690"/>
      <c r="I29" s="691"/>
      <c r="J29" s="691"/>
      <c r="K29" s="691"/>
      <c r="L29" s="691"/>
      <c r="M29" s="691"/>
      <c r="N29" s="691"/>
      <c r="O29" s="691">
        <v>3000</v>
      </c>
      <c r="P29" s="691" t="s">
        <v>22</v>
      </c>
      <c r="Q29" s="692"/>
      <c r="R29" s="693" t="s">
        <v>169</v>
      </c>
    </row>
    <row r="30" spans="1:18" s="694" customFormat="1" ht="15" customHeight="1" x14ac:dyDescent="0.25">
      <c r="A30" s="684">
        <v>44916</v>
      </c>
      <c r="B30" s="685" t="s">
        <v>59</v>
      </c>
      <c r="C30" s="686"/>
      <c r="D30" s="687" t="s">
        <v>90</v>
      </c>
      <c r="E30" s="688"/>
      <c r="F30" s="688">
        <v>2176</v>
      </c>
      <c r="G30" s="689" t="s">
        <v>118</v>
      </c>
      <c r="H30" s="690"/>
      <c r="I30" s="691"/>
      <c r="J30" s="691"/>
      <c r="K30" s="691"/>
      <c r="L30" s="691"/>
      <c r="M30" s="691"/>
      <c r="N30" s="695"/>
      <c r="O30" s="691">
        <v>186146</v>
      </c>
      <c r="P30" s="689"/>
      <c r="Q30" s="692"/>
      <c r="R30" s="693" t="s">
        <v>179</v>
      </c>
    </row>
    <row r="31" spans="1:18" s="203" customFormat="1" ht="15" customHeight="1" x14ac:dyDescent="0.25">
      <c r="A31" s="134">
        <v>44954</v>
      </c>
      <c r="B31" s="135" t="s">
        <v>145</v>
      </c>
      <c r="C31" s="136"/>
      <c r="D31" s="137" t="s">
        <v>92</v>
      </c>
      <c r="E31" s="138" t="s">
        <v>260</v>
      </c>
      <c r="F31" s="138"/>
      <c r="G31" s="139" t="s">
        <v>262</v>
      </c>
      <c r="H31" s="199"/>
      <c r="I31" s="200"/>
      <c r="J31" s="200"/>
      <c r="K31" s="200"/>
      <c r="L31" s="200"/>
      <c r="M31" s="200"/>
      <c r="N31" s="200"/>
      <c r="O31" s="200">
        <v>666000</v>
      </c>
      <c r="P31" s="200"/>
      <c r="Q31" s="201"/>
      <c r="R31" s="100" t="s">
        <v>264</v>
      </c>
    </row>
    <row r="32" spans="1:18" s="203" customFormat="1" ht="15" customHeight="1" x14ac:dyDescent="0.25">
      <c r="A32" s="134">
        <v>44954</v>
      </c>
      <c r="B32" s="135" t="s">
        <v>145</v>
      </c>
      <c r="C32" s="136"/>
      <c r="D32" s="137" t="s">
        <v>92</v>
      </c>
      <c r="E32" s="138" t="s">
        <v>261</v>
      </c>
      <c r="F32" s="138"/>
      <c r="G32" s="139" t="s">
        <v>263</v>
      </c>
      <c r="H32" s="199"/>
      <c r="I32" s="200"/>
      <c r="J32" s="200"/>
      <c r="K32" s="200"/>
      <c r="L32" s="200"/>
      <c r="M32" s="200"/>
      <c r="N32" s="200"/>
      <c r="O32" s="200">
        <v>657658.5</v>
      </c>
      <c r="P32" s="200"/>
      <c r="Q32" s="201"/>
      <c r="R32" s="100" t="s">
        <v>265</v>
      </c>
    </row>
    <row r="33" spans="1:18" s="44" customFormat="1" ht="15" customHeight="1" x14ac:dyDescent="0.25">
      <c r="A33" s="128">
        <v>44977</v>
      </c>
      <c r="B33" s="121" t="s">
        <v>110</v>
      </c>
      <c r="C33" s="129"/>
      <c r="D33" s="111" t="s">
        <v>92</v>
      </c>
      <c r="E33" s="130"/>
      <c r="F33" s="130"/>
      <c r="G33" s="111">
        <v>5407</v>
      </c>
      <c r="H33" s="131"/>
      <c r="I33" s="119"/>
      <c r="J33" s="119"/>
      <c r="K33" s="119"/>
      <c r="L33" s="119"/>
      <c r="M33" s="119"/>
      <c r="N33" s="110"/>
      <c r="O33" s="119">
        <v>89500</v>
      </c>
      <c r="P33" s="111"/>
      <c r="Q33" s="46"/>
      <c r="R33" s="93" t="s">
        <v>185</v>
      </c>
    </row>
    <row r="34" spans="1:18" s="44" customFormat="1" ht="15" customHeight="1" x14ac:dyDescent="0.25">
      <c r="A34" s="128" t="s">
        <v>190</v>
      </c>
      <c r="B34" s="121" t="s">
        <v>191</v>
      </c>
      <c r="C34" s="129"/>
      <c r="D34" s="115" t="s">
        <v>92</v>
      </c>
      <c r="E34" s="130"/>
      <c r="F34" s="130"/>
      <c r="G34" s="111" t="s">
        <v>118</v>
      </c>
      <c r="H34" s="131"/>
      <c r="I34" s="119"/>
      <c r="J34" s="119"/>
      <c r="K34" s="119"/>
      <c r="L34" s="119"/>
      <c r="M34" s="119"/>
      <c r="N34" s="119"/>
      <c r="O34" s="119">
        <v>67000</v>
      </c>
      <c r="P34" s="119" t="s">
        <v>22</v>
      </c>
      <c r="Q34" s="46"/>
      <c r="R34" s="93"/>
    </row>
    <row r="35" spans="1:18" s="44" customFormat="1" ht="15" customHeight="1" x14ac:dyDescent="0.25">
      <c r="A35" s="128">
        <v>45014</v>
      </c>
      <c r="B35" s="121" t="s">
        <v>43</v>
      </c>
      <c r="C35" s="129"/>
      <c r="D35" s="111" t="s">
        <v>90</v>
      </c>
      <c r="E35" s="130"/>
      <c r="F35" s="130"/>
      <c r="G35" s="111">
        <v>5760</v>
      </c>
      <c r="H35" s="131"/>
      <c r="I35" s="110"/>
      <c r="J35" s="119"/>
      <c r="K35" s="119"/>
      <c r="L35" s="110"/>
      <c r="M35" s="110"/>
      <c r="N35" s="110"/>
      <c r="O35" s="110">
        <v>51025</v>
      </c>
      <c r="P35" s="111"/>
      <c r="Q35" s="46"/>
      <c r="R35" s="93" t="s">
        <v>248</v>
      </c>
    </row>
    <row r="36" spans="1:18" s="203" customFormat="1" ht="15.75" customHeight="1" x14ac:dyDescent="0.25">
      <c r="A36" s="134">
        <v>45017</v>
      </c>
      <c r="B36" s="135" t="s">
        <v>145</v>
      </c>
      <c r="C36" s="136"/>
      <c r="D36" s="137" t="s">
        <v>92</v>
      </c>
      <c r="E36" s="138"/>
      <c r="F36" s="138"/>
      <c r="G36" s="139">
        <v>5460</v>
      </c>
      <c r="H36" s="199" t="s">
        <v>257</v>
      </c>
      <c r="I36" s="200"/>
      <c r="J36" s="200"/>
      <c r="K36" s="200"/>
      <c r="L36" s="200"/>
      <c r="M36" s="200"/>
      <c r="N36" s="200"/>
      <c r="O36" s="696">
        <v>413995.98</v>
      </c>
      <c r="P36" s="139"/>
      <c r="Q36" s="201"/>
      <c r="R36" s="100" t="s">
        <v>276</v>
      </c>
    </row>
    <row r="37" spans="1:18" s="203" customFormat="1" ht="15" customHeight="1" x14ac:dyDescent="0.25">
      <c r="A37" s="134">
        <v>45147</v>
      </c>
      <c r="B37" s="135" t="s">
        <v>205</v>
      </c>
      <c r="C37" s="136"/>
      <c r="D37" s="137" t="s">
        <v>92</v>
      </c>
      <c r="E37" s="138"/>
      <c r="F37" s="138"/>
      <c r="G37" s="139">
        <v>5568</v>
      </c>
      <c r="H37" s="199"/>
      <c r="I37" s="202"/>
      <c r="J37" s="202"/>
      <c r="K37" s="202"/>
      <c r="L37" s="202"/>
      <c r="M37" s="202"/>
      <c r="N37" s="202"/>
      <c r="O37" s="202">
        <v>10000</v>
      </c>
      <c r="P37" s="200" t="s">
        <v>210</v>
      </c>
      <c r="Q37" s="201"/>
      <c r="R37" s="100" t="s">
        <v>206</v>
      </c>
    </row>
    <row r="38" spans="1:18" s="44" customFormat="1" ht="15" customHeight="1" x14ac:dyDescent="0.25">
      <c r="A38" s="128">
        <v>45158</v>
      </c>
      <c r="B38" s="121" t="s">
        <v>43</v>
      </c>
      <c r="C38" s="129"/>
      <c r="D38" s="111" t="s">
        <v>90</v>
      </c>
      <c r="E38" s="130"/>
      <c r="F38" s="130">
        <v>2357</v>
      </c>
      <c r="G38" s="111">
        <v>5587</v>
      </c>
      <c r="H38" s="131"/>
      <c r="I38" s="110"/>
      <c r="J38" s="110"/>
      <c r="K38" s="110"/>
      <c r="L38" s="110"/>
      <c r="M38" s="110"/>
      <c r="N38" s="110"/>
      <c r="O38" s="110">
        <v>419745</v>
      </c>
      <c r="P38" s="111"/>
      <c r="Q38" s="46"/>
      <c r="R38" s="93" t="s">
        <v>352</v>
      </c>
    </row>
    <row r="39" spans="1:18" s="203" customFormat="1" ht="15" customHeight="1" x14ac:dyDescent="0.25">
      <c r="A39" s="134">
        <v>45181</v>
      </c>
      <c r="B39" s="135" t="s">
        <v>145</v>
      </c>
      <c r="C39" s="136"/>
      <c r="D39" s="137" t="s">
        <v>90</v>
      </c>
      <c r="E39" s="138" t="s">
        <v>277</v>
      </c>
      <c r="F39" s="138"/>
      <c r="G39" s="139">
        <v>5606</v>
      </c>
      <c r="H39" s="199"/>
      <c r="I39" s="202"/>
      <c r="J39" s="202"/>
      <c r="K39" s="202"/>
      <c r="L39" s="202"/>
      <c r="M39" s="202"/>
      <c r="N39" s="202"/>
      <c r="O39" s="202">
        <v>676930.8</v>
      </c>
      <c r="P39" s="139"/>
      <c r="Q39" s="201"/>
      <c r="R39" s="100" t="s">
        <v>278</v>
      </c>
    </row>
    <row r="40" spans="1:18" s="44" customFormat="1" ht="15" customHeight="1" x14ac:dyDescent="0.25">
      <c r="A40" s="128">
        <v>45195</v>
      </c>
      <c r="B40" s="121" t="s">
        <v>271</v>
      </c>
      <c r="C40" s="129"/>
      <c r="D40" s="115" t="s">
        <v>92</v>
      </c>
      <c r="E40" s="130"/>
      <c r="F40" s="130"/>
      <c r="G40" s="111" t="s">
        <v>272</v>
      </c>
      <c r="H40" s="131"/>
      <c r="I40" s="110"/>
      <c r="J40" s="110"/>
      <c r="K40" s="110"/>
      <c r="L40" s="110"/>
      <c r="M40" s="110"/>
      <c r="N40" s="110"/>
      <c r="O40" s="110">
        <v>2339.29</v>
      </c>
      <c r="P40" s="111" t="s">
        <v>22</v>
      </c>
      <c r="Q40" s="46"/>
      <c r="R40" s="111" t="s">
        <v>273</v>
      </c>
    </row>
    <row r="41" spans="1:18" s="44" customFormat="1" ht="15" customHeight="1" x14ac:dyDescent="0.25">
      <c r="A41" s="128">
        <v>45223</v>
      </c>
      <c r="B41" s="121" t="s">
        <v>115</v>
      </c>
      <c r="C41" s="129"/>
      <c r="D41" s="111" t="s">
        <v>90</v>
      </c>
      <c r="E41" s="130"/>
      <c r="F41" s="130"/>
      <c r="G41" s="111">
        <v>5641</v>
      </c>
      <c r="H41" s="131"/>
      <c r="I41" s="110"/>
      <c r="J41" s="110"/>
      <c r="K41" s="110"/>
      <c r="L41" s="110"/>
      <c r="M41" s="110"/>
      <c r="N41" s="110"/>
      <c r="O41" s="110">
        <v>445000</v>
      </c>
      <c r="P41" s="111"/>
      <c r="Q41" s="46"/>
      <c r="R41" s="93" t="s">
        <v>266</v>
      </c>
    </row>
    <row r="42" spans="1:18" s="44" customFormat="1" ht="15" customHeight="1" x14ac:dyDescent="0.25">
      <c r="A42" s="128">
        <v>45310</v>
      </c>
      <c r="B42" s="207" t="s">
        <v>109</v>
      </c>
      <c r="C42" s="129"/>
      <c r="D42" s="111" t="s">
        <v>90</v>
      </c>
      <c r="E42" s="130"/>
      <c r="F42" s="130"/>
      <c r="G42" s="111" t="s">
        <v>327</v>
      </c>
      <c r="H42" s="131"/>
      <c r="I42" s="110"/>
      <c r="J42" s="110"/>
      <c r="K42" s="110"/>
      <c r="L42" s="110"/>
      <c r="M42" s="110"/>
      <c r="N42" s="110"/>
      <c r="O42" s="110">
        <v>16550</v>
      </c>
      <c r="P42" s="111" t="s">
        <v>22</v>
      </c>
      <c r="Q42" s="46"/>
      <c r="R42" s="93" t="s">
        <v>328</v>
      </c>
    </row>
    <row r="43" spans="1:18" s="203" customFormat="1" ht="15" customHeight="1" x14ac:dyDescent="0.25">
      <c r="A43" s="134">
        <v>45313</v>
      </c>
      <c r="B43" s="697" t="s">
        <v>37</v>
      </c>
      <c r="C43" s="136"/>
      <c r="D43" s="139" t="s">
        <v>90</v>
      </c>
      <c r="E43" s="138" t="s">
        <v>233</v>
      </c>
      <c r="F43" s="138"/>
      <c r="G43" s="139">
        <v>5714</v>
      </c>
      <c r="H43" s="199"/>
      <c r="I43" s="202"/>
      <c r="J43" s="202"/>
      <c r="K43" s="202"/>
      <c r="L43" s="202"/>
      <c r="M43" s="202"/>
      <c r="N43" s="202"/>
      <c r="O43" s="202">
        <v>150000</v>
      </c>
      <c r="P43" s="139"/>
      <c r="Q43" s="201"/>
      <c r="R43" s="100" t="s">
        <v>234</v>
      </c>
    </row>
    <row r="44" spans="1:18" s="44" customFormat="1" ht="15" customHeight="1" x14ac:dyDescent="0.25">
      <c r="A44" s="128">
        <v>45313</v>
      </c>
      <c r="B44" s="121" t="s">
        <v>230</v>
      </c>
      <c r="C44" s="129"/>
      <c r="D44" s="121" t="s">
        <v>92</v>
      </c>
      <c r="E44" s="130"/>
      <c r="F44" s="130"/>
      <c r="G44" s="111">
        <v>5715</v>
      </c>
      <c r="H44" s="131"/>
      <c r="I44" s="110"/>
      <c r="J44" s="110"/>
      <c r="K44" s="110"/>
      <c r="L44" s="110"/>
      <c r="M44" s="110"/>
      <c r="N44" s="110"/>
      <c r="O44" s="110">
        <v>78</v>
      </c>
      <c r="P44" s="110" t="s">
        <v>255</v>
      </c>
      <c r="Q44" s="46"/>
      <c r="R44" s="93" t="s">
        <v>231</v>
      </c>
    </row>
    <row r="45" spans="1:18" s="44" customFormat="1" ht="15" customHeight="1" x14ac:dyDescent="0.25">
      <c r="A45" s="128">
        <v>45342</v>
      </c>
      <c r="B45" s="207" t="s">
        <v>237</v>
      </c>
      <c r="C45" s="129"/>
      <c r="D45" s="111" t="s">
        <v>90</v>
      </c>
      <c r="E45" s="111"/>
      <c r="F45" s="130">
        <v>2358</v>
      </c>
      <c r="G45" s="111">
        <v>5739</v>
      </c>
      <c r="H45" s="131"/>
      <c r="I45" s="110"/>
      <c r="J45" s="110"/>
      <c r="K45" s="110"/>
      <c r="L45" s="110"/>
      <c r="M45" s="110"/>
      <c r="N45" s="110"/>
      <c r="O45" s="110">
        <v>318000</v>
      </c>
      <c r="P45" s="110"/>
      <c r="Q45" s="46"/>
      <c r="R45" s="93" t="s">
        <v>348</v>
      </c>
    </row>
    <row r="46" spans="1:18" s="694" customFormat="1" ht="15" customHeight="1" x14ac:dyDescent="0.25">
      <c r="A46" s="684">
        <v>45343</v>
      </c>
      <c r="B46" s="685" t="s">
        <v>59</v>
      </c>
      <c r="C46" s="686"/>
      <c r="D46" s="685" t="s">
        <v>90</v>
      </c>
      <c r="E46" s="688" t="s">
        <v>238</v>
      </c>
      <c r="F46" s="688"/>
      <c r="G46" s="689" t="s">
        <v>118</v>
      </c>
      <c r="H46" s="690"/>
      <c r="I46" s="695"/>
      <c r="J46" s="695"/>
      <c r="K46" s="695"/>
      <c r="L46" s="695"/>
      <c r="M46" s="695"/>
      <c r="N46" s="695"/>
      <c r="O46" s="695">
        <v>22500</v>
      </c>
      <c r="P46" s="691" t="s">
        <v>22</v>
      </c>
      <c r="Q46" s="692"/>
      <c r="R46" s="693" t="s">
        <v>239</v>
      </c>
    </row>
    <row r="47" spans="1:18" s="44" customFormat="1" ht="15" customHeight="1" x14ac:dyDescent="0.25">
      <c r="A47" s="128">
        <v>45344</v>
      </c>
      <c r="B47" s="207" t="s">
        <v>217</v>
      </c>
      <c r="C47" s="129"/>
      <c r="D47" s="111" t="s">
        <v>90</v>
      </c>
      <c r="E47" s="130"/>
      <c r="F47" s="130">
        <v>2315</v>
      </c>
      <c r="G47" s="111">
        <v>5740</v>
      </c>
      <c r="H47" s="131"/>
      <c r="I47" s="110"/>
      <c r="J47" s="110"/>
      <c r="K47" s="110"/>
      <c r="L47" s="110"/>
      <c r="M47" s="110"/>
      <c r="N47" s="110"/>
      <c r="O47" s="110">
        <v>189330</v>
      </c>
      <c r="P47" s="119"/>
      <c r="Q47" s="46"/>
      <c r="R47" s="93" t="s">
        <v>316</v>
      </c>
    </row>
    <row r="48" spans="1:18" s="44" customFormat="1" ht="15" customHeight="1" x14ac:dyDescent="0.25">
      <c r="A48" s="128">
        <v>45353</v>
      </c>
      <c r="B48" s="207" t="s">
        <v>241</v>
      </c>
      <c r="C48" s="129"/>
      <c r="D48" s="111" t="s">
        <v>90</v>
      </c>
      <c r="E48" s="130"/>
      <c r="F48" s="130"/>
      <c r="G48" s="130" t="s">
        <v>346</v>
      </c>
      <c r="H48" s="131"/>
      <c r="I48" s="110"/>
      <c r="J48" s="110"/>
      <c r="K48" s="110"/>
      <c r="L48" s="110"/>
      <c r="M48" s="110"/>
      <c r="N48" s="110"/>
      <c r="O48" s="110">
        <v>142953</v>
      </c>
      <c r="P48" s="119" t="s">
        <v>22</v>
      </c>
      <c r="Q48" s="46"/>
      <c r="R48" s="93" t="s">
        <v>347</v>
      </c>
    </row>
    <row r="49" spans="1:18" s="44" customFormat="1" ht="15" customHeight="1" x14ac:dyDescent="0.25">
      <c r="A49" s="128">
        <v>45371</v>
      </c>
      <c r="B49" s="121" t="s">
        <v>250</v>
      </c>
      <c r="C49" s="129"/>
      <c r="D49" s="111" t="s">
        <v>221</v>
      </c>
      <c r="E49" s="130"/>
      <c r="F49" s="130"/>
      <c r="G49" s="111">
        <v>5769</v>
      </c>
      <c r="H49" s="131"/>
      <c r="I49" s="110"/>
      <c r="J49" s="110"/>
      <c r="K49" s="110"/>
      <c r="L49" s="110"/>
      <c r="M49" s="110"/>
      <c r="N49" s="110"/>
      <c r="O49" s="110">
        <v>250</v>
      </c>
      <c r="P49" s="119" t="s">
        <v>22</v>
      </c>
      <c r="Q49" s="46"/>
      <c r="R49" s="93" t="s">
        <v>251</v>
      </c>
    </row>
    <row r="50" spans="1:18" s="203" customFormat="1" ht="15" customHeight="1" x14ac:dyDescent="0.25">
      <c r="A50" s="134">
        <v>45386</v>
      </c>
      <c r="B50" s="135" t="s">
        <v>145</v>
      </c>
      <c r="C50" s="136"/>
      <c r="D50" s="139" t="s">
        <v>90</v>
      </c>
      <c r="E50" s="138"/>
      <c r="F50" s="138"/>
      <c r="G50" s="139">
        <v>5776</v>
      </c>
      <c r="H50" s="199"/>
      <c r="I50" s="202"/>
      <c r="J50" s="202"/>
      <c r="K50" s="202"/>
      <c r="L50" s="202"/>
      <c r="M50" s="202"/>
      <c r="N50" s="202"/>
      <c r="O50" s="202">
        <v>455997.92</v>
      </c>
      <c r="P50" s="200" t="s">
        <v>22</v>
      </c>
      <c r="Q50" s="201"/>
      <c r="R50" s="100" t="s">
        <v>256</v>
      </c>
    </row>
    <row r="51" spans="1:18" s="44" customFormat="1" ht="15" customHeight="1" x14ac:dyDescent="0.25">
      <c r="A51" s="128">
        <v>45399</v>
      </c>
      <c r="B51" s="121" t="s">
        <v>43</v>
      </c>
      <c r="C51" s="129"/>
      <c r="D51" s="111" t="s">
        <v>90</v>
      </c>
      <c r="E51" s="130"/>
      <c r="F51" s="130">
        <v>2356</v>
      </c>
      <c r="G51" s="111" t="s">
        <v>258</v>
      </c>
      <c r="H51" s="131"/>
      <c r="I51" s="110"/>
      <c r="J51" s="110"/>
      <c r="K51" s="110"/>
      <c r="L51" s="110"/>
      <c r="M51" s="110"/>
      <c r="N51" s="110"/>
      <c r="O51" s="110">
        <v>217025</v>
      </c>
      <c r="P51" s="111"/>
      <c r="Q51" s="46"/>
      <c r="R51" s="93" t="s">
        <v>351</v>
      </c>
    </row>
    <row r="52" spans="1:18" s="44" customFormat="1" ht="15" customHeight="1" x14ac:dyDescent="0.25">
      <c r="A52" s="128">
        <v>45458</v>
      </c>
      <c r="B52" s="121" t="s">
        <v>43</v>
      </c>
      <c r="C52" s="129"/>
      <c r="D52" s="111" t="s">
        <v>90</v>
      </c>
      <c r="E52" s="130"/>
      <c r="F52" s="130">
        <v>2355</v>
      </c>
      <c r="G52" s="111" t="s">
        <v>290</v>
      </c>
      <c r="H52" s="131"/>
      <c r="I52" s="110"/>
      <c r="J52" s="110"/>
      <c r="K52" s="110"/>
      <c r="L52" s="110"/>
      <c r="M52" s="110">
        <v>206450</v>
      </c>
      <c r="N52" s="110"/>
      <c r="O52" s="111"/>
      <c r="P52" s="111"/>
      <c r="Q52" s="46"/>
      <c r="R52" s="46" t="s">
        <v>350</v>
      </c>
    </row>
    <row r="53" spans="1:18" s="44" customFormat="1" ht="15" customHeight="1" x14ac:dyDescent="0.25">
      <c r="A53" s="128">
        <v>45489</v>
      </c>
      <c r="B53" s="216" t="s">
        <v>285</v>
      </c>
      <c r="C53" s="129"/>
      <c r="D53" s="111" t="s">
        <v>221</v>
      </c>
      <c r="E53" s="130"/>
      <c r="F53" s="130">
        <v>2291</v>
      </c>
      <c r="G53" s="111">
        <v>5831</v>
      </c>
      <c r="H53" s="131"/>
      <c r="I53" s="110"/>
      <c r="J53" s="119"/>
      <c r="K53" s="119"/>
      <c r="L53" s="119">
        <v>81500</v>
      </c>
      <c r="M53" s="110"/>
      <c r="N53" s="110"/>
      <c r="O53" s="111"/>
      <c r="P53" s="111"/>
      <c r="Q53" s="46"/>
      <c r="R53" s="46" t="s">
        <v>64</v>
      </c>
    </row>
    <row r="54" spans="1:18" s="44" customFormat="1" ht="15" customHeight="1" x14ac:dyDescent="0.25">
      <c r="A54" s="128">
        <v>45489</v>
      </c>
      <c r="B54" s="216" t="s">
        <v>285</v>
      </c>
      <c r="C54" s="129"/>
      <c r="D54" s="111" t="s">
        <v>221</v>
      </c>
      <c r="E54" s="130"/>
      <c r="F54" s="130">
        <v>2292</v>
      </c>
      <c r="G54" s="111">
        <v>5832</v>
      </c>
      <c r="H54" s="131"/>
      <c r="I54" s="110"/>
      <c r="J54" s="110"/>
      <c r="K54" s="110"/>
      <c r="L54" s="110">
        <v>351500</v>
      </c>
      <c r="M54" s="110"/>
      <c r="N54" s="110"/>
      <c r="O54" s="111"/>
      <c r="P54" s="111"/>
      <c r="Q54" s="46"/>
      <c r="R54" s="46" t="s">
        <v>286</v>
      </c>
    </row>
    <row r="55" spans="1:18" s="44" customFormat="1" ht="15" customHeight="1" x14ac:dyDescent="0.25">
      <c r="A55" s="128">
        <v>45492</v>
      </c>
      <c r="B55" s="121" t="s">
        <v>270</v>
      </c>
      <c r="C55" s="129"/>
      <c r="D55" s="111" t="s">
        <v>90</v>
      </c>
      <c r="E55" s="130"/>
      <c r="F55" s="130">
        <v>2296</v>
      </c>
      <c r="G55" s="111">
        <v>5841</v>
      </c>
      <c r="H55" s="131"/>
      <c r="I55" s="110"/>
      <c r="J55" s="110"/>
      <c r="K55" s="110"/>
      <c r="L55" s="110">
        <v>108900</v>
      </c>
      <c r="M55" s="110"/>
      <c r="N55" s="110"/>
      <c r="O55" s="111"/>
      <c r="P55" s="111"/>
      <c r="Q55" s="46"/>
      <c r="R55" s="46" t="s">
        <v>294</v>
      </c>
    </row>
    <row r="56" spans="1:18" s="44" customFormat="1" ht="15" customHeight="1" x14ac:dyDescent="0.25">
      <c r="A56" s="128">
        <v>45500</v>
      </c>
      <c r="B56" s="121" t="s">
        <v>288</v>
      </c>
      <c r="C56" s="129"/>
      <c r="D56" s="111" t="s">
        <v>92</v>
      </c>
      <c r="E56" s="130"/>
      <c r="F56" s="130"/>
      <c r="G56" s="111">
        <v>5848</v>
      </c>
      <c r="H56" s="131"/>
      <c r="I56" s="110"/>
      <c r="J56" s="110"/>
      <c r="K56" s="110"/>
      <c r="L56" s="110">
        <v>150000</v>
      </c>
      <c r="M56" s="110"/>
      <c r="N56" s="110"/>
      <c r="O56" s="111"/>
      <c r="P56" s="111"/>
      <c r="Q56" s="46"/>
      <c r="R56" s="46" t="s">
        <v>289</v>
      </c>
    </row>
    <row r="57" spans="1:18" s="44" customFormat="1" ht="15" customHeight="1" x14ac:dyDescent="0.25">
      <c r="A57" s="128">
        <v>45505</v>
      </c>
      <c r="B57" s="121" t="s">
        <v>270</v>
      </c>
      <c r="C57" s="129"/>
      <c r="D57" s="111" t="s">
        <v>90</v>
      </c>
      <c r="E57" s="130"/>
      <c r="F57" s="130">
        <v>2298</v>
      </c>
      <c r="G57" s="111" t="s">
        <v>295</v>
      </c>
      <c r="H57" s="131"/>
      <c r="I57" s="110"/>
      <c r="J57" s="110"/>
      <c r="K57" s="110">
        <v>475000</v>
      </c>
      <c r="L57" s="110"/>
      <c r="M57" s="110"/>
      <c r="N57" s="110"/>
      <c r="O57" s="111"/>
      <c r="P57" s="111"/>
      <c r="Q57" s="46"/>
      <c r="R57" s="46" t="s">
        <v>296</v>
      </c>
    </row>
    <row r="58" spans="1:18" s="44" customFormat="1" ht="15" customHeight="1" x14ac:dyDescent="0.25">
      <c r="A58" s="128">
        <v>45512</v>
      </c>
      <c r="B58" s="121" t="s">
        <v>299</v>
      </c>
      <c r="C58" s="129"/>
      <c r="D58" s="111" t="s">
        <v>91</v>
      </c>
      <c r="E58" s="130"/>
      <c r="F58" s="130">
        <v>2299</v>
      </c>
      <c r="G58" s="111">
        <v>5855</v>
      </c>
      <c r="H58" s="131"/>
      <c r="I58" s="110"/>
      <c r="J58" s="110"/>
      <c r="K58" s="110">
        <v>399800</v>
      </c>
      <c r="L58" s="110"/>
      <c r="M58" s="110"/>
      <c r="N58" s="110"/>
      <c r="O58" s="111"/>
      <c r="P58" s="111"/>
      <c r="Q58" s="46"/>
      <c r="R58" s="46" t="s">
        <v>300</v>
      </c>
    </row>
    <row r="59" spans="1:18" s="44" customFormat="1" ht="15" customHeight="1" x14ac:dyDescent="0.25">
      <c r="A59" s="128">
        <v>45528</v>
      </c>
      <c r="B59" s="121" t="s">
        <v>321</v>
      </c>
      <c r="C59" s="129"/>
      <c r="D59" s="111" t="s">
        <v>90</v>
      </c>
      <c r="E59" s="130"/>
      <c r="F59" s="130">
        <v>2309</v>
      </c>
      <c r="G59" s="111">
        <v>5901</v>
      </c>
      <c r="H59" s="131"/>
      <c r="I59" s="110"/>
      <c r="J59" s="119"/>
      <c r="K59" s="119">
        <v>120970</v>
      </c>
      <c r="L59" s="119" t="s">
        <v>323</v>
      </c>
      <c r="M59" s="110"/>
      <c r="N59" s="110"/>
      <c r="O59" s="111"/>
      <c r="P59" s="111"/>
      <c r="Q59" s="46"/>
      <c r="R59" s="46" t="s">
        <v>322</v>
      </c>
    </row>
    <row r="60" spans="1:18" s="44" customFormat="1" ht="15" customHeight="1" x14ac:dyDescent="0.25">
      <c r="A60" s="128">
        <v>45533</v>
      </c>
      <c r="B60" s="121" t="s">
        <v>61</v>
      </c>
      <c r="C60" s="129"/>
      <c r="D60" s="111" t="s">
        <v>90</v>
      </c>
      <c r="E60" s="130"/>
      <c r="F60" s="130">
        <v>2307</v>
      </c>
      <c r="G60" s="111">
        <v>5873</v>
      </c>
      <c r="H60" s="131"/>
      <c r="I60" s="110"/>
      <c r="J60" s="110"/>
      <c r="K60" s="110">
        <v>135105</v>
      </c>
      <c r="L60" s="110"/>
      <c r="M60" s="110"/>
      <c r="N60" s="110"/>
      <c r="O60" s="111"/>
      <c r="P60" s="111"/>
      <c r="Q60" s="46"/>
      <c r="R60" s="46" t="s">
        <v>305</v>
      </c>
    </row>
    <row r="61" spans="1:18" s="44" customFormat="1" ht="15" customHeight="1" x14ac:dyDescent="0.25">
      <c r="A61" s="128">
        <v>45544</v>
      </c>
      <c r="B61" s="121" t="s">
        <v>217</v>
      </c>
      <c r="C61" s="129"/>
      <c r="D61" s="111" t="s">
        <v>90</v>
      </c>
      <c r="E61" s="130"/>
      <c r="F61" s="130">
        <v>2316</v>
      </c>
      <c r="G61" s="111">
        <v>5882</v>
      </c>
      <c r="H61" s="131"/>
      <c r="I61" s="110"/>
      <c r="J61" s="110">
        <v>458000</v>
      </c>
      <c r="K61" s="119"/>
      <c r="L61" s="110"/>
      <c r="M61" s="110"/>
      <c r="N61" s="110"/>
      <c r="O61" s="111"/>
      <c r="P61" s="111"/>
      <c r="Q61" s="46"/>
      <c r="R61" s="46" t="s">
        <v>317</v>
      </c>
    </row>
    <row r="62" spans="1:18" s="44" customFormat="1" ht="15" customHeight="1" x14ac:dyDescent="0.25">
      <c r="A62" s="128">
        <v>45551</v>
      </c>
      <c r="B62" s="121" t="s">
        <v>287</v>
      </c>
      <c r="C62" s="129"/>
      <c r="D62" s="111" t="s">
        <v>259</v>
      </c>
      <c r="E62" s="130" t="s">
        <v>319</v>
      </c>
      <c r="F62" s="130"/>
      <c r="G62" s="111" t="s">
        <v>118</v>
      </c>
      <c r="H62" s="131"/>
      <c r="I62" s="110"/>
      <c r="J62" s="110">
        <v>132518.39999999999</v>
      </c>
      <c r="K62" s="119"/>
      <c r="L62" s="110"/>
      <c r="M62" s="110"/>
      <c r="N62" s="110"/>
      <c r="O62" s="111"/>
      <c r="P62" s="111"/>
      <c r="Q62" s="46"/>
      <c r="R62" s="46" t="s">
        <v>320</v>
      </c>
    </row>
    <row r="63" spans="1:18" s="44" customFormat="1" ht="15" customHeight="1" x14ac:dyDescent="0.25">
      <c r="A63" s="128">
        <v>45583</v>
      </c>
      <c r="B63" s="121" t="s">
        <v>318</v>
      </c>
      <c r="C63" s="129"/>
      <c r="D63" s="111" t="s">
        <v>221</v>
      </c>
      <c r="E63" s="130"/>
      <c r="F63" s="130">
        <v>2352</v>
      </c>
      <c r="G63" s="111">
        <v>5897</v>
      </c>
      <c r="H63" s="131"/>
      <c r="I63" s="110">
        <v>610000</v>
      </c>
      <c r="J63" s="119"/>
      <c r="K63" s="119"/>
      <c r="L63" s="110"/>
      <c r="M63" s="110"/>
      <c r="N63" s="110"/>
      <c r="O63" s="111"/>
      <c r="P63" s="111"/>
      <c r="Q63" s="46"/>
      <c r="R63" s="46" t="s">
        <v>332</v>
      </c>
    </row>
    <row r="64" spans="1:18" s="44" customFormat="1" ht="15" customHeight="1" x14ac:dyDescent="0.25">
      <c r="A64" s="128">
        <v>45588</v>
      </c>
      <c r="B64" s="121" t="s">
        <v>334</v>
      </c>
      <c r="C64" s="129"/>
      <c r="D64" s="111" t="s">
        <v>282</v>
      </c>
      <c r="E64" s="130"/>
      <c r="F64" s="130"/>
      <c r="G64" s="111">
        <v>5908</v>
      </c>
      <c r="H64" s="131"/>
      <c r="I64" s="110">
        <v>138000</v>
      </c>
      <c r="J64" s="119"/>
      <c r="K64" s="119"/>
      <c r="L64" s="110"/>
      <c r="M64" s="110"/>
      <c r="N64" s="110"/>
      <c r="O64" s="111"/>
      <c r="P64" s="111"/>
      <c r="Q64" s="46"/>
      <c r="R64" s="46" t="s">
        <v>335</v>
      </c>
    </row>
    <row r="65" spans="1:18" s="44" customFormat="1" ht="15" customHeight="1" x14ac:dyDescent="0.25">
      <c r="A65" s="128">
        <v>45580</v>
      </c>
      <c r="B65" s="121" t="s">
        <v>338</v>
      </c>
      <c r="C65" s="129"/>
      <c r="D65" s="111" t="s">
        <v>92</v>
      </c>
      <c r="E65" s="130"/>
      <c r="F65" s="130"/>
      <c r="G65" s="111">
        <v>5966</v>
      </c>
      <c r="H65" s="131"/>
      <c r="I65" s="110">
        <v>167083</v>
      </c>
      <c r="J65" s="119"/>
      <c r="K65" s="119"/>
      <c r="L65" s="110"/>
      <c r="M65" s="110"/>
      <c r="N65" s="110"/>
      <c r="O65" s="111"/>
      <c r="P65" s="111"/>
      <c r="Q65" s="46"/>
      <c r="R65" s="46" t="s">
        <v>340</v>
      </c>
    </row>
    <row r="66" spans="1:18" s="44" customFormat="1" ht="15" customHeight="1" x14ac:dyDescent="0.25">
      <c r="A66" s="128">
        <v>45580</v>
      </c>
      <c r="B66" s="121" t="s">
        <v>338</v>
      </c>
      <c r="C66" s="129"/>
      <c r="D66" s="111" t="s">
        <v>92</v>
      </c>
      <c r="E66" s="130"/>
      <c r="F66" s="130">
        <v>2362</v>
      </c>
      <c r="G66" s="111">
        <v>5967</v>
      </c>
      <c r="H66" s="131"/>
      <c r="I66" s="110">
        <v>112640</v>
      </c>
      <c r="J66" s="119"/>
      <c r="K66" s="119"/>
      <c r="L66" s="110"/>
      <c r="M66" s="110"/>
      <c r="N66" s="110"/>
      <c r="O66" s="111"/>
      <c r="P66" s="111"/>
      <c r="Q66" s="46"/>
      <c r="R66" s="46" t="s">
        <v>339</v>
      </c>
    </row>
    <row r="67" spans="1:18" s="44" customFormat="1" ht="15" customHeight="1" x14ac:dyDescent="0.25">
      <c r="A67" s="128">
        <v>45593</v>
      </c>
      <c r="B67" s="121" t="s">
        <v>281</v>
      </c>
      <c r="C67" s="129"/>
      <c r="D67" s="111" t="s">
        <v>282</v>
      </c>
      <c r="E67" s="130"/>
      <c r="F67" s="130" t="s">
        <v>366</v>
      </c>
      <c r="G67" s="111" t="s">
        <v>360</v>
      </c>
      <c r="H67" s="131"/>
      <c r="I67" s="110">
        <v>705100.29</v>
      </c>
      <c r="J67" s="119"/>
      <c r="K67" s="119"/>
      <c r="L67" s="110"/>
      <c r="M67" s="110"/>
      <c r="N67" s="110"/>
      <c r="O67" s="111"/>
      <c r="P67" s="111"/>
      <c r="Q67" s="46"/>
      <c r="R67" s="93" t="s">
        <v>367</v>
      </c>
    </row>
    <row r="68" spans="1:18" s="44" customFormat="1" ht="15" customHeight="1" x14ac:dyDescent="0.25">
      <c r="A68" s="128">
        <v>45600</v>
      </c>
      <c r="B68" s="121" t="s">
        <v>287</v>
      </c>
      <c r="C68" s="129"/>
      <c r="D68" s="111" t="s">
        <v>259</v>
      </c>
      <c r="E68" s="130" t="s">
        <v>341</v>
      </c>
      <c r="F68" s="130"/>
      <c r="G68" s="111" t="s">
        <v>118</v>
      </c>
      <c r="H68" s="131"/>
      <c r="I68" s="110">
        <v>83204.800000000003</v>
      </c>
      <c r="J68" s="119"/>
      <c r="K68" s="119"/>
      <c r="L68" s="110"/>
      <c r="M68" s="110"/>
      <c r="N68" s="110"/>
      <c r="O68" s="111"/>
      <c r="P68" s="111"/>
      <c r="Q68" s="46"/>
      <c r="R68" s="46" t="s">
        <v>343</v>
      </c>
    </row>
    <row r="69" spans="1:18" s="44" customFormat="1" ht="15" customHeight="1" x14ac:dyDescent="0.25">
      <c r="A69" s="128">
        <v>45600</v>
      </c>
      <c r="B69" s="121" t="s">
        <v>287</v>
      </c>
      <c r="C69" s="129"/>
      <c r="D69" s="111" t="s">
        <v>259</v>
      </c>
      <c r="E69" s="130" t="s">
        <v>342</v>
      </c>
      <c r="F69" s="130"/>
      <c r="G69" s="111" t="s">
        <v>118</v>
      </c>
      <c r="H69" s="131"/>
      <c r="I69" s="110">
        <v>15680</v>
      </c>
      <c r="J69" s="119"/>
      <c r="K69" s="119"/>
      <c r="L69" s="110"/>
      <c r="M69" s="110"/>
      <c r="N69" s="110"/>
      <c r="O69" s="111"/>
      <c r="P69" s="111"/>
      <c r="Q69" s="46"/>
      <c r="R69" s="46" t="s">
        <v>343</v>
      </c>
    </row>
    <row r="70" spans="1:18" s="203" customFormat="1" ht="15" customHeight="1" x14ac:dyDescent="0.25">
      <c r="A70" s="134">
        <v>45601</v>
      </c>
      <c r="B70" s="135" t="s">
        <v>145</v>
      </c>
      <c r="C70" s="136"/>
      <c r="D70" s="139" t="s">
        <v>90</v>
      </c>
      <c r="E70" s="138"/>
      <c r="F70" s="138"/>
      <c r="G70" s="139">
        <v>5920</v>
      </c>
      <c r="H70" s="199"/>
      <c r="I70" s="202">
        <v>320000</v>
      </c>
      <c r="J70" s="200" t="s">
        <v>354</v>
      </c>
      <c r="K70" s="200"/>
      <c r="L70" s="202"/>
      <c r="M70" s="202"/>
      <c r="N70" s="202"/>
      <c r="O70" s="139"/>
      <c r="P70" s="139"/>
      <c r="Q70" s="201"/>
      <c r="R70" s="201" t="s">
        <v>355</v>
      </c>
    </row>
    <row r="71" spans="1:18" s="44" customFormat="1" ht="15" customHeight="1" x14ac:dyDescent="0.25">
      <c r="A71" s="128">
        <v>45602</v>
      </c>
      <c r="B71" s="121" t="s">
        <v>321</v>
      </c>
      <c r="C71" s="129"/>
      <c r="D71" s="111" t="s">
        <v>90</v>
      </c>
      <c r="E71" s="130"/>
      <c r="F71" s="130">
        <v>2332</v>
      </c>
      <c r="G71" s="111">
        <v>5922</v>
      </c>
      <c r="H71" s="131"/>
      <c r="I71" s="110">
        <v>3353500</v>
      </c>
      <c r="J71" s="119"/>
      <c r="K71" s="119"/>
      <c r="L71" s="110"/>
      <c r="M71" s="110"/>
      <c r="N71" s="110"/>
      <c r="O71" s="111"/>
      <c r="P71" s="111"/>
      <c r="Q71" s="46"/>
      <c r="R71" s="46" t="s">
        <v>368</v>
      </c>
    </row>
    <row r="72" spans="1:18" s="44" customFormat="1" ht="15" customHeight="1" x14ac:dyDescent="0.25">
      <c r="A72" s="128">
        <v>45607</v>
      </c>
      <c r="B72" s="121" t="s">
        <v>287</v>
      </c>
      <c r="C72" s="129"/>
      <c r="D72" s="111" t="s">
        <v>259</v>
      </c>
      <c r="E72" s="130" t="s">
        <v>357</v>
      </c>
      <c r="F72" s="130"/>
      <c r="G72" s="111" t="s">
        <v>118</v>
      </c>
      <c r="H72" s="131"/>
      <c r="I72" s="110">
        <v>47040</v>
      </c>
      <c r="J72" s="119"/>
      <c r="K72" s="119"/>
      <c r="L72" s="110"/>
      <c r="M72" s="110"/>
      <c r="N72" s="110"/>
      <c r="O72" s="111"/>
      <c r="P72" s="111"/>
      <c r="Q72" s="46"/>
      <c r="R72" s="46" t="s">
        <v>358</v>
      </c>
    </row>
    <row r="73" spans="1:18" s="44" customFormat="1" ht="15" customHeight="1" x14ac:dyDescent="0.25">
      <c r="A73" s="128">
        <v>45611</v>
      </c>
      <c r="B73" s="121" t="s">
        <v>287</v>
      </c>
      <c r="C73" s="129"/>
      <c r="D73" s="111" t="s">
        <v>259</v>
      </c>
      <c r="E73" s="130" t="s">
        <v>369</v>
      </c>
      <c r="F73" s="130"/>
      <c r="G73" s="111" t="s">
        <v>118</v>
      </c>
      <c r="H73" s="131"/>
      <c r="I73" s="110">
        <v>71680</v>
      </c>
      <c r="J73" s="119"/>
      <c r="K73" s="119"/>
      <c r="L73" s="110"/>
      <c r="M73" s="110"/>
      <c r="N73" s="110"/>
      <c r="O73" s="111"/>
      <c r="P73" s="111"/>
      <c r="Q73" s="46"/>
      <c r="R73" s="46" t="s">
        <v>370</v>
      </c>
    </row>
    <row r="74" spans="1:18" s="44" customFormat="1" ht="15" customHeight="1" x14ac:dyDescent="0.25">
      <c r="A74" s="128">
        <v>45616</v>
      </c>
      <c r="B74" s="121" t="s">
        <v>270</v>
      </c>
      <c r="C74" s="129"/>
      <c r="D74" s="111" t="s">
        <v>90</v>
      </c>
      <c r="E74" s="130"/>
      <c r="F74" s="130">
        <v>2334</v>
      </c>
      <c r="G74" s="111" t="s">
        <v>373</v>
      </c>
      <c r="H74" s="131"/>
      <c r="I74" s="110">
        <v>113500</v>
      </c>
      <c r="J74" s="119"/>
      <c r="K74" s="119"/>
      <c r="L74" s="110"/>
      <c r="M74" s="110"/>
      <c r="N74" s="110"/>
      <c r="O74" s="111"/>
      <c r="P74" s="111"/>
      <c r="Q74" s="46"/>
      <c r="R74" s="46" t="s">
        <v>374</v>
      </c>
    </row>
    <row r="75" spans="1:18" s="44" customFormat="1" ht="15" customHeight="1" x14ac:dyDescent="0.25">
      <c r="A75" s="128">
        <v>45621</v>
      </c>
      <c r="B75" s="121" t="s">
        <v>287</v>
      </c>
      <c r="C75" s="129"/>
      <c r="D75" s="111" t="s">
        <v>259</v>
      </c>
      <c r="E75" s="130" t="s">
        <v>403</v>
      </c>
      <c r="F75" s="130"/>
      <c r="G75" s="111"/>
      <c r="H75" s="131"/>
      <c r="I75" s="110">
        <v>71680</v>
      </c>
      <c r="J75" s="119"/>
      <c r="K75" s="119"/>
      <c r="L75" s="110"/>
      <c r="M75" s="110"/>
      <c r="N75" s="110"/>
      <c r="O75" s="111"/>
      <c r="P75" s="111"/>
      <c r="Q75" s="46"/>
      <c r="R75" s="46" t="s">
        <v>404</v>
      </c>
    </row>
    <row r="76" spans="1:18" s="44" customFormat="1" ht="15" customHeight="1" x14ac:dyDescent="0.25">
      <c r="A76" s="128">
        <v>45621</v>
      </c>
      <c r="B76" s="121" t="s">
        <v>287</v>
      </c>
      <c r="C76" s="129"/>
      <c r="D76" s="111" t="s">
        <v>259</v>
      </c>
      <c r="E76" s="130" t="s">
        <v>405</v>
      </c>
      <c r="F76" s="130"/>
      <c r="G76" s="111"/>
      <c r="H76" s="131"/>
      <c r="I76" s="110">
        <v>9856</v>
      </c>
      <c r="J76" s="119"/>
      <c r="K76" s="119"/>
      <c r="L76" s="110"/>
      <c r="M76" s="110"/>
      <c r="N76" s="110"/>
      <c r="O76" s="111"/>
      <c r="P76" s="111"/>
      <c r="Q76" s="46"/>
      <c r="R76" s="46" t="s">
        <v>406</v>
      </c>
    </row>
    <row r="77" spans="1:18" s="44" customFormat="1" ht="12.75" customHeight="1" x14ac:dyDescent="0.25">
      <c r="A77" s="128">
        <v>45628</v>
      </c>
      <c r="B77" s="121" t="s">
        <v>409</v>
      </c>
      <c r="C77" s="129"/>
      <c r="D77" s="111" t="s">
        <v>90</v>
      </c>
      <c r="E77" s="130"/>
      <c r="F77" s="130">
        <v>2366</v>
      </c>
      <c r="G77" s="111">
        <v>5985</v>
      </c>
      <c r="H77" s="131"/>
      <c r="I77" s="110"/>
      <c r="J77" s="110"/>
      <c r="K77" s="110">
        <v>86500</v>
      </c>
      <c r="L77" s="110"/>
      <c r="M77" s="110"/>
      <c r="N77" s="110"/>
      <c r="O77" s="111"/>
      <c r="P77" s="111"/>
      <c r="Q77" s="46"/>
      <c r="R77" s="46" t="s">
        <v>410</v>
      </c>
    </row>
    <row r="78" spans="1:18" s="44" customFormat="1" ht="18.75" customHeight="1" x14ac:dyDescent="0.25">
      <c r="A78" s="128">
        <v>45630</v>
      </c>
      <c r="B78" s="121" t="s">
        <v>411</v>
      </c>
      <c r="C78" s="129"/>
      <c r="D78" s="111" t="s">
        <v>92</v>
      </c>
      <c r="E78" s="130"/>
      <c r="F78" s="130"/>
      <c r="G78" s="111">
        <v>5939</v>
      </c>
      <c r="H78" s="131"/>
      <c r="I78" s="110"/>
      <c r="J78" s="110"/>
      <c r="K78" s="110">
        <v>597900</v>
      </c>
      <c r="L78" s="110"/>
      <c r="M78" s="110"/>
      <c r="N78" s="110"/>
      <c r="O78" s="111"/>
      <c r="P78" s="111"/>
      <c r="Q78" s="46"/>
      <c r="R78" s="46" t="s">
        <v>399</v>
      </c>
    </row>
    <row r="79" spans="1:18" s="44" customFormat="1" ht="15.75" customHeight="1" x14ac:dyDescent="0.25">
      <c r="A79" s="128">
        <v>45631</v>
      </c>
      <c r="B79" s="121" t="s">
        <v>413</v>
      </c>
      <c r="C79" s="129"/>
      <c r="D79" s="111" t="s">
        <v>92</v>
      </c>
      <c r="E79" s="130"/>
      <c r="F79" s="130"/>
      <c r="G79" s="111" t="s">
        <v>414</v>
      </c>
      <c r="H79" s="131"/>
      <c r="I79" s="110"/>
      <c r="J79" s="110"/>
      <c r="K79" s="110">
        <v>111775</v>
      </c>
      <c r="L79" s="110"/>
      <c r="M79" s="110"/>
      <c r="N79" s="110"/>
      <c r="O79" s="111"/>
      <c r="P79" s="111"/>
      <c r="Q79" s="46"/>
      <c r="R79" s="46" t="s">
        <v>420</v>
      </c>
    </row>
    <row r="80" spans="1:18" s="44" customFormat="1" ht="19.5" customHeight="1" x14ac:dyDescent="0.25">
      <c r="A80" s="128">
        <v>45631</v>
      </c>
      <c r="B80" s="121" t="s">
        <v>413</v>
      </c>
      <c r="C80" s="129"/>
      <c r="D80" s="111" t="s">
        <v>92</v>
      </c>
      <c r="E80" s="130"/>
      <c r="F80" s="130"/>
      <c r="G80" s="111" t="s">
        <v>415</v>
      </c>
      <c r="H80" s="131"/>
      <c r="I80" s="110"/>
      <c r="J80" s="110"/>
      <c r="K80" s="110">
        <v>304275</v>
      </c>
      <c r="L80" s="110"/>
      <c r="M80" s="110"/>
      <c r="N80" s="110"/>
      <c r="O80" s="111"/>
      <c r="P80" s="111"/>
      <c r="Q80" s="46"/>
      <c r="R80" s="46"/>
    </row>
    <row r="81" spans="1:18" s="44" customFormat="1" ht="24.95" customHeight="1" x14ac:dyDescent="0.25">
      <c r="A81" s="128">
        <v>45631</v>
      </c>
      <c r="B81" s="121" t="s">
        <v>301</v>
      </c>
      <c r="C81" s="129"/>
      <c r="D81" s="111" t="s">
        <v>90</v>
      </c>
      <c r="E81" s="130"/>
      <c r="F81" s="130"/>
      <c r="G81" s="111" t="s">
        <v>416</v>
      </c>
      <c r="H81" s="131"/>
      <c r="I81" s="110"/>
      <c r="J81" s="110"/>
      <c r="K81" s="110">
        <v>948500</v>
      </c>
      <c r="L81" s="110"/>
      <c r="M81" s="110"/>
      <c r="N81" s="110"/>
      <c r="O81" s="111"/>
      <c r="P81" s="111"/>
      <c r="Q81" s="46"/>
      <c r="R81" s="46"/>
    </row>
    <row r="82" spans="1:18" s="92" customFormat="1" x14ac:dyDescent="0.25">
      <c r="A82" s="88"/>
      <c r="B82" s="212" t="s">
        <v>7</v>
      </c>
      <c r="C82" s="84"/>
      <c r="D82" s="115" t="s">
        <v>140</v>
      </c>
      <c r="E82" s="84"/>
      <c r="F82" s="84"/>
      <c r="G82" s="111"/>
      <c r="H82" s="89"/>
      <c r="I82" s="90">
        <f>SUM(I23:I76)</f>
        <v>5818964.0899999999</v>
      </c>
      <c r="J82" s="91">
        <f>SUM(J61:J69)</f>
        <v>590518.4</v>
      </c>
      <c r="K82" s="91">
        <f>SUM(K46:K69)</f>
        <v>1130875</v>
      </c>
      <c r="L82" s="208">
        <f>SUM(L53:L69)</f>
        <v>691900</v>
      </c>
      <c r="M82" s="91">
        <f>SUM(M50:M60)</f>
        <v>206450</v>
      </c>
      <c r="N82" s="91">
        <f>SUM(N49:N62)</f>
        <v>0</v>
      </c>
      <c r="O82" s="91">
        <f>SUM(O7:O69)</f>
        <v>8526138.2100000009</v>
      </c>
      <c r="P82" s="94"/>
      <c r="Q82" s="325">
        <f>I82+J82+K82+L82+M82+N82+O82</f>
        <v>16964845.700000003</v>
      </c>
      <c r="R82" s="120"/>
    </row>
    <row r="83" spans="1:18" x14ac:dyDescent="0.25">
      <c r="A83" s="326" t="s">
        <v>64</v>
      </c>
      <c r="F83" s="194" t="s">
        <v>64</v>
      </c>
      <c r="H83" s="210"/>
    </row>
    <row r="84" spans="1:18" x14ac:dyDescent="0.25">
      <c r="H84" s="210"/>
    </row>
    <row r="85" spans="1:18" x14ac:dyDescent="0.25">
      <c r="E85" s="192" t="s">
        <v>324</v>
      </c>
      <c r="O85" s="48"/>
    </row>
    <row r="86" spans="1:18" x14ac:dyDescent="0.25">
      <c r="F86" s="194" t="s">
        <v>64</v>
      </c>
      <c r="O86" s="48"/>
    </row>
    <row r="87" spans="1:18" x14ac:dyDescent="0.25">
      <c r="G87" s="192"/>
      <c r="H87" s="192"/>
      <c r="I87" s="192"/>
      <c r="J87" s="192" t="s">
        <v>64</v>
      </c>
      <c r="K87" s="192"/>
      <c r="O87" s="48"/>
      <c r="P87" s="192"/>
    </row>
    <row r="88" spans="1:18" x14ac:dyDescent="0.25">
      <c r="O88" s="48"/>
      <c r="Q88" s="48"/>
    </row>
    <row r="89" spans="1:18" x14ac:dyDescent="0.25">
      <c r="O89" s="48"/>
    </row>
    <row r="90" spans="1:18" x14ac:dyDescent="0.25">
      <c r="O90" s="48"/>
    </row>
    <row r="91" spans="1:18" x14ac:dyDescent="0.25">
      <c r="O91" s="48"/>
    </row>
    <row r="92" spans="1:18" x14ac:dyDescent="0.25">
      <c r="O92" s="48"/>
    </row>
    <row r="93" spans="1:18" x14ac:dyDescent="0.25">
      <c r="O93" s="48"/>
    </row>
    <row r="94" spans="1:18" x14ac:dyDescent="0.25">
      <c r="O94" s="48"/>
    </row>
    <row r="95" spans="1:18" x14ac:dyDescent="0.25">
      <c r="O95" s="48"/>
    </row>
    <row r="96" spans="1:18" x14ac:dyDescent="0.25">
      <c r="O96" s="214"/>
    </row>
    <row r="97" spans="15:15" x14ac:dyDescent="0.25">
      <c r="O97" s="328"/>
    </row>
    <row r="98" spans="15:15" x14ac:dyDescent="0.25">
      <c r="O98" s="329"/>
    </row>
    <row r="99" spans="15:15" x14ac:dyDescent="0.25">
      <c r="O99" s="328"/>
    </row>
    <row r="100" spans="15:15" x14ac:dyDescent="0.25">
      <c r="O100" s="329"/>
    </row>
  </sheetData>
  <pageMargins left="0.70866141732283472" right="0.70866141732283472" top="0.74803149606299213" bottom="0.74803149606299213" header="0.31496062992125984" footer="0.31496062992125984"/>
  <pageSetup paperSize="9" scale="40" fitToWidth="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8"/>
  <sheetViews>
    <sheetView topLeftCell="A55" workbookViewId="0">
      <selection activeCell="A53" sqref="A53:XFD57"/>
    </sheetView>
  </sheetViews>
  <sheetFormatPr defaultColWidth="19.42578125" defaultRowHeight="24.95" customHeight="1" x14ac:dyDescent="0.35"/>
  <cols>
    <col min="1" max="1" width="19" style="354" customWidth="1"/>
    <col min="2" max="2" width="47.85546875" style="368" customWidth="1"/>
    <col min="3" max="3" width="15.5703125" style="330" customWidth="1"/>
    <col min="4" max="4" width="14.7109375" style="500" customWidth="1"/>
    <col min="5" max="5" width="11.140625" style="330" customWidth="1"/>
    <col min="6" max="6" width="8.85546875" style="336" customWidth="1"/>
    <col min="7" max="7" width="14.140625" style="501" customWidth="1"/>
    <col min="8" max="8" width="12.28515625" style="505" customWidth="1"/>
    <col min="9" max="9" width="12.7109375" style="503" customWidth="1"/>
    <col min="10" max="10" width="21.42578125" style="339" customWidth="1"/>
    <col min="11" max="11" width="22" style="339" customWidth="1"/>
    <col min="12" max="12" width="17.85546875" style="339" customWidth="1"/>
    <col min="13" max="13" width="19.5703125" style="339" customWidth="1"/>
    <col min="14" max="14" width="10.140625" style="339" customWidth="1"/>
    <col min="15" max="15" width="21.7109375" style="330" bestFit="1" customWidth="1"/>
    <col min="16" max="16" width="10.85546875" style="504" customWidth="1"/>
    <col min="17" max="17" width="19.5703125" style="330" bestFit="1" customWidth="1"/>
    <col min="18" max="16384" width="19.42578125" style="330"/>
  </cols>
  <sheetData>
    <row r="1" spans="1:18" ht="24.95" customHeight="1" x14ac:dyDescent="0.35">
      <c r="A1" s="379" t="s">
        <v>8</v>
      </c>
      <c r="B1" s="380"/>
      <c r="C1" s="381"/>
      <c r="D1" s="382"/>
      <c r="E1" s="381"/>
      <c r="F1" s="381"/>
      <c r="G1" s="383"/>
      <c r="H1" s="384"/>
      <c r="I1" s="385"/>
      <c r="J1" s="386"/>
      <c r="K1" s="386"/>
      <c r="L1" s="386"/>
      <c r="M1" s="386"/>
      <c r="N1" s="386"/>
      <c r="O1" s="387"/>
      <c r="P1" s="388"/>
    </row>
    <row r="2" spans="1:18" ht="24.95" customHeight="1" x14ac:dyDescent="0.35">
      <c r="A2" s="389" t="s">
        <v>9</v>
      </c>
      <c r="B2" s="390"/>
      <c r="C2" s="391"/>
      <c r="D2" s="392"/>
      <c r="E2" s="391"/>
      <c r="F2" s="391"/>
      <c r="G2" s="393"/>
      <c r="H2" s="394"/>
      <c r="I2" s="395"/>
      <c r="J2" s="396"/>
      <c r="K2" s="396"/>
      <c r="L2" s="396"/>
      <c r="M2" s="396"/>
      <c r="N2" s="396"/>
      <c r="O2" s="397"/>
      <c r="P2" s="398"/>
    </row>
    <row r="3" spans="1:18" ht="24.95" customHeight="1" x14ac:dyDescent="0.35">
      <c r="A3" s="389" t="s">
        <v>10</v>
      </c>
      <c r="B3" s="390"/>
      <c r="C3" s="391"/>
      <c r="D3" s="392"/>
      <c r="E3" s="391"/>
      <c r="F3" s="391"/>
      <c r="G3" s="393"/>
      <c r="H3" s="394"/>
      <c r="I3" s="399"/>
      <c r="J3" s="400"/>
      <c r="K3" s="400"/>
      <c r="L3" s="400"/>
      <c r="M3" s="400"/>
      <c r="N3" s="400"/>
      <c r="O3" s="401"/>
      <c r="P3" s="402"/>
    </row>
    <row r="4" spans="1:18" ht="24.95" customHeight="1" x14ac:dyDescent="0.35">
      <c r="A4" s="389" t="s">
        <v>427</v>
      </c>
      <c r="B4" s="390"/>
      <c r="C4" s="391"/>
      <c r="D4" s="392"/>
      <c r="E4" s="391"/>
      <c r="F4" s="391"/>
      <c r="G4" s="393"/>
      <c r="H4" s="394"/>
      <c r="I4" s="399"/>
      <c r="J4" s="400"/>
      <c r="K4" s="400"/>
      <c r="L4" s="400"/>
      <c r="M4" s="400"/>
      <c r="N4" s="400"/>
      <c r="O4" s="401"/>
      <c r="P4" s="402"/>
    </row>
    <row r="5" spans="1:18" ht="24.95" customHeight="1" x14ac:dyDescent="0.35">
      <c r="A5" s="403"/>
      <c r="B5" s="390"/>
      <c r="C5" s="391"/>
      <c r="D5" s="392"/>
      <c r="E5" s="391"/>
      <c r="F5" s="391"/>
      <c r="G5" s="393"/>
      <c r="H5" s="404"/>
      <c r="I5" s="405"/>
      <c r="J5" s="406"/>
      <c r="K5" s="406"/>
      <c r="L5" s="406"/>
      <c r="M5" s="406"/>
      <c r="N5" s="406"/>
      <c r="O5" s="406"/>
      <c r="P5" s="407"/>
    </row>
    <row r="6" spans="1:18" ht="24.95" customHeight="1" x14ac:dyDescent="0.35">
      <c r="A6" s="408" t="s">
        <v>0</v>
      </c>
      <c r="B6" s="409" t="s">
        <v>1</v>
      </c>
      <c r="C6" s="410" t="s">
        <v>2</v>
      </c>
      <c r="D6" s="411" t="s">
        <v>89</v>
      </c>
      <c r="E6" s="410" t="s">
        <v>76</v>
      </c>
      <c r="F6" s="410" t="s">
        <v>3</v>
      </c>
      <c r="G6" s="412" t="s">
        <v>4</v>
      </c>
      <c r="H6" s="413"/>
      <c r="I6" s="414" t="s">
        <v>69</v>
      </c>
      <c r="J6" s="415" t="s">
        <v>70</v>
      </c>
      <c r="K6" s="415" t="s">
        <v>71</v>
      </c>
      <c r="L6" s="415" t="s">
        <v>72</v>
      </c>
      <c r="M6" s="415" t="s">
        <v>75</v>
      </c>
      <c r="N6" s="415" t="s">
        <v>73</v>
      </c>
      <c r="O6" s="415" t="s">
        <v>74</v>
      </c>
      <c r="P6" s="416"/>
      <c r="Q6" s="417" t="s">
        <v>7</v>
      </c>
      <c r="R6" s="418" t="s">
        <v>6</v>
      </c>
    </row>
    <row r="7" spans="1:18" ht="24.95" customHeight="1" x14ac:dyDescent="0.35">
      <c r="A7" s="419">
        <v>43878</v>
      </c>
      <c r="B7" s="420" t="s">
        <v>63</v>
      </c>
      <c r="C7" s="421"/>
      <c r="D7" s="422" t="s">
        <v>90</v>
      </c>
      <c r="E7" s="421"/>
      <c r="F7" s="421"/>
      <c r="G7" s="423" t="s">
        <v>102</v>
      </c>
      <c r="H7" s="424"/>
      <c r="I7" s="425"/>
      <c r="J7" s="423"/>
      <c r="K7" s="426"/>
      <c r="L7" s="427"/>
      <c r="M7" s="427"/>
      <c r="N7" s="427"/>
      <c r="O7" s="425">
        <v>33421.01</v>
      </c>
      <c r="P7" s="428" t="s">
        <v>22</v>
      </c>
      <c r="Q7" s="429"/>
      <c r="R7" s="429"/>
    </row>
    <row r="8" spans="1:18" s="441" customFormat="1" ht="24.95" customHeight="1" x14ac:dyDescent="0.35">
      <c r="A8" s="430">
        <v>44092</v>
      </c>
      <c r="B8" s="422" t="s">
        <v>78</v>
      </c>
      <c r="C8" s="431"/>
      <c r="D8" s="432" t="s">
        <v>92</v>
      </c>
      <c r="E8" s="431"/>
      <c r="F8" s="433"/>
      <c r="G8" s="434" t="s">
        <v>77</v>
      </c>
      <c r="H8" s="435"/>
      <c r="I8" s="436"/>
      <c r="J8" s="437"/>
      <c r="K8" s="437"/>
      <c r="L8" s="437"/>
      <c r="M8" s="437"/>
      <c r="N8" s="437"/>
      <c r="O8" s="438">
        <v>108000</v>
      </c>
      <c r="P8" s="439"/>
      <c r="Q8" s="440"/>
      <c r="R8" s="440"/>
    </row>
    <row r="9" spans="1:18" s="452" customFormat="1" ht="24.95" customHeight="1" x14ac:dyDescent="0.35">
      <c r="A9" s="442">
        <v>44352</v>
      </c>
      <c r="B9" s="422" t="s">
        <v>107</v>
      </c>
      <c r="C9" s="443"/>
      <c r="D9" s="444" t="s">
        <v>90</v>
      </c>
      <c r="E9" s="445"/>
      <c r="F9" s="445">
        <v>1918</v>
      </c>
      <c r="G9" s="446">
        <v>4457</v>
      </c>
      <c r="H9" s="447"/>
      <c r="I9" s="448"/>
      <c r="J9" s="448"/>
      <c r="K9" s="448"/>
      <c r="L9" s="448"/>
      <c r="M9" s="448"/>
      <c r="N9" s="448"/>
      <c r="O9" s="449">
        <v>36289.599999999999</v>
      </c>
      <c r="P9" s="450"/>
      <c r="Q9" s="451"/>
      <c r="R9" s="451"/>
    </row>
    <row r="10" spans="1:18" s="452" customFormat="1" ht="24.95" customHeight="1" x14ac:dyDescent="0.35">
      <c r="A10" s="442">
        <v>44413</v>
      </c>
      <c r="B10" s="422" t="s">
        <v>107</v>
      </c>
      <c r="C10" s="443"/>
      <c r="D10" s="444" t="s">
        <v>90</v>
      </c>
      <c r="E10" s="445"/>
      <c r="F10" s="445"/>
      <c r="G10" s="446">
        <v>4457</v>
      </c>
      <c r="H10" s="447"/>
      <c r="I10" s="448"/>
      <c r="J10" s="448"/>
      <c r="K10" s="448"/>
      <c r="L10" s="448"/>
      <c r="M10" s="448"/>
      <c r="N10" s="448"/>
      <c r="O10" s="449">
        <v>176976.8</v>
      </c>
      <c r="P10" s="450"/>
      <c r="Q10" s="451"/>
      <c r="R10" s="451"/>
    </row>
    <row r="11" spans="1:18" s="452" customFormat="1" ht="24.95" customHeight="1" x14ac:dyDescent="0.35">
      <c r="A11" s="453">
        <v>44420</v>
      </c>
      <c r="B11" s="420" t="s">
        <v>108</v>
      </c>
      <c r="C11" s="443"/>
      <c r="D11" s="422" t="s">
        <v>90</v>
      </c>
      <c r="E11" s="445"/>
      <c r="F11" s="445"/>
      <c r="G11" s="450" t="s">
        <v>120</v>
      </c>
      <c r="H11" s="447"/>
      <c r="I11" s="448"/>
      <c r="J11" s="448"/>
      <c r="K11" s="448"/>
      <c r="L11" s="448"/>
      <c r="M11" s="448"/>
      <c r="N11" s="448"/>
      <c r="O11" s="448">
        <v>470000</v>
      </c>
      <c r="P11" s="450"/>
      <c r="Q11" s="451"/>
      <c r="R11" s="451" t="s">
        <v>121</v>
      </c>
    </row>
    <row r="12" spans="1:18" s="452" customFormat="1" ht="24.95" customHeight="1" x14ac:dyDescent="0.35">
      <c r="A12" s="453">
        <v>44474</v>
      </c>
      <c r="B12" s="420" t="s">
        <v>110</v>
      </c>
      <c r="C12" s="443"/>
      <c r="D12" s="422" t="s">
        <v>92</v>
      </c>
      <c r="E12" s="445"/>
      <c r="F12" s="454"/>
      <c r="G12" s="450" t="s">
        <v>111</v>
      </c>
      <c r="H12" s="447"/>
      <c r="I12" s="455"/>
      <c r="J12" s="455"/>
      <c r="K12" s="356"/>
      <c r="L12" s="356"/>
      <c r="M12" s="356"/>
      <c r="N12" s="356"/>
      <c r="O12" s="356">
        <v>125000</v>
      </c>
      <c r="P12" s="450" t="s">
        <v>22</v>
      </c>
      <c r="Q12" s="451"/>
      <c r="R12" s="456" t="s">
        <v>112</v>
      </c>
    </row>
    <row r="13" spans="1:18" s="458" customFormat="1" ht="24.95" customHeight="1" x14ac:dyDescent="0.35">
      <c r="A13" s="453">
        <v>44480</v>
      </c>
      <c r="B13" s="420" t="s">
        <v>43</v>
      </c>
      <c r="C13" s="443"/>
      <c r="D13" s="450" t="s">
        <v>90</v>
      </c>
      <c r="E13" s="445"/>
      <c r="F13" s="454">
        <v>2019</v>
      </c>
      <c r="G13" s="450" t="s">
        <v>132</v>
      </c>
      <c r="H13" s="447"/>
      <c r="I13" s="455"/>
      <c r="J13" s="455"/>
      <c r="K13" s="457"/>
      <c r="L13" s="457"/>
      <c r="M13" s="457"/>
      <c r="N13" s="457"/>
      <c r="O13" s="457">
        <v>147281.20000000001</v>
      </c>
      <c r="P13" s="450"/>
      <c r="Q13" s="444"/>
      <c r="R13" s="456" t="s">
        <v>133</v>
      </c>
    </row>
    <row r="14" spans="1:18" s="452" customFormat="1" ht="27.75" customHeight="1" x14ac:dyDescent="0.35">
      <c r="A14" s="453">
        <v>44589</v>
      </c>
      <c r="B14" s="420" t="s">
        <v>125</v>
      </c>
      <c r="C14" s="443"/>
      <c r="D14" s="422" t="s">
        <v>90</v>
      </c>
      <c r="E14" s="445"/>
      <c r="F14" s="445"/>
      <c r="G14" s="450">
        <v>4880</v>
      </c>
      <c r="H14" s="447"/>
      <c r="I14" s="455"/>
      <c r="J14" s="455"/>
      <c r="K14" s="455"/>
      <c r="L14" s="455"/>
      <c r="M14" s="455"/>
      <c r="N14" s="455"/>
      <c r="O14" s="455">
        <v>37000</v>
      </c>
      <c r="P14" s="455" t="s">
        <v>22</v>
      </c>
      <c r="Q14" s="451"/>
      <c r="R14" s="451" t="s">
        <v>126</v>
      </c>
    </row>
    <row r="15" spans="1:18" s="606" customFormat="1" ht="24.95" customHeight="1" x14ac:dyDescent="0.35">
      <c r="A15" s="597">
        <v>44607</v>
      </c>
      <c r="B15" s="598" t="s">
        <v>59</v>
      </c>
      <c r="C15" s="599"/>
      <c r="D15" s="600" t="s">
        <v>90</v>
      </c>
      <c r="E15" s="601" t="s">
        <v>135</v>
      </c>
      <c r="F15" s="601"/>
      <c r="G15" s="602" t="s">
        <v>131</v>
      </c>
      <c r="H15" s="603"/>
      <c r="I15" s="604"/>
      <c r="J15" s="604"/>
      <c r="K15" s="604"/>
      <c r="L15" s="604"/>
      <c r="M15" s="604"/>
      <c r="N15" s="604"/>
      <c r="O15" s="604">
        <v>16076.04</v>
      </c>
      <c r="P15" s="604" t="s">
        <v>22</v>
      </c>
      <c r="Q15" s="605"/>
      <c r="R15" s="598" t="s">
        <v>134</v>
      </c>
    </row>
    <row r="16" spans="1:18" s="468" customFormat="1" ht="24.95" customHeight="1" x14ac:dyDescent="0.35">
      <c r="A16" s="459">
        <v>44609</v>
      </c>
      <c r="B16" s="460" t="s">
        <v>59</v>
      </c>
      <c r="C16" s="461"/>
      <c r="D16" s="462" t="s">
        <v>90</v>
      </c>
      <c r="E16" s="463" t="s">
        <v>129</v>
      </c>
      <c r="F16" s="463"/>
      <c r="G16" s="464" t="s">
        <v>118</v>
      </c>
      <c r="H16" s="465"/>
      <c r="I16" s="466"/>
      <c r="J16" s="466"/>
      <c r="K16" s="466"/>
      <c r="L16" s="466"/>
      <c r="M16" s="466"/>
      <c r="N16" s="466"/>
      <c r="O16" s="466">
        <v>7186.99</v>
      </c>
      <c r="P16" s="466" t="s">
        <v>22</v>
      </c>
      <c r="Q16" s="467"/>
      <c r="R16" s="467" t="s">
        <v>130</v>
      </c>
    </row>
    <row r="17" spans="1:18" s="452" customFormat="1" ht="24.95" customHeight="1" x14ac:dyDescent="0.35">
      <c r="A17" s="453">
        <v>44614</v>
      </c>
      <c r="B17" s="420" t="s">
        <v>136</v>
      </c>
      <c r="C17" s="443"/>
      <c r="D17" s="422" t="s">
        <v>92</v>
      </c>
      <c r="E17" s="445"/>
      <c r="F17" s="445"/>
      <c r="G17" s="450" t="s">
        <v>376</v>
      </c>
      <c r="H17" s="447"/>
      <c r="I17" s="455"/>
      <c r="J17" s="455"/>
      <c r="K17" s="455"/>
      <c r="L17" s="455"/>
      <c r="M17" s="455"/>
      <c r="N17" s="455"/>
      <c r="O17" s="455">
        <v>526625</v>
      </c>
      <c r="P17" s="455"/>
      <c r="Q17" s="451"/>
      <c r="R17" s="451" t="s">
        <v>193</v>
      </c>
    </row>
    <row r="18" spans="1:18" s="452" customFormat="1" ht="24.95" customHeight="1" x14ac:dyDescent="0.35">
      <c r="A18" s="453">
        <v>44631</v>
      </c>
      <c r="B18" s="420" t="s">
        <v>136</v>
      </c>
      <c r="C18" s="443"/>
      <c r="D18" s="422" t="s">
        <v>92</v>
      </c>
      <c r="E18" s="445"/>
      <c r="F18" s="445"/>
      <c r="G18" s="450">
        <v>4943</v>
      </c>
      <c r="H18" s="447"/>
      <c r="I18" s="455"/>
      <c r="J18" s="455"/>
      <c r="K18" s="455"/>
      <c r="L18" s="455"/>
      <c r="M18" s="455"/>
      <c r="N18" s="455"/>
      <c r="O18" s="455">
        <v>5975</v>
      </c>
      <c r="P18" s="450"/>
      <c r="Q18" s="451"/>
      <c r="R18" s="451" t="s">
        <v>138</v>
      </c>
    </row>
    <row r="19" spans="1:18" s="452" customFormat="1" ht="24.95" customHeight="1" x14ac:dyDescent="0.35">
      <c r="A19" s="453">
        <v>44638</v>
      </c>
      <c r="B19" s="420" t="s">
        <v>136</v>
      </c>
      <c r="C19" s="443"/>
      <c r="D19" s="422" t="s">
        <v>92</v>
      </c>
      <c r="E19" s="445"/>
      <c r="F19" s="445"/>
      <c r="G19" s="450">
        <v>4953</v>
      </c>
      <c r="H19" s="447"/>
      <c r="I19" s="455"/>
      <c r="J19" s="455"/>
      <c r="K19" s="455"/>
      <c r="L19" s="455"/>
      <c r="M19" s="455"/>
      <c r="N19" s="455"/>
      <c r="O19" s="455">
        <v>4950</v>
      </c>
      <c r="P19" s="450"/>
      <c r="Q19" s="451"/>
      <c r="R19" s="451" t="s">
        <v>139</v>
      </c>
    </row>
    <row r="20" spans="1:18" s="452" customFormat="1" ht="24.95" customHeight="1" x14ac:dyDescent="0.35">
      <c r="A20" s="453">
        <v>44711</v>
      </c>
      <c r="B20" s="420" t="s">
        <v>153</v>
      </c>
      <c r="C20" s="443"/>
      <c r="D20" s="422" t="s">
        <v>92</v>
      </c>
      <c r="E20" s="445"/>
      <c r="F20" s="445"/>
      <c r="G20" s="450" t="s">
        <v>181</v>
      </c>
      <c r="H20" s="447"/>
      <c r="I20" s="455"/>
      <c r="J20" s="455"/>
      <c r="K20" s="455"/>
      <c r="L20" s="455"/>
      <c r="M20" s="455"/>
      <c r="N20" s="455"/>
      <c r="O20" s="455">
        <v>164667</v>
      </c>
      <c r="P20" s="356"/>
      <c r="Q20" s="451"/>
      <c r="R20" s="456" t="s">
        <v>182</v>
      </c>
    </row>
    <row r="21" spans="1:18" s="468" customFormat="1" ht="24.95" customHeight="1" x14ac:dyDescent="0.35">
      <c r="A21" s="459">
        <v>44714</v>
      </c>
      <c r="B21" s="460" t="s">
        <v>59</v>
      </c>
      <c r="C21" s="461"/>
      <c r="D21" s="462" t="s">
        <v>90</v>
      </c>
      <c r="E21" s="463"/>
      <c r="F21" s="463">
        <v>2062</v>
      </c>
      <c r="G21" s="464" t="s">
        <v>118</v>
      </c>
      <c r="H21" s="465"/>
      <c r="I21" s="466"/>
      <c r="J21" s="466"/>
      <c r="K21" s="466"/>
      <c r="L21" s="466"/>
      <c r="M21" s="466"/>
      <c r="N21" s="466"/>
      <c r="O21" s="466">
        <v>77456</v>
      </c>
      <c r="P21" s="466" t="s">
        <v>22</v>
      </c>
      <c r="Q21" s="467"/>
      <c r="R21" s="460" t="s">
        <v>142</v>
      </c>
    </row>
    <row r="22" spans="1:18" s="468" customFormat="1" ht="24.95" customHeight="1" x14ac:dyDescent="0.35">
      <c r="A22" s="459">
        <v>44714</v>
      </c>
      <c r="B22" s="460" t="s">
        <v>59</v>
      </c>
      <c r="C22" s="461"/>
      <c r="D22" s="462" t="s">
        <v>90</v>
      </c>
      <c r="E22" s="463" t="s">
        <v>143</v>
      </c>
      <c r="F22" s="463"/>
      <c r="G22" s="464" t="s">
        <v>118</v>
      </c>
      <c r="H22" s="465"/>
      <c r="I22" s="466"/>
      <c r="J22" s="466"/>
      <c r="K22" s="466"/>
      <c r="L22" s="466"/>
      <c r="M22" s="466"/>
      <c r="N22" s="466"/>
      <c r="O22" s="466">
        <v>72499.08</v>
      </c>
      <c r="P22" s="466" t="s">
        <v>22</v>
      </c>
      <c r="Q22" s="467"/>
      <c r="R22" s="460" t="s">
        <v>144</v>
      </c>
    </row>
    <row r="23" spans="1:18" s="468" customFormat="1" ht="24.95" customHeight="1" x14ac:dyDescent="0.35">
      <c r="A23" s="459">
        <v>44741</v>
      </c>
      <c r="B23" s="460" t="s">
        <v>59</v>
      </c>
      <c r="C23" s="461"/>
      <c r="D23" s="462" t="s">
        <v>90</v>
      </c>
      <c r="E23" s="463" t="s">
        <v>166</v>
      </c>
      <c r="F23" s="463"/>
      <c r="G23" s="464">
        <v>5098</v>
      </c>
      <c r="H23" s="465"/>
      <c r="I23" s="466"/>
      <c r="J23" s="466"/>
      <c r="K23" s="466"/>
      <c r="L23" s="466"/>
      <c r="M23" s="469"/>
      <c r="N23" s="469"/>
      <c r="O23" s="469">
        <v>510</v>
      </c>
      <c r="P23" s="469" t="s">
        <v>22</v>
      </c>
      <c r="Q23" s="467"/>
      <c r="R23" s="460" t="s">
        <v>167</v>
      </c>
    </row>
    <row r="24" spans="1:18" s="452" customFormat="1" ht="24.95" customHeight="1" x14ac:dyDescent="0.35">
      <c r="A24" s="453">
        <v>44768</v>
      </c>
      <c r="B24" s="420" t="s">
        <v>159</v>
      </c>
      <c r="C24" s="443"/>
      <c r="D24" s="422" t="s">
        <v>90</v>
      </c>
      <c r="E24" s="445"/>
      <c r="F24" s="445"/>
      <c r="G24" s="450" t="s">
        <v>151</v>
      </c>
      <c r="H24" s="447"/>
      <c r="I24" s="455"/>
      <c r="J24" s="455"/>
      <c r="K24" s="455"/>
      <c r="L24" s="455"/>
      <c r="M24" s="455"/>
      <c r="N24" s="455"/>
      <c r="O24" s="455">
        <v>1035500</v>
      </c>
      <c r="P24" s="455" t="s">
        <v>22</v>
      </c>
      <c r="Q24" s="451"/>
      <c r="R24" s="470" t="s">
        <v>199</v>
      </c>
    </row>
    <row r="25" spans="1:18" s="452" customFormat="1" ht="24.95" customHeight="1" x14ac:dyDescent="0.35">
      <c r="A25" s="453">
        <v>44786</v>
      </c>
      <c r="B25" s="420" t="s">
        <v>150</v>
      </c>
      <c r="C25" s="443"/>
      <c r="D25" s="422" t="s">
        <v>94</v>
      </c>
      <c r="E25" s="445"/>
      <c r="F25" s="445">
        <v>2136</v>
      </c>
      <c r="G25" s="450" t="s">
        <v>170</v>
      </c>
      <c r="H25" s="447"/>
      <c r="I25" s="455"/>
      <c r="J25" s="455"/>
      <c r="K25" s="455"/>
      <c r="L25" s="455"/>
      <c r="M25" s="356"/>
      <c r="N25" s="455"/>
      <c r="O25" s="455">
        <v>193400</v>
      </c>
      <c r="P25" s="450" t="s">
        <v>22</v>
      </c>
      <c r="Q25" s="451"/>
      <c r="R25" s="456" t="s">
        <v>171</v>
      </c>
    </row>
    <row r="26" spans="1:18" s="452" customFormat="1" ht="24.95" customHeight="1" x14ac:dyDescent="0.35">
      <c r="A26" s="453">
        <v>44824</v>
      </c>
      <c r="B26" s="420" t="s">
        <v>43</v>
      </c>
      <c r="C26" s="443"/>
      <c r="D26" s="422" t="s">
        <v>90</v>
      </c>
      <c r="E26" s="445"/>
      <c r="F26" s="445">
        <v>2162</v>
      </c>
      <c r="G26" s="450">
        <v>5218</v>
      </c>
      <c r="H26" s="447"/>
      <c r="I26" s="455"/>
      <c r="J26" s="455"/>
      <c r="K26" s="455"/>
      <c r="L26" s="356"/>
      <c r="M26" s="455"/>
      <c r="N26" s="455"/>
      <c r="O26" s="455">
        <v>54650</v>
      </c>
      <c r="P26" s="450"/>
      <c r="Q26" s="451"/>
      <c r="R26" s="456" t="s">
        <v>174</v>
      </c>
    </row>
    <row r="27" spans="1:18" s="452" customFormat="1" ht="24.95" customHeight="1" x14ac:dyDescent="0.35">
      <c r="A27" s="453">
        <v>44839</v>
      </c>
      <c r="B27" s="420" t="s">
        <v>43</v>
      </c>
      <c r="C27" s="443"/>
      <c r="D27" s="422" t="s">
        <v>90</v>
      </c>
      <c r="E27" s="445"/>
      <c r="F27" s="445">
        <v>2140</v>
      </c>
      <c r="G27" s="450">
        <v>5248</v>
      </c>
      <c r="H27" s="447"/>
      <c r="I27" s="455"/>
      <c r="J27" s="455"/>
      <c r="K27" s="455"/>
      <c r="L27" s="455"/>
      <c r="M27" s="455"/>
      <c r="N27" s="455"/>
      <c r="O27" s="455">
        <v>25000</v>
      </c>
      <c r="P27" s="450"/>
      <c r="Q27" s="451"/>
      <c r="R27" s="456" t="s">
        <v>160</v>
      </c>
    </row>
    <row r="28" spans="1:18" s="468" customFormat="1" ht="24.95" customHeight="1" x14ac:dyDescent="0.35">
      <c r="A28" s="459">
        <v>44855</v>
      </c>
      <c r="B28" s="460" t="s">
        <v>59</v>
      </c>
      <c r="C28" s="461"/>
      <c r="D28" s="462" t="s">
        <v>90</v>
      </c>
      <c r="E28" s="463" t="s">
        <v>164</v>
      </c>
      <c r="F28" s="463"/>
      <c r="G28" s="464">
        <v>5739</v>
      </c>
      <c r="H28" s="465"/>
      <c r="I28" s="466"/>
      <c r="J28" s="466"/>
      <c r="K28" s="466"/>
      <c r="L28" s="466"/>
      <c r="M28" s="466"/>
      <c r="N28" s="466"/>
      <c r="O28" s="466">
        <v>6650</v>
      </c>
      <c r="P28" s="466" t="s">
        <v>22</v>
      </c>
      <c r="Q28" s="467"/>
      <c r="R28" s="460" t="s">
        <v>165</v>
      </c>
    </row>
    <row r="29" spans="1:18" s="468" customFormat="1" ht="24.95" customHeight="1" x14ac:dyDescent="0.35">
      <c r="A29" s="459">
        <v>44855</v>
      </c>
      <c r="B29" s="460" t="s">
        <v>59</v>
      </c>
      <c r="C29" s="461"/>
      <c r="D29" s="462" t="s">
        <v>90</v>
      </c>
      <c r="E29" s="463" t="s">
        <v>168</v>
      </c>
      <c r="F29" s="463"/>
      <c r="G29" s="464" t="s">
        <v>118</v>
      </c>
      <c r="H29" s="465"/>
      <c r="I29" s="466"/>
      <c r="J29" s="466"/>
      <c r="K29" s="466"/>
      <c r="L29" s="466"/>
      <c r="M29" s="466"/>
      <c r="N29" s="466"/>
      <c r="O29" s="466">
        <v>3000</v>
      </c>
      <c r="P29" s="466" t="s">
        <v>22</v>
      </c>
      <c r="Q29" s="467"/>
      <c r="R29" s="460" t="s">
        <v>169</v>
      </c>
    </row>
    <row r="30" spans="1:18" s="468" customFormat="1" ht="24.95" customHeight="1" x14ac:dyDescent="0.35">
      <c r="A30" s="459">
        <v>44916</v>
      </c>
      <c r="B30" s="460" t="s">
        <v>59</v>
      </c>
      <c r="C30" s="461"/>
      <c r="D30" s="462" t="s">
        <v>90</v>
      </c>
      <c r="E30" s="463"/>
      <c r="F30" s="463">
        <v>2176</v>
      </c>
      <c r="G30" s="464" t="s">
        <v>118</v>
      </c>
      <c r="H30" s="465"/>
      <c r="I30" s="466"/>
      <c r="J30" s="466"/>
      <c r="K30" s="466"/>
      <c r="L30" s="466"/>
      <c r="M30" s="466"/>
      <c r="N30" s="469"/>
      <c r="O30" s="466">
        <v>186146</v>
      </c>
      <c r="P30" s="464"/>
      <c r="Q30" s="467"/>
      <c r="R30" s="460" t="s">
        <v>179</v>
      </c>
    </row>
    <row r="31" spans="1:18" s="481" customFormat="1" ht="24.95" customHeight="1" x14ac:dyDescent="0.35">
      <c r="A31" s="471">
        <v>44954</v>
      </c>
      <c r="B31" s="472" t="s">
        <v>145</v>
      </c>
      <c r="C31" s="473"/>
      <c r="D31" s="474" t="s">
        <v>92</v>
      </c>
      <c r="E31" s="475" t="s">
        <v>260</v>
      </c>
      <c r="F31" s="475"/>
      <c r="G31" s="476" t="s">
        <v>262</v>
      </c>
      <c r="H31" s="477"/>
      <c r="I31" s="478"/>
      <c r="J31" s="478"/>
      <c r="K31" s="478"/>
      <c r="L31" s="478"/>
      <c r="M31" s="478"/>
      <c r="N31" s="478"/>
      <c r="O31" s="478">
        <v>666000</v>
      </c>
      <c r="P31" s="478"/>
      <c r="Q31" s="479"/>
      <c r="R31" s="480" t="s">
        <v>264</v>
      </c>
    </row>
    <row r="32" spans="1:18" s="481" customFormat="1" ht="24.95" customHeight="1" x14ac:dyDescent="0.35">
      <c r="A32" s="471">
        <v>44954</v>
      </c>
      <c r="B32" s="472" t="s">
        <v>145</v>
      </c>
      <c r="C32" s="473"/>
      <c r="D32" s="474" t="s">
        <v>92</v>
      </c>
      <c r="E32" s="475" t="s">
        <v>261</v>
      </c>
      <c r="F32" s="475"/>
      <c r="G32" s="476" t="s">
        <v>263</v>
      </c>
      <c r="H32" s="477"/>
      <c r="I32" s="478"/>
      <c r="J32" s="478"/>
      <c r="K32" s="478"/>
      <c r="L32" s="478"/>
      <c r="M32" s="478"/>
      <c r="N32" s="478"/>
      <c r="O32" s="478">
        <v>657658.5</v>
      </c>
      <c r="P32" s="478"/>
      <c r="Q32" s="479"/>
      <c r="R32" s="480" t="s">
        <v>265</v>
      </c>
    </row>
    <row r="33" spans="1:18" s="452" customFormat="1" ht="24.95" customHeight="1" x14ac:dyDescent="0.35">
      <c r="A33" s="453">
        <v>44977</v>
      </c>
      <c r="B33" s="420" t="s">
        <v>110</v>
      </c>
      <c r="C33" s="443"/>
      <c r="D33" s="450" t="s">
        <v>92</v>
      </c>
      <c r="E33" s="445"/>
      <c r="F33" s="445"/>
      <c r="G33" s="450">
        <v>5407</v>
      </c>
      <c r="H33" s="447"/>
      <c r="I33" s="455"/>
      <c r="J33" s="455"/>
      <c r="K33" s="455"/>
      <c r="L33" s="455"/>
      <c r="M33" s="455"/>
      <c r="N33" s="356"/>
      <c r="O33" s="455">
        <v>89500</v>
      </c>
      <c r="P33" s="450"/>
      <c r="Q33" s="451"/>
      <c r="R33" s="456" t="s">
        <v>185</v>
      </c>
    </row>
    <row r="34" spans="1:18" s="452" customFormat="1" ht="24.95" customHeight="1" x14ac:dyDescent="0.35">
      <c r="A34" s="453" t="s">
        <v>190</v>
      </c>
      <c r="B34" s="482" t="s">
        <v>191</v>
      </c>
      <c r="C34" s="443"/>
      <c r="D34" s="422" t="s">
        <v>92</v>
      </c>
      <c r="E34" s="445"/>
      <c r="F34" s="445"/>
      <c r="G34" s="450" t="s">
        <v>118</v>
      </c>
      <c r="H34" s="447"/>
      <c r="I34" s="455"/>
      <c r="J34" s="455"/>
      <c r="K34" s="455"/>
      <c r="L34" s="455"/>
      <c r="M34" s="455"/>
      <c r="N34" s="455"/>
      <c r="O34" s="455">
        <v>67000</v>
      </c>
      <c r="P34" s="455" t="s">
        <v>22</v>
      </c>
      <c r="Q34" s="451"/>
      <c r="R34" s="456"/>
    </row>
    <row r="35" spans="1:18" s="481" customFormat="1" ht="24.95" customHeight="1" x14ac:dyDescent="0.35">
      <c r="A35" s="471">
        <v>45017</v>
      </c>
      <c r="B35" s="472" t="s">
        <v>145</v>
      </c>
      <c r="C35" s="473"/>
      <c r="D35" s="474" t="s">
        <v>92</v>
      </c>
      <c r="E35" s="475"/>
      <c r="F35" s="475"/>
      <c r="G35" s="476">
        <v>5460</v>
      </c>
      <c r="H35" s="477" t="s">
        <v>257</v>
      </c>
      <c r="I35" s="478"/>
      <c r="J35" s="478"/>
      <c r="K35" s="478"/>
      <c r="L35" s="478"/>
      <c r="M35" s="478"/>
      <c r="N35" s="478"/>
      <c r="O35" s="483">
        <v>413995.98</v>
      </c>
      <c r="P35" s="476"/>
      <c r="Q35" s="479"/>
      <c r="R35" s="480" t="s">
        <v>276</v>
      </c>
    </row>
    <row r="36" spans="1:18" s="368" customFormat="1" ht="24.95" customHeight="1" x14ac:dyDescent="0.35">
      <c r="A36" s="367">
        <v>45147</v>
      </c>
      <c r="B36" s="368" t="s">
        <v>205</v>
      </c>
      <c r="D36" s="368" t="s">
        <v>92</v>
      </c>
      <c r="E36" s="367"/>
      <c r="F36" s="367"/>
      <c r="G36" s="369">
        <v>5568</v>
      </c>
      <c r="O36" s="368">
        <v>10000</v>
      </c>
      <c r="P36" s="368" t="s">
        <v>210</v>
      </c>
      <c r="R36" s="368" t="s">
        <v>206</v>
      </c>
    </row>
    <row r="37" spans="1:18" s="481" customFormat="1" ht="24.95" customHeight="1" x14ac:dyDescent="0.35">
      <c r="A37" s="471">
        <v>45181</v>
      </c>
      <c r="B37" s="472" t="s">
        <v>145</v>
      </c>
      <c r="C37" s="473"/>
      <c r="D37" s="474" t="s">
        <v>90</v>
      </c>
      <c r="E37" s="475" t="s">
        <v>277</v>
      </c>
      <c r="F37" s="475"/>
      <c r="G37" s="476">
        <v>5606</v>
      </c>
      <c r="H37" s="477"/>
      <c r="I37" s="484"/>
      <c r="J37" s="484"/>
      <c r="K37" s="484"/>
      <c r="L37" s="484"/>
      <c r="M37" s="484"/>
      <c r="N37" s="484"/>
      <c r="O37" s="484">
        <v>676930.8</v>
      </c>
      <c r="P37" s="476"/>
      <c r="Q37" s="479"/>
      <c r="R37" s="480" t="s">
        <v>278</v>
      </c>
    </row>
    <row r="38" spans="1:18" s="452" customFormat="1" ht="24.95" customHeight="1" x14ac:dyDescent="0.35">
      <c r="A38" s="453">
        <v>45195</v>
      </c>
      <c r="B38" s="420" t="s">
        <v>271</v>
      </c>
      <c r="C38" s="443"/>
      <c r="D38" s="422" t="s">
        <v>92</v>
      </c>
      <c r="E38" s="445"/>
      <c r="F38" s="445"/>
      <c r="G38" s="450" t="s">
        <v>272</v>
      </c>
      <c r="H38" s="447"/>
      <c r="I38" s="356"/>
      <c r="J38" s="356"/>
      <c r="K38" s="356"/>
      <c r="L38" s="356"/>
      <c r="M38" s="356"/>
      <c r="N38" s="356"/>
      <c r="O38" s="356">
        <v>2339.29</v>
      </c>
      <c r="P38" s="450" t="s">
        <v>22</v>
      </c>
      <c r="Q38" s="451"/>
      <c r="R38" s="450" t="s">
        <v>273</v>
      </c>
    </row>
    <row r="39" spans="1:18" s="452" customFormat="1" ht="24.95" customHeight="1" x14ac:dyDescent="0.35">
      <c r="A39" s="453">
        <v>45223</v>
      </c>
      <c r="B39" s="420" t="s">
        <v>115</v>
      </c>
      <c r="C39" s="443"/>
      <c r="D39" s="450" t="s">
        <v>90</v>
      </c>
      <c r="E39" s="445"/>
      <c r="F39" s="445">
        <v>2344</v>
      </c>
      <c r="G39" s="450">
        <v>5641</v>
      </c>
      <c r="H39" s="447"/>
      <c r="I39" s="356"/>
      <c r="J39" s="356"/>
      <c r="K39" s="356"/>
      <c r="L39" s="356"/>
      <c r="M39" s="356"/>
      <c r="N39" s="356"/>
      <c r="O39" s="356">
        <v>445000</v>
      </c>
      <c r="P39" s="450"/>
      <c r="Q39" s="451"/>
      <c r="R39" s="456" t="s">
        <v>266</v>
      </c>
    </row>
    <row r="40" spans="1:18" s="452" customFormat="1" ht="24.95" customHeight="1" x14ac:dyDescent="0.35">
      <c r="A40" s="453">
        <v>45310</v>
      </c>
      <c r="B40" s="485" t="s">
        <v>109</v>
      </c>
      <c r="C40" s="443"/>
      <c r="D40" s="450" t="s">
        <v>90</v>
      </c>
      <c r="E40" s="445"/>
      <c r="F40" s="445"/>
      <c r="G40" s="450" t="s">
        <v>327</v>
      </c>
      <c r="H40" s="447"/>
      <c r="I40" s="356"/>
      <c r="J40" s="356"/>
      <c r="K40" s="356"/>
      <c r="L40" s="356"/>
      <c r="M40" s="356"/>
      <c r="N40" s="356"/>
      <c r="O40" s="356">
        <v>16550</v>
      </c>
      <c r="P40" s="450" t="s">
        <v>22</v>
      </c>
      <c r="Q40" s="451"/>
      <c r="R40" s="456" t="s">
        <v>328</v>
      </c>
    </row>
    <row r="41" spans="1:18" s="481" customFormat="1" ht="24.95" customHeight="1" x14ac:dyDescent="0.35">
      <c r="A41" s="471">
        <v>45313</v>
      </c>
      <c r="B41" s="486" t="s">
        <v>37</v>
      </c>
      <c r="C41" s="473"/>
      <c r="D41" s="476" t="s">
        <v>90</v>
      </c>
      <c r="E41" s="475" t="s">
        <v>233</v>
      </c>
      <c r="F41" s="475"/>
      <c r="G41" s="476">
        <v>5714</v>
      </c>
      <c r="H41" s="477"/>
      <c r="I41" s="484"/>
      <c r="J41" s="484"/>
      <c r="K41" s="484"/>
      <c r="L41" s="484"/>
      <c r="M41" s="484"/>
      <c r="N41" s="484"/>
      <c r="O41" s="484">
        <v>150000</v>
      </c>
      <c r="P41" s="476"/>
      <c r="Q41" s="479"/>
      <c r="R41" s="480" t="s">
        <v>234</v>
      </c>
    </row>
    <row r="42" spans="1:18" s="452" customFormat="1" ht="24.95" customHeight="1" x14ac:dyDescent="0.35">
      <c r="A42" s="453">
        <v>45313</v>
      </c>
      <c r="B42" s="420" t="s">
        <v>230</v>
      </c>
      <c r="C42" s="443"/>
      <c r="D42" s="420" t="s">
        <v>92</v>
      </c>
      <c r="E42" s="445"/>
      <c r="F42" s="445"/>
      <c r="G42" s="450">
        <v>5715</v>
      </c>
      <c r="H42" s="447"/>
      <c r="I42" s="356"/>
      <c r="J42" s="356"/>
      <c r="K42" s="356"/>
      <c r="L42" s="356"/>
      <c r="M42" s="356"/>
      <c r="N42" s="356"/>
      <c r="O42" s="356">
        <v>78</v>
      </c>
      <c r="P42" s="356" t="s">
        <v>255</v>
      </c>
      <c r="Q42" s="451"/>
      <c r="R42" s="456" t="s">
        <v>231</v>
      </c>
    </row>
    <row r="43" spans="1:18" s="468" customFormat="1" ht="24.95" customHeight="1" x14ac:dyDescent="0.35">
      <c r="A43" s="459">
        <v>45343</v>
      </c>
      <c r="B43" s="460" t="s">
        <v>59</v>
      </c>
      <c r="C43" s="461"/>
      <c r="D43" s="460" t="s">
        <v>90</v>
      </c>
      <c r="E43" s="463" t="s">
        <v>238</v>
      </c>
      <c r="F43" s="463"/>
      <c r="G43" s="464" t="s">
        <v>118</v>
      </c>
      <c r="H43" s="465"/>
      <c r="I43" s="469"/>
      <c r="J43" s="469"/>
      <c r="K43" s="469"/>
      <c r="L43" s="469"/>
      <c r="M43" s="469"/>
      <c r="N43" s="469"/>
      <c r="O43" s="469">
        <v>22500</v>
      </c>
      <c r="P43" s="466" t="s">
        <v>22</v>
      </c>
      <c r="Q43" s="467"/>
      <c r="R43" s="460" t="s">
        <v>239</v>
      </c>
    </row>
    <row r="44" spans="1:18" s="452" customFormat="1" ht="24.95" customHeight="1" x14ac:dyDescent="0.35">
      <c r="A44" s="453">
        <v>45371</v>
      </c>
      <c r="B44" s="420" t="s">
        <v>250</v>
      </c>
      <c r="C44" s="443"/>
      <c r="D44" s="450" t="s">
        <v>221</v>
      </c>
      <c r="E44" s="445"/>
      <c r="F44" s="445"/>
      <c r="G44" s="450">
        <v>5769</v>
      </c>
      <c r="H44" s="447"/>
      <c r="I44" s="356"/>
      <c r="J44" s="356"/>
      <c r="K44" s="356"/>
      <c r="L44" s="356"/>
      <c r="M44" s="356"/>
      <c r="N44" s="356"/>
      <c r="O44" s="356">
        <v>250</v>
      </c>
      <c r="P44" s="455" t="s">
        <v>22</v>
      </c>
      <c r="Q44" s="451"/>
      <c r="R44" s="456" t="s">
        <v>251</v>
      </c>
    </row>
    <row r="45" spans="1:18" s="481" customFormat="1" ht="24.95" customHeight="1" x14ac:dyDescent="0.35">
      <c r="A45" s="471">
        <v>45386</v>
      </c>
      <c r="B45" s="472" t="s">
        <v>145</v>
      </c>
      <c r="C45" s="473"/>
      <c r="D45" s="476" t="s">
        <v>90</v>
      </c>
      <c r="E45" s="475"/>
      <c r="F45" s="475"/>
      <c r="G45" s="476">
        <v>5776</v>
      </c>
      <c r="H45" s="477"/>
      <c r="I45" s="484"/>
      <c r="J45" s="484"/>
      <c r="K45" s="484" t="s">
        <v>64</v>
      </c>
      <c r="L45" s="484"/>
      <c r="M45" s="484"/>
      <c r="N45" s="484"/>
      <c r="O45" s="484">
        <v>455997.92</v>
      </c>
      <c r="P45" s="478" t="s">
        <v>22</v>
      </c>
      <c r="Q45" s="479"/>
      <c r="R45" s="480" t="s">
        <v>256</v>
      </c>
    </row>
    <row r="46" spans="1:18" s="452" customFormat="1" ht="24.95" customHeight="1" x14ac:dyDescent="0.35">
      <c r="A46" s="453">
        <v>45458</v>
      </c>
      <c r="B46" s="420" t="s">
        <v>43</v>
      </c>
      <c r="C46" s="443"/>
      <c r="D46" s="450" t="s">
        <v>90</v>
      </c>
      <c r="E46" s="445"/>
      <c r="F46" s="445">
        <v>2355</v>
      </c>
      <c r="G46" s="450" t="s">
        <v>290</v>
      </c>
      <c r="H46" s="447"/>
      <c r="I46" s="356"/>
      <c r="J46" s="356"/>
      <c r="K46" s="356"/>
      <c r="L46" s="356"/>
      <c r="M46" s="356">
        <v>206450</v>
      </c>
      <c r="N46" s="356"/>
      <c r="O46" s="450"/>
      <c r="P46" s="450"/>
      <c r="Q46" s="451"/>
      <c r="R46" s="451" t="s">
        <v>350</v>
      </c>
    </row>
    <row r="47" spans="1:18" s="452" customFormat="1" ht="24.95" customHeight="1" x14ac:dyDescent="0.35">
      <c r="A47" s="453">
        <v>45492</v>
      </c>
      <c r="B47" s="420" t="s">
        <v>270</v>
      </c>
      <c r="C47" s="443"/>
      <c r="D47" s="450" t="s">
        <v>90</v>
      </c>
      <c r="E47" s="445"/>
      <c r="F47" s="445">
        <v>2296</v>
      </c>
      <c r="G47" s="450">
        <v>5841</v>
      </c>
      <c r="H47" s="447"/>
      <c r="I47" s="356"/>
      <c r="J47" s="356"/>
      <c r="K47" s="356"/>
      <c r="L47" s="356"/>
      <c r="M47" s="356">
        <v>108900</v>
      </c>
      <c r="N47" s="356"/>
      <c r="O47" s="450"/>
      <c r="P47" s="450"/>
      <c r="Q47" s="451"/>
      <c r="R47" s="451" t="s">
        <v>294</v>
      </c>
    </row>
    <row r="48" spans="1:18" s="452" customFormat="1" ht="24.95" customHeight="1" x14ac:dyDescent="0.35">
      <c r="A48" s="453">
        <v>45544</v>
      </c>
      <c r="B48" s="420" t="s">
        <v>217</v>
      </c>
      <c r="C48" s="443"/>
      <c r="D48" s="450" t="s">
        <v>90</v>
      </c>
      <c r="E48" s="445"/>
      <c r="F48" s="445">
        <v>2316</v>
      </c>
      <c r="G48" s="450">
        <v>5882</v>
      </c>
      <c r="H48" s="447"/>
      <c r="I48" s="356"/>
      <c r="J48" s="356">
        <v>458000</v>
      </c>
      <c r="K48" s="455"/>
      <c r="L48" s="356"/>
      <c r="M48" s="356"/>
      <c r="N48" s="356"/>
      <c r="O48" s="450"/>
      <c r="P48" s="450"/>
      <c r="Q48" s="451"/>
      <c r="R48" s="451" t="s">
        <v>317</v>
      </c>
    </row>
    <row r="49" spans="1:18" s="452" customFormat="1" ht="24.95" customHeight="1" x14ac:dyDescent="0.35">
      <c r="A49" s="453">
        <v>45582</v>
      </c>
      <c r="B49" s="420" t="s">
        <v>417</v>
      </c>
      <c r="C49" s="443"/>
      <c r="D49" s="450"/>
      <c r="E49" s="445"/>
      <c r="F49" s="445"/>
      <c r="G49" s="450" t="s">
        <v>418</v>
      </c>
      <c r="H49" s="447"/>
      <c r="I49" s="356"/>
      <c r="J49" s="487" t="s">
        <v>419</v>
      </c>
      <c r="K49" s="455"/>
      <c r="L49" s="356"/>
      <c r="M49" s="356"/>
      <c r="N49" s="356"/>
      <c r="O49" s="450"/>
      <c r="P49" s="450"/>
      <c r="Q49" s="451"/>
      <c r="R49" s="451" t="s">
        <v>412</v>
      </c>
    </row>
    <row r="50" spans="1:18" s="452" customFormat="1" ht="24.95" customHeight="1" x14ac:dyDescent="0.35">
      <c r="A50" s="453">
        <v>45593</v>
      </c>
      <c r="B50" s="420" t="s">
        <v>417</v>
      </c>
      <c r="C50" s="443"/>
      <c r="D50" s="450"/>
      <c r="E50" s="445"/>
      <c r="F50" s="445"/>
      <c r="G50" s="450">
        <v>5916</v>
      </c>
      <c r="H50" s="447"/>
      <c r="I50" s="356"/>
      <c r="J50" s="487" t="s">
        <v>419</v>
      </c>
      <c r="K50" s="455"/>
      <c r="L50" s="356"/>
      <c r="M50" s="356"/>
      <c r="N50" s="356"/>
      <c r="O50" s="450"/>
      <c r="P50" s="450"/>
      <c r="Q50" s="451"/>
      <c r="R50" s="451" t="s">
        <v>412</v>
      </c>
    </row>
    <row r="51" spans="1:18" s="481" customFormat="1" ht="24.95" customHeight="1" x14ac:dyDescent="0.35">
      <c r="A51" s="471">
        <v>45601</v>
      </c>
      <c r="B51" s="472" t="s">
        <v>145</v>
      </c>
      <c r="C51" s="473"/>
      <c r="D51" s="476" t="s">
        <v>90</v>
      </c>
      <c r="E51" s="475"/>
      <c r="F51" s="475"/>
      <c r="G51" s="476">
        <v>5920</v>
      </c>
      <c r="H51" s="477"/>
      <c r="I51" s="484"/>
      <c r="J51" s="478" t="s">
        <v>354</v>
      </c>
      <c r="K51" s="484"/>
      <c r="L51" s="484">
        <v>310000</v>
      </c>
      <c r="M51" s="484"/>
      <c r="N51" s="484"/>
      <c r="O51" s="476"/>
      <c r="P51" s="476"/>
      <c r="Q51" s="479"/>
      <c r="R51" s="479" t="s">
        <v>355</v>
      </c>
    </row>
    <row r="52" spans="1:18" s="452" customFormat="1" ht="24.95" customHeight="1" x14ac:dyDescent="0.35">
      <c r="A52" s="453">
        <v>45602</v>
      </c>
      <c r="B52" s="420" t="s">
        <v>321</v>
      </c>
      <c r="C52" s="443"/>
      <c r="D52" s="450" t="s">
        <v>90</v>
      </c>
      <c r="E52" s="445"/>
      <c r="F52" s="445">
        <v>2332</v>
      </c>
      <c r="G52" s="450">
        <v>5922</v>
      </c>
      <c r="H52" s="447"/>
      <c r="I52" s="356"/>
      <c r="J52" s="455"/>
      <c r="K52" s="356"/>
      <c r="L52" s="356"/>
      <c r="M52" s="488">
        <v>670700</v>
      </c>
      <c r="N52" s="356"/>
      <c r="O52" s="488"/>
      <c r="P52" s="450" t="s">
        <v>22</v>
      </c>
      <c r="Q52" s="451"/>
      <c r="R52" s="451" t="s">
        <v>368</v>
      </c>
    </row>
    <row r="53" spans="1:18" s="452" customFormat="1" ht="24.95" customHeight="1" x14ac:dyDescent="0.35">
      <c r="A53" s="453">
        <v>45628</v>
      </c>
      <c r="B53" s="420" t="s">
        <v>409</v>
      </c>
      <c r="C53" s="443"/>
      <c r="D53" s="450" t="s">
        <v>90</v>
      </c>
      <c r="E53" s="445"/>
      <c r="F53" s="445">
        <v>2366</v>
      </c>
      <c r="G53" s="450">
        <v>5985</v>
      </c>
      <c r="H53" s="447"/>
      <c r="I53" s="356"/>
      <c r="J53" s="356"/>
      <c r="K53" s="356">
        <v>86500</v>
      </c>
      <c r="L53" s="356"/>
      <c r="M53" s="356"/>
      <c r="N53" s="356"/>
      <c r="O53" s="450"/>
      <c r="P53" s="450"/>
      <c r="Q53" s="451"/>
      <c r="R53" s="451" t="s">
        <v>410</v>
      </c>
    </row>
    <row r="54" spans="1:18" s="452" customFormat="1" ht="24.95" customHeight="1" x14ac:dyDescent="0.35">
      <c r="A54" s="453">
        <v>45630</v>
      </c>
      <c r="B54" s="420" t="s">
        <v>411</v>
      </c>
      <c r="C54" s="443"/>
      <c r="D54" s="450" t="s">
        <v>92</v>
      </c>
      <c r="E54" s="445"/>
      <c r="F54" s="445"/>
      <c r="G54" s="450">
        <v>5939</v>
      </c>
      <c r="H54" s="447"/>
      <c r="I54" s="356"/>
      <c r="J54" s="356"/>
      <c r="K54" s="356">
        <v>597900</v>
      </c>
      <c r="L54" s="356"/>
      <c r="M54" s="356"/>
      <c r="N54" s="356"/>
      <c r="O54" s="450"/>
      <c r="P54" s="450"/>
      <c r="Q54" s="451"/>
      <c r="R54" s="451" t="s">
        <v>399</v>
      </c>
    </row>
    <row r="55" spans="1:18" s="452" customFormat="1" ht="24.95" customHeight="1" x14ac:dyDescent="0.35">
      <c r="A55" s="453">
        <v>45631</v>
      </c>
      <c r="B55" s="420" t="s">
        <v>413</v>
      </c>
      <c r="C55" s="443"/>
      <c r="D55" s="450" t="s">
        <v>92</v>
      </c>
      <c r="E55" s="445"/>
      <c r="F55" s="445"/>
      <c r="G55" s="450" t="s">
        <v>414</v>
      </c>
      <c r="H55" s="447"/>
      <c r="I55" s="356"/>
      <c r="J55" s="356"/>
      <c r="K55" s="356">
        <v>111775</v>
      </c>
      <c r="L55" s="356"/>
      <c r="M55" s="356"/>
      <c r="N55" s="356"/>
      <c r="O55" s="450"/>
      <c r="P55" s="450"/>
      <c r="Q55" s="451"/>
      <c r="R55" s="451" t="s">
        <v>420</v>
      </c>
    </row>
    <row r="56" spans="1:18" s="452" customFormat="1" ht="24.95" customHeight="1" x14ac:dyDescent="0.35">
      <c r="A56" s="453">
        <v>45631</v>
      </c>
      <c r="B56" s="420" t="s">
        <v>413</v>
      </c>
      <c r="C56" s="443"/>
      <c r="D56" s="450" t="s">
        <v>92</v>
      </c>
      <c r="E56" s="445"/>
      <c r="F56" s="445"/>
      <c r="G56" s="450" t="s">
        <v>415</v>
      </c>
      <c r="H56" s="447"/>
      <c r="I56" s="356"/>
      <c r="J56" s="356"/>
      <c r="K56" s="356">
        <v>304275</v>
      </c>
      <c r="L56" s="356"/>
      <c r="M56" s="356"/>
      <c r="N56" s="356"/>
      <c r="O56" s="450"/>
      <c r="P56" s="450"/>
      <c r="Q56" s="451"/>
      <c r="R56" s="451"/>
    </row>
    <row r="57" spans="1:18" s="452" customFormat="1" ht="24.95" customHeight="1" x14ac:dyDescent="0.35">
      <c r="A57" s="453">
        <v>45631</v>
      </c>
      <c r="B57" s="420" t="s">
        <v>301</v>
      </c>
      <c r="C57" s="443"/>
      <c r="D57" s="450" t="s">
        <v>90</v>
      </c>
      <c r="E57" s="445"/>
      <c r="F57" s="445"/>
      <c r="G57" s="450" t="s">
        <v>416</v>
      </c>
      <c r="H57" s="447"/>
      <c r="I57" s="356"/>
      <c r="J57" s="356"/>
      <c r="K57" s="356">
        <v>948500</v>
      </c>
      <c r="L57" s="356"/>
      <c r="M57" s="356"/>
      <c r="N57" s="356"/>
      <c r="O57" s="450"/>
      <c r="P57" s="450"/>
      <c r="Q57" s="451"/>
      <c r="R57" s="451"/>
    </row>
    <row r="58" spans="1:18" s="452" customFormat="1" ht="24.95" customHeight="1" x14ac:dyDescent="0.35">
      <c r="A58" s="453">
        <v>45664</v>
      </c>
      <c r="B58" s="420" t="s">
        <v>271</v>
      </c>
      <c r="C58" s="443"/>
      <c r="D58" s="450"/>
      <c r="E58" s="445"/>
      <c r="F58" s="445"/>
      <c r="G58" s="450">
        <v>5965</v>
      </c>
      <c r="H58" s="447"/>
      <c r="I58" s="356"/>
      <c r="J58" s="356">
        <v>15000</v>
      </c>
      <c r="K58" s="455"/>
      <c r="L58" s="356"/>
      <c r="M58" s="356"/>
      <c r="N58" s="356"/>
      <c r="O58" s="450"/>
      <c r="P58" s="450"/>
      <c r="Q58" s="451"/>
      <c r="R58" s="451"/>
    </row>
    <row r="59" spans="1:18" s="452" customFormat="1" ht="24.95" customHeight="1" x14ac:dyDescent="0.35">
      <c r="A59" s="453">
        <v>45665</v>
      </c>
      <c r="B59" s="420" t="s">
        <v>422</v>
      </c>
      <c r="C59" s="443"/>
      <c r="D59" s="450"/>
      <c r="E59" s="445"/>
      <c r="F59" s="445"/>
      <c r="G59" s="450">
        <v>5969</v>
      </c>
      <c r="H59" s="447"/>
      <c r="I59" s="356"/>
      <c r="J59" s="356">
        <v>241350</v>
      </c>
      <c r="K59" s="455"/>
      <c r="L59" s="356"/>
      <c r="M59" s="356"/>
      <c r="N59" s="356"/>
      <c r="O59" s="450"/>
      <c r="P59" s="450"/>
      <c r="Q59" s="451"/>
      <c r="R59" s="451" t="s">
        <v>423</v>
      </c>
    </row>
    <row r="60" spans="1:18" s="452" customFormat="1" ht="24.95" customHeight="1" x14ac:dyDescent="0.35">
      <c r="A60" s="453" t="s">
        <v>421</v>
      </c>
      <c r="B60" s="420" t="s">
        <v>115</v>
      </c>
      <c r="C60" s="443"/>
      <c r="D60" s="450" t="s">
        <v>90</v>
      </c>
      <c r="E60" s="445"/>
      <c r="F60" s="445">
        <v>2345</v>
      </c>
      <c r="G60" s="450">
        <v>5970</v>
      </c>
      <c r="H60" s="447"/>
      <c r="I60" s="487"/>
      <c r="J60" s="487">
        <v>399500</v>
      </c>
      <c r="K60" s="455"/>
      <c r="L60" s="356"/>
      <c r="M60" s="356"/>
      <c r="N60" s="356"/>
      <c r="O60" s="450"/>
      <c r="P60" s="450"/>
      <c r="Q60" s="451"/>
      <c r="R60" s="451"/>
    </row>
    <row r="61" spans="1:18" s="366" customFormat="1" ht="24.95" customHeight="1" x14ac:dyDescent="0.35">
      <c r="A61" s="357">
        <v>45653</v>
      </c>
      <c r="B61" s="358" t="s">
        <v>287</v>
      </c>
      <c r="C61" s="359"/>
      <c r="D61" s="360" t="s">
        <v>433</v>
      </c>
      <c r="E61" s="361" t="s">
        <v>424</v>
      </c>
      <c r="F61" s="361"/>
      <c r="G61" s="360"/>
      <c r="H61" s="362"/>
      <c r="I61" s="363"/>
      <c r="J61" s="363">
        <v>300000</v>
      </c>
      <c r="K61" s="364"/>
      <c r="L61" s="363"/>
      <c r="M61" s="363"/>
      <c r="N61" s="363"/>
      <c r="O61" s="360"/>
      <c r="P61" s="360"/>
      <c r="Q61" s="365"/>
      <c r="R61" s="365"/>
    </row>
    <row r="62" spans="1:18" s="366" customFormat="1" ht="24.95" customHeight="1" x14ac:dyDescent="0.35">
      <c r="A62" s="357">
        <v>45665</v>
      </c>
      <c r="B62" s="358" t="s">
        <v>287</v>
      </c>
      <c r="C62" s="359"/>
      <c r="D62" s="360" t="s">
        <v>433</v>
      </c>
      <c r="E62" s="361" t="s">
        <v>425</v>
      </c>
      <c r="F62" s="361"/>
      <c r="G62" s="360"/>
      <c r="H62" s="362"/>
      <c r="I62" s="363"/>
      <c r="J62" s="363">
        <v>8800</v>
      </c>
      <c r="K62" s="364"/>
      <c r="L62" s="363"/>
      <c r="M62" s="363"/>
      <c r="N62" s="363"/>
      <c r="O62" s="360"/>
      <c r="P62" s="360"/>
      <c r="Q62" s="365"/>
      <c r="R62" s="365"/>
    </row>
    <row r="63" spans="1:18" s="366" customFormat="1" ht="24.95" customHeight="1" x14ac:dyDescent="0.35">
      <c r="A63" s="357">
        <v>45671</v>
      </c>
      <c r="B63" s="358" t="s">
        <v>287</v>
      </c>
      <c r="C63" s="359"/>
      <c r="D63" s="360" t="s">
        <v>433</v>
      </c>
      <c r="E63" s="361" t="s">
        <v>426</v>
      </c>
      <c r="F63" s="361"/>
      <c r="G63" s="360"/>
      <c r="H63" s="362"/>
      <c r="I63" s="363"/>
      <c r="J63" s="363">
        <v>6000</v>
      </c>
      <c r="K63" s="364"/>
      <c r="L63" s="363"/>
      <c r="M63" s="363"/>
      <c r="N63" s="363"/>
      <c r="O63" s="360"/>
      <c r="P63" s="360"/>
      <c r="Q63" s="365"/>
      <c r="R63" s="365"/>
    </row>
    <row r="64" spans="1:18" s="452" customFormat="1" ht="24.95" customHeight="1" x14ac:dyDescent="0.35">
      <c r="A64" s="453">
        <v>45680</v>
      </c>
      <c r="B64" s="482" t="s">
        <v>428</v>
      </c>
      <c r="C64" s="489"/>
      <c r="D64" s="450"/>
      <c r="E64" s="445"/>
      <c r="F64" s="445"/>
      <c r="G64" s="450">
        <v>5978</v>
      </c>
      <c r="H64" s="447"/>
      <c r="I64" s="356"/>
      <c r="J64" s="356">
        <v>688000</v>
      </c>
      <c r="K64" s="455"/>
      <c r="L64" s="356"/>
      <c r="M64" s="356"/>
      <c r="N64" s="356"/>
      <c r="O64" s="450"/>
      <c r="P64" s="450"/>
      <c r="Q64" s="451"/>
      <c r="R64" s="451"/>
    </row>
    <row r="65" spans="1:18" s="481" customFormat="1" ht="24.95" customHeight="1" x14ac:dyDescent="0.35">
      <c r="A65" s="471">
        <v>45680</v>
      </c>
      <c r="B65" s="490" t="s">
        <v>429</v>
      </c>
      <c r="C65" s="491"/>
      <c r="D65" s="476" t="s">
        <v>90</v>
      </c>
      <c r="E65" s="475"/>
      <c r="F65" s="475">
        <v>2343</v>
      </c>
      <c r="G65" s="476">
        <v>5979</v>
      </c>
      <c r="H65" s="477"/>
      <c r="I65" s="484"/>
      <c r="J65" s="484">
        <v>45000</v>
      </c>
      <c r="K65" s="478"/>
      <c r="L65" s="484"/>
      <c r="M65" s="484"/>
      <c r="N65" s="484"/>
      <c r="O65" s="476"/>
      <c r="P65" s="476"/>
      <c r="Q65" s="479"/>
      <c r="R65" s="479"/>
    </row>
    <row r="66" spans="1:18" s="452" customFormat="1" ht="24.95" customHeight="1" x14ac:dyDescent="0.35">
      <c r="A66" s="453">
        <v>45682</v>
      </c>
      <c r="B66" s="482" t="s">
        <v>431</v>
      </c>
      <c r="C66" s="489"/>
      <c r="D66" s="450"/>
      <c r="E66" s="445"/>
      <c r="F66" s="445"/>
      <c r="G66" s="450">
        <v>5980</v>
      </c>
      <c r="H66" s="447"/>
      <c r="I66" s="356"/>
      <c r="J66" s="356">
        <v>32500</v>
      </c>
      <c r="K66" s="455"/>
      <c r="L66" s="356"/>
      <c r="M66" s="356"/>
      <c r="N66" s="356"/>
      <c r="O66" s="450"/>
      <c r="P66" s="450"/>
      <c r="Q66" s="451"/>
      <c r="R66" s="451"/>
    </row>
    <row r="67" spans="1:18" s="452" customFormat="1" ht="24.95" customHeight="1" x14ac:dyDescent="0.35">
      <c r="A67" s="453">
        <v>45682</v>
      </c>
      <c r="B67" s="482" t="s">
        <v>430</v>
      </c>
      <c r="C67" s="489"/>
      <c r="D67" s="450"/>
      <c r="E67" s="445"/>
      <c r="F67" s="445"/>
      <c r="G67" s="450">
        <v>5981</v>
      </c>
      <c r="H67" s="447"/>
      <c r="I67" s="356"/>
      <c r="J67" s="356">
        <v>64518.75</v>
      </c>
      <c r="K67" s="455"/>
      <c r="L67" s="356"/>
      <c r="M67" s="356"/>
      <c r="N67" s="356"/>
      <c r="O67" s="450"/>
      <c r="P67" s="450"/>
      <c r="Q67" s="451"/>
      <c r="R67" s="451"/>
    </row>
    <row r="68" spans="1:18" s="452" customFormat="1" ht="24.95" customHeight="1" x14ac:dyDescent="0.35">
      <c r="A68" s="453" t="s">
        <v>421</v>
      </c>
      <c r="B68" s="482" t="s">
        <v>270</v>
      </c>
      <c r="C68" s="489"/>
      <c r="D68" s="450" t="s">
        <v>90</v>
      </c>
      <c r="E68" s="445"/>
      <c r="F68" s="445"/>
      <c r="G68" s="450">
        <v>5950</v>
      </c>
      <c r="H68" s="447"/>
      <c r="I68" s="356"/>
      <c r="J68" s="492" t="s">
        <v>419</v>
      </c>
      <c r="K68" s="455"/>
      <c r="L68" s="356"/>
      <c r="M68" s="356"/>
      <c r="N68" s="356"/>
      <c r="O68" s="450"/>
      <c r="P68" s="450"/>
      <c r="Q68" s="451"/>
      <c r="R68" s="451"/>
    </row>
    <row r="69" spans="1:18" s="378" customFormat="1" ht="24.95" customHeight="1" x14ac:dyDescent="0.35">
      <c r="A69" s="370">
        <v>45685</v>
      </c>
      <c r="B69" s="371" t="s">
        <v>432</v>
      </c>
      <c r="C69" s="372"/>
      <c r="D69" s="373" t="s">
        <v>90</v>
      </c>
      <c r="E69" s="374"/>
      <c r="F69" s="374"/>
      <c r="G69" s="373">
        <v>5982</v>
      </c>
      <c r="H69" s="375"/>
      <c r="I69" s="376"/>
      <c r="J69" s="376">
        <v>133000</v>
      </c>
      <c r="K69" s="377"/>
      <c r="L69" s="376"/>
      <c r="M69" s="376"/>
      <c r="N69" s="376"/>
      <c r="O69" s="373"/>
      <c r="P69" s="373"/>
    </row>
    <row r="70" spans="1:18" s="499" customFormat="1" ht="24.95" customHeight="1" x14ac:dyDescent="0.35">
      <c r="A70" s="493"/>
      <c r="B70" s="494" t="s">
        <v>7</v>
      </c>
      <c r="C70" s="421"/>
      <c r="D70" s="422" t="s">
        <v>140</v>
      </c>
      <c r="E70" s="421"/>
      <c r="F70" s="421"/>
      <c r="G70" s="450"/>
      <c r="H70" s="413"/>
      <c r="I70" s="495"/>
      <c r="J70" s="496">
        <f>SUM(J48:J69)</f>
        <v>2391668.75</v>
      </c>
      <c r="K70" s="496">
        <f>SUM(K48:K69)</f>
        <v>2048950</v>
      </c>
      <c r="L70" s="497">
        <f>SUM(L51:L69)</f>
        <v>310000</v>
      </c>
      <c r="M70" s="496">
        <f>SUM(M46:M69)</f>
        <v>986050</v>
      </c>
      <c r="N70" s="496"/>
      <c r="O70" s="496">
        <f>SUM(O7:O69)</f>
        <v>7188060.2100000009</v>
      </c>
      <c r="P70" s="416"/>
      <c r="Q70" s="498">
        <f>I70+J70+K70+L70+M70+N70+O70</f>
        <v>12924728.960000001</v>
      </c>
      <c r="R70" s="418"/>
    </row>
    <row r="71" spans="1:18" ht="24.95" customHeight="1" x14ac:dyDescent="0.35">
      <c r="A71" s="354" t="s">
        <v>64</v>
      </c>
      <c r="F71" s="336" t="s">
        <v>64</v>
      </c>
      <c r="H71" s="502"/>
    </row>
    <row r="72" spans="1:18" ht="24.95" customHeight="1" x14ac:dyDescent="0.35">
      <c r="H72" s="502"/>
    </row>
    <row r="73" spans="1:18" ht="24.95" customHeight="1" x14ac:dyDescent="0.35">
      <c r="E73" s="330" t="s">
        <v>324</v>
      </c>
      <c r="O73" s="339"/>
    </row>
    <row r="74" spans="1:18" ht="24.95" customHeight="1" x14ac:dyDescent="0.35">
      <c r="F74" s="336" t="s">
        <v>64</v>
      </c>
      <c r="O74" s="339"/>
    </row>
    <row r="75" spans="1:18" ht="24.95" customHeight="1" x14ac:dyDescent="0.35">
      <c r="G75" s="330"/>
      <c r="H75" s="330"/>
      <c r="I75" s="330"/>
      <c r="J75" s="330" t="s">
        <v>64</v>
      </c>
      <c r="K75" s="330"/>
      <c r="O75" s="339"/>
      <c r="P75" s="330"/>
    </row>
    <row r="76" spans="1:18" ht="24.95" customHeight="1" x14ac:dyDescent="0.35">
      <c r="O76" s="339"/>
      <c r="Q76" s="339"/>
    </row>
    <row r="77" spans="1:18" ht="24.95" customHeight="1" x14ac:dyDescent="0.35">
      <c r="O77" s="339"/>
    </row>
    <row r="78" spans="1:18" ht="24.95" customHeight="1" x14ac:dyDescent="0.35">
      <c r="O78" s="339"/>
    </row>
    <row r="79" spans="1:18" ht="24.95" customHeight="1" x14ac:dyDescent="0.35">
      <c r="O79" s="339"/>
    </row>
    <row r="80" spans="1:18" ht="24.95" customHeight="1" x14ac:dyDescent="0.35">
      <c r="O80" s="339"/>
    </row>
    <row r="81" spans="15:15" ht="24.95" customHeight="1" x14ac:dyDescent="0.35">
      <c r="O81" s="339"/>
    </row>
    <row r="82" spans="15:15" ht="24.95" customHeight="1" x14ac:dyDescent="0.35">
      <c r="O82" s="339"/>
    </row>
    <row r="83" spans="15:15" ht="24.95" customHeight="1" x14ac:dyDescent="0.35">
      <c r="O83" s="339"/>
    </row>
    <row r="84" spans="15:15" ht="24.95" customHeight="1" x14ac:dyDescent="0.35">
      <c r="O84" s="506"/>
    </row>
    <row r="85" spans="15:15" ht="24.95" customHeight="1" x14ac:dyDescent="0.35">
      <c r="O85" s="507"/>
    </row>
    <row r="86" spans="15:15" ht="24.95" customHeight="1" x14ac:dyDescent="0.35">
      <c r="O86" s="508"/>
    </row>
    <row r="87" spans="15:15" ht="24.95" customHeight="1" x14ac:dyDescent="0.35">
      <c r="O87" s="507"/>
    </row>
    <row r="88" spans="15:15" ht="24.95" customHeight="1" x14ac:dyDescent="0.35">
      <c r="O88" s="508"/>
    </row>
  </sheetData>
  <pageMargins left="0.70866141732283472" right="0.70866141732283472" top="0.74803149606299213" bottom="0.74803149606299213" header="0.31496062992125984" footer="0.31496062992125984"/>
  <pageSetup paperSize="14" scale="50" fitToWidth="0"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4"/>
  <sheetViews>
    <sheetView topLeftCell="D4" workbookViewId="0">
      <selection activeCell="B58" sqref="B58"/>
    </sheetView>
  </sheetViews>
  <sheetFormatPr defaultColWidth="23.85546875" defaultRowHeight="23.25" x14ac:dyDescent="0.35"/>
  <cols>
    <col min="1" max="1" width="23.85546875" style="656"/>
    <col min="2" max="2" width="40.85546875" style="623" customWidth="1"/>
    <col min="3" max="3" width="23.85546875" style="524"/>
    <col min="4" max="4" width="15.140625" style="657" customWidth="1"/>
    <col min="5" max="5" width="14.28515625" style="524" customWidth="1"/>
    <col min="6" max="6" width="14.7109375" style="658" customWidth="1"/>
    <col min="7" max="7" width="23.85546875" style="659"/>
    <col min="8" max="8" width="16.85546875" style="664" customWidth="1"/>
    <col min="9" max="9" width="17.7109375" style="661" customWidth="1"/>
    <col min="10" max="10" width="24.5703125" style="662" customWidth="1"/>
    <col min="11" max="11" width="24.140625" style="662" customWidth="1"/>
    <col min="12" max="14" width="23.85546875" style="662"/>
    <col min="15" max="15" width="23.85546875" style="524"/>
    <col min="16" max="16" width="23.85546875" style="663"/>
    <col min="17" max="16384" width="23.85546875" style="524"/>
  </cols>
  <sheetData>
    <row r="1" spans="1:18" ht="24.95" customHeight="1" x14ac:dyDescent="0.35">
      <c r="A1" s="514" t="s">
        <v>8</v>
      </c>
      <c r="B1" s="515"/>
      <c r="C1" s="516"/>
      <c r="D1" s="517"/>
      <c r="E1" s="516"/>
      <c r="F1" s="516"/>
      <c r="G1" s="518"/>
      <c r="H1" s="519"/>
      <c r="I1" s="520"/>
      <c r="J1" s="521"/>
      <c r="K1" s="521"/>
      <c r="L1" s="521"/>
      <c r="M1" s="521"/>
      <c r="N1" s="521"/>
      <c r="O1" s="522"/>
      <c r="P1" s="523"/>
    </row>
    <row r="2" spans="1:18" ht="24.95" customHeight="1" x14ac:dyDescent="0.35">
      <c r="A2" s="525" t="s">
        <v>9</v>
      </c>
      <c r="B2" s="526"/>
      <c r="C2" s="527"/>
      <c r="D2" s="528"/>
      <c r="E2" s="527"/>
      <c r="F2" s="527"/>
      <c r="G2" s="529"/>
      <c r="H2" s="530"/>
      <c r="I2" s="531"/>
      <c r="J2" s="532"/>
      <c r="K2" s="532"/>
      <c r="L2" s="532"/>
      <c r="M2" s="532"/>
      <c r="N2" s="532"/>
      <c r="O2" s="533"/>
      <c r="P2" s="534"/>
    </row>
    <row r="3" spans="1:18" ht="24.95" customHeight="1" x14ac:dyDescent="0.35">
      <c r="A3" s="525" t="s">
        <v>10</v>
      </c>
      <c r="B3" s="526"/>
      <c r="C3" s="527"/>
      <c r="D3" s="528"/>
      <c r="E3" s="527"/>
      <c r="F3" s="527"/>
      <c r="G3" s="529"/>
      <c r="H3" s="530"/>
      <c r="I3" s="535"/>
      <c r="J3" s="536"/>
      <c r="K3" s="536"/>
      <c r="L3" s="536"/>
      <c r="M3" s="536"/>
      <c r="N3" s="536"/>
      <c r="O3" s="537"/>
      <c r="P3" s="538"/>
    </row>
    <row r="4" spans="1:18" ht="24.95" customHeight="1" x14ac:dyDescent="0.35">
      <c r="A4" s="525" t="s">
        <v>453</v>
      </c>
      <c r="B4" s="526"/>
      <c r="C4" s="527"/>
      <c r="D4" s="528"/>
      <c r="E4" s="527"/>
      <c r="F4" s="527"/>
      <c r="G4" s="529"/>
      <c r="H4" s="530"/>
      <c r="I4" s="535"/>
      <c r="J4" s="536"/>
      <c r="K4" s="536"/>
      <c r="L4" s="536"/>
      <c r="M4" s="536"/>
      <c r="N4" s="536"/>
      <c r="O4" s="537"/>
      <c r="P4" s="538"/>
    </row>
    <row r="5" spans="1:18" ht="24.95" customHeight="1" x14ac:dyDescent="0.35">
      <c r="A5" s="539"/>
      <c r="B5" s="526"/>
      <c r="C5" s="527"/>
      <c r="D5" s="528"/>
      <c r="E5" s="527"/>
      <c r="F5" s="527"/>
      <c r="G5" s="529"/>
      <c r="H5" s="540"/>
      <c r="I5" s="541"/>
      <c r="J5" s="542"/>
      <c r="K5" s="542"/>
      <c r="L5" s="542"/>
      <c r="M5" s="542"/>
      <c r="N5" s="542"/>
      <c r="O5" s="542"/>
      <c r="P5" s="543"/>
    </row>
    <row r="6" spans="1:18"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18" ht="24.95" customHeight="1" x14ac:dyDescent="0.35">
      <c r="A7" s="555">
        <v>43878</v>
      </c>
      <c r="B7" s="556" t="s">
        <v>63</v>
      </c>
      <c r="C7" s="557"/>
      <c r="D7" s="558" t="s">
        <v>90</v>
      </c>
      <c r="E7" s="557"/>
      <c r="F7" s="557"/>
      <c r="G7" s="559" t="s">
        <v>102</v>
      </c>
      <c r="H7" s="560"/>
      <c r="I7" s="561"/>
      <c r="J7" s="559"/>
      <c r="K7" s="562"/>
      <c r="L7" s="563"/>
      <c r="M7" s="563"/>
      <c r="N7" s="563"/>
      <c r="O7" s="561">
        <v>33421.01</v>
      </c>
      <c r="P7" s="564" t="s">
        <v>22</v>
      </c>
      <c r="Q7" s="565"/>
      <c r="R7" s="565"/>
    </row>
    <row r="8" spans="1:18" s="577" customFormat="1" ht="24.95" customHeight="1" x14ac:dyDescent="0.35">
      <c r="A8" s="566">
        <v>44092</v>
      </c>
      <c r="B8" s="558" t="s">
        <v>78</v>
      </c>
      <c r="C8" s="567"/>
      <c r="D8" s="568" t="s">
        <v>92</v>
      </c>
      <c r="E8" s="567"/>
      <c r="F8" s="569"/>
      <c r="G8" s="570" t="s">
        <v>77</v>
      </c>
      <c r="H8" s="571"/>
      <c r="I8" s="572"/>
      <c r="J8" s="573"/>
      <c r="K8" s="573"/>
      <c r="L8" s="573"/>
      <c r="M8" s="573"/>
      <c r="N8" s="573"/>
      <c r="O8" s="574">
        <v>108000</v>
      </c>
      <c r="P8" s="575"/>
      <c r="Q8" s="576"/>
      <c r="R8" s="576"/>
    </row>
    <row r="9" spans="1:18" s="588" customFormat="1" ht="24.95" customHeight="1" x14ac:dyDescent="0.35">
      <c r="A9" s="578">
        <v>44352</v>
      </c>
      <c r="B9" s="558" t="s">
        <v>107</v>
      </c>
      <c r="C9" s="579"/>
      <c r="D9" s="580" t="s">
        <v>90</v>
      </c>
      <c r="E9" s="581"/>
      <c r="F9" s="581">
        <v>1918</v>
      </c>
      <c r="G9" s="582">
        <v>4457</v>
      </c>
      <c r="H9" s="583"/>
      <c r="I9" s="584"/>
      <c r="J9" s="584"/>
      <c r="K9" s="584"/>
      <c r="L9" s="584"/>
      <c r="M9" s="584"/>
      <c r="N9" s="584"/>
      <c r="O9" s="585">
        <v>36289.599999999999</v>
      </c>
      <c r="P9" s="586"/>
      <c r="Q9" s="587"/>
      <c r="R9" s="587"/>
    </row>
    <row r="10" spans="1:18" s="588" customFormat="1" ht="24.95" customHeight="1" x14ac:dyDescent="0.35">
      <c r="A10" s="578">
        <v>44413</v>
      </c>
      <c r="B10" s="558" t="s">
        <v>107</v>
      </c>
      <c r="C10" s="579"/>
      <c r="D10" s="580" t="s">
        <v>90</v>
      </c>
      <c r="E10" s="581"/>
      <c r="F10" s="581"/>
      <c r="G10" s="582">
        <v>4457</v>
      </c>
      <c r="H10" s="583"/>
      <c r="I10" s="584"/>
      <c r="J10" s="584"/>
      <c r="K10" s="584"/>
      <c r="L10" s="584"/>
      <c r="M10" s="584"/>
      <c r="N10" s="584"/>
      <c r="O10" s="585">
        <v>176976.8</v>
      </c>
      <c r="P10" s="586"/>
      <c r="Q10" s="587"/>
      <c r="R10" s="587"/>
    </row>
    <row r="11" spans="1:18" s="588" customFormat="1" ht="24.95" customHeight="1" x14ac:dyDescent="0.35">
      <c r="A11" s="589">
        <v>44420</v>
      </c>
      <c r="B11" s="556" t="s">
        <v>108</v>
      </c>
      <c r="C11" s="579"/>
      <c r="D11" s="558" t="s">
        <v>90</v>
      </c>
      <c r="E11" s="581"/>
      <c r="F11" s="581"/>
      <c r="G11" s="586" t="s">
        <v>120</v>
      </c>
      <c r="H11" s="583"/>
      <c r="I11" s="584"/>
      <c r="J11" s="584"/>
      <c r="K11" s="584"/>
      <c r="L11" s="584"/>
      <c r="M11" s="584"/>
      <c r="N11" s="584"/>
      <c r="O11" s="584">
        <v>470000</v>
      </c>
      <c r="P11" s="586"/>
      <c r="Q11" s="587"/>
      <c r="R11" s="587" t="s">
        <v>121</v>
      </c>
    </row>
    <row r="12" spans="1:18" s="588" customFormat="1" ht="24.95" customHeight="1" x14ac:dyDescent="0.35">
      <c r="A12" s="589">
        <v>44474</v>
      </c>
      <c r="B12" s="556" t="s">
        <v>110</v>
      </c>
      <c r="C12" s="579"/>
      <c r="D12" s="558" t="s">
        <v>92</v>
      </c>
      <c r="E12" s="581"/>
      <c r="F12" s="590"/>
      <c r="G12" s="586" t="s">
        <v>111</v>
      </c>
      <c r="H12" s="583"/>
      <c r="I12" s="591"/>
      <c r="J12" s="591"/>
      <c r="K12" s="592"/>
      <c r="L12" s="592"/>
      <c r="M12" s="592"/>
      <c r="N12" s="592"/>
      <c r="O12" s="592">
        <v>125000</v>
      </c>
      <c r="P12" s="586" t="s">
        <v>22</v>
      </c>
      <c r="Q12" s="587"/>
      <c r="R12" s="593" t="s">
        <v>112</v>
      </c>
    </row>
    <row r="13" spans="1:18" s="595" customFormat="1" ht="24.95" customHeight="1" x14ac:dyDescent="0.35">
      <c r="A13" s="589">
        <v>44480</v>
      </c>
      <c r="B13" s="556" t="s">
        <v>43</v>
      </c>
      <c r="C13" s="579"/>
      <c r="D13" s="586" t="s">
        <v>90</v>
      </c>
      <c r="E13" s="581"/>
      <c r="F13" s="590">
        <v>2019</v>
      </c>
      <c r="G13" s="586" t="s">
        <v>132</v>
      </c>
      <c r="H13" s="583"/>
      <c r="I13" s="591"/>
      <c r="J13" s="591"/>
      <c r="K13" s="594"/>
      <c r="L13" s="594"/>
      <c r="M13" s="594"/>
      <c r="N13" s="594"/>
      <c r="O13" s="594">
        <v>147281.20000000001</v>
      </c>
      <c r="P13" s="586"/>
      <c r="Q13" s="580"/>
      <c r="R13" s="593" t="s">
        <v>133</v>
      </c>
    </row>
    <row r="14" spans="1:18" s="588"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Q14" s="587"/>
      <c r="R14" s="587" t="s">
        <v>126</v>
      </c>
    </row>
    <row r="15" spans="1:18" s="588" customFormat="1" ht="24.95" customHeight="1" x14ac:dyDescent="0.35">
      <c r="A15" s="589">
        <v>44607</v>
      </c>
      <c r="B15" s="596" t="s">
        <v>59</v>
      </c>
      <c r="C15" s="579"/>
      <c r="D15" s="558" t="s">
        <v>90</v>
      </c>
      <c r="E15" s="581" t="s">
        <v>135</v>
      </c>
      <c r="F15" s="581"/>
      <c r="G15" s="586" t="s">
        <v>131</v>
      </c>
      <c r="H15" s="583"/>
      <c r="I15" s="591"/>
      <c r="J15" s="591"/>
      <c r="K15" s="591"/>
      <c r="L15" s="591"/>
      <c r="M15" s="591"/>
      <c r="N15" s="591"/>
      <c r="O15" s="591">
        <v>16076.04</v>
      </c>
      <c r="P15" s="591" t="s">
        <v>22</v>
      </c>
      <c r="Q15" s="587"/>
      <c r="R15" s="593" t="s">
        <v>134</v>
      </c>
    </row>
    <row r="16" spans="1:18" s="606" customFormat="1" ht="24.95" customHeight="1" x14ac:dyDescent="0.35">
      <c r="A16" s="597">
        <v>44609</v>
      </c>
      <c r="B16" s="598" t="s">
        <v>59</v>
      </c>
      <c r="C16" s="599"/>
      <c r="D16" s="600" t="s">
        <v>90</v>
      </c>
      <c r="E16" s="601" t="s">
        <v>129</v>
      </c>
      <c r="F16" s="601"/>
      <c r="G16" s="602" t="s">
        <v>118</v>
      </c>
      <c r="H16" s="603"/>
      <c r="I16" s="604"/>
      <c r="J16" s="604"/>
      <c r="K16" s="604"/>
      <c r="L16" s="604"/>
      <c r="M16" s="604"/>
      <c r="N16" s="604"/>
      <c r="O16" s="604">
        <v>7186.99</v>
      </c>
      <c r="P16" s="604" t="s">
        <v>22</v>
      </c>
      <c r="Q16" s="605"/>
      <c r="R16" s="605" t="s">
        <v>130</v>
      </c>
    </row>
    <row r="17" spans="1:18" s="588" customFormat="1" ht="24.95" customHeight="1" x14ac:dyDescent="0.35">
      <c r="A17" s="589">
        <v>44614</v>
      </c>
      <c r="B17" s="556" t="s">
        <v>136</v>
      </c>
      <c r="C17" s="579"/>
      <c r="D17" s="558" t="s">
        <v>92</v>
      </c>
      <c r="E17" s="581"/>
      <c r="F17" s="581"/>
      <c r="G17" s="586" t="s">
        <v>376</v>
      </c>
      <c r="H17" s="583"/>
      <c r="I17" s="591"/>
      <c r="J17" s="591"/>
      <c r="K17" s="591"/>
      <c r="L17" s="591"/>
      <c r="M17" s="591"/>
      <c r="N17" s="591"/>
      <c r="O17" s="591">
        <v>526625</v>
      </c>
      <c r="P17" s="591"/>
      <c r="Q17" s="587"/>
      <c r="R17" s="587" t="s">
        <v>193</v>
      </c>
    </row>
    <row r="18" spans="1:18" s="588"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Q18" s="587"/>
      <c r="R18" s="587" t="s">
        <v>138</v>
      </c>
    </row>
    <row r="19" spans="1:18" s="588"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Q19" s="587"/>
      <c r="R19" s="587" t="s">
        <v>139</v>
      </c>
    </row>
    <row r="20" spans="1:18" s="588" customFormat="1" ht="24.95" customHeight="1" x14ac:dyDescent="0.35">
      <c r="A20" s="589">
        <v>44711</v>
      </c>
      <c r="B20" s="556" t="s">
        <v>153</v>
      </c>
      <c r="C20" s="579"/>
      <c r="D20" s="558" t="s">
        <v>92</v>
      </c>
      <c r="E20" s="581"/>
      <c r="F20" s="581"/>
      <c r="G20" s="586" t="s">
        <v>181</v>
      </c>
      <c r="H20" s="583"/>
      <c r="I20" s="591"/>
      <c r="J20" s="591"/>
      <c r="K20" s="591"/>
      <c r="L20" s="591"/>
      <c r="M20" s="591"/>
      <c r="N20" s="591"/>
      <c r="O20" s="591">
        <v>164667</v>
      </c>
      <c r="P20" s="592"/>
      <c r="Q20" s="587"/>
      <c r="R20" s="593" t="s">
        <v>182</v>
      </c>
    </row>
    <row r="21" spans="1:18" s="606" customFormat="1" ht="24.95" customHeight="1" x14ac:dyDescent="0.35">
      <c r="A21" s="597">
        <v>44714</v>
      </c>
      <c r="B21" s="598" t="s">
        <v>59</v>
      </c>
      <c r="C21" s="599"/>
      <c r="D21" s="600" t="s">
        <v>90</v>
      </c>
      <c r="E21" s="601"/>
      <c r="F21" s="601">
        <v>2062</v>
      </c>
      <c r="G21" s="602" t="s">
        <v>118</v>
      </c>
      <c r="H21" s="603"/>
      <c r="I21" s="604"/>
      <c r="J21" s="604"/>
      <c r="K21" s="604"/>
      <c r="L21" s="604"/>
      <c r="M21" s="604"/>
      <c r="N21" s="604"/>
      <c r="O21" s="604">
        <v>77456</v>
      </c>
      <c r="P21" s="604" t="s">
        <v>22</v>
      </c>
      <c r="Q21" s="605"/>
      <c r="R21" s="598" t="s">
        <v>142</v>
      </c>
    </row>
    <row r="22" spans="1:18" s="606" customFormat="1" ht="24.95" customHeight="1" x14ac:dyDescent="0.35">
      <c r="A22" s="597">
        <v>44714</v>
      </c>
      <c r="B22" s="598" t="s">
        <v>59</v>
      </c>
      <c r="C22" s="599"/>
      <c r="D22" s="600" t="s">
        <v>90</v>
      </c>
      <c r="E22" s="601" t="s">
        <v>143</v>
      </c>
      <c r="F22" s="601"/>
      <c r="G22" s="602" t="s">
        <v>118</v>
      </c>
      <c r="H22" s="603"/>
      <c r="I22" s="604"/>
      <c r="J22" s="604"/>
      <c r="K22" s="604"/>
      <c r="L22" s="604"/>
      <c r="M22" s="604"/>
      <c r="N22" s="604"/>
      <c r="O22" s="604">
        <v>72499.08</v>
      </c>
      <c r="P22" s="604" t="s">
        <v>22</v>
      </c>
      <c r="Q22" s="605"/>
      <c r="R22" s="598" t="s">
        <v>144</v>
      </c>
    </row>
    <row r="23" spans="1:18" s="606" customFormat="1" ht="24.95" customHeight="1" x14ac:dyDescent="0.35">
      <c r="A23" s="597">
        <v>44741</v>
      </c>
      <c r="B23" s="598" t="s">
        <v>59</v>
      </c>
      <c r="C23" s="599"/>
      <c r="D23" s="600" t="s">
        <v>90</v>
      </c>
      <c r="E23" s="601" t="s">
        <v>166</v>
      </c>
      <c r="F23" s="601"/>
      <c r="G23" s="602">
        <v>5908</v>
      </c>
      <c r="H23" s="603"/>
      <c r="I23" s="604"/>
      <c r="J23" s="604"/>
      <c r="K23" s="604"/>
      <c r="L23" s="604"/>
      <c r="M23" s="607"/>
      <c r="N23" s="607"/>
      <c r="O23" s="607">
        <v>510</v>
      </c>
      <c r="P23" s="607" t="s">
        <v>22</v>
      </c>
      <c r="Q23" s="605"/>
      <c r="R23" s="598" t="s">
        <v>167</v>
      </c>
    </row>
    <row r="24" spans="1:18" s="588" customFormat="1" ht="24.95" customHeight="1" x14ac:dyDescent="0.35">
      <c r="A24" s="589">
        <v>44768</v>
      </c>
      <c r="B24" s="556" t="s">
        <v>159</v>
      </c>
      <c r="C24" s="579"/>
      <c r="D24" s="558" t="s">
        <v>90</v>
      </c>
      <c r="E24" s="581"/>
      <c r="F24" s="581"/>
      <c r="G24" s="586" t="s">
        <v>151</v>
      </c>
      <c r="H24" s="583"/>
      <c r="I24" s="591"/>
      <c r="J24" s="591"/>
      <c r="K24" s="591"/>
      <c r="L24" s="591"/>
      <c r="M24" s="591"/>
      <c r="N24" s="591"/>
      <c r="O24" s="591">
        <v>1035500</v>
      </c>
      <c r="P24" s="591" t="s">
        <v>22</v>
      </c>
      <c r="Q24" s="587"/>
      <c r="R24" s="608" t="s">
        <v>199</v>
      </c>
    </row>
    <row r="25" spans="1:18" s="588" customFormat="1" ht="24.95" customHeight="1" x14ac:dyDescent="0.35">
      <c r="A25" s="589">
        <v>44786</v>
      </c>
      <c r="B25" s="556" t="s">
        <v>150</v>
      </c>
      <c r="C25" s="579"/>
      <c r="D25" s="558" t="s">
        <v>94</v>
      </c>
      <c r="E25" s="581"/>
      <c r="F25" s="581">
        <v>2136</v>
      </c>
      <c r="G25" s="586" t="s">
        <v>170</v>
      </c>
      <c r="H25" s="583"/>
      <c r="I25" s="591"/>
      <c r="J25" s="591"/>
      <c r="K25" s="591"/>
      <c r="L25" s="591"/>
      <c r="M25" s="592"/>
      <c r="N25" s="591"/>
      <c r="O25" s="591">
        <v>193400</v>
      </c>
      <c r="P25" s="586" t="s">
        <v>22</v>
      </c>
      <c r="Q25" s="587"/>
      <c r="R25" s="593" t="s">
        <v>171</v>
      </c>
    </row>
    <row r="26" spans="1:18" s="588"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Q26" s="587"/>
      <c r="R26" s="593" t="s">
        <v>174</v>
      </c>
    </row>
    <row r="27" spans="1:18" s="588"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Q27" s="587"/>
      <c r="R27" s="593" t="s">
        <v>160</v>
      </c>
    </row>
    <row r="28" spans="1:18" s="606" customFormat="1" ht="24.95" customHeight="1" x14ac:dyDescent="0.35">
      <c r="A28" s="597">
        <v>44855</v>
      </c>
      <c r="B28" s="598" t="s">
        <v>59</v>
      </c>
      <c r="C28" s="599"/>
      <c r="D28" s="600" t="s">
        <v>90</v>
      </c>
      <c r="E28" s="601" t="s">
        <v>164</v>
      </c>
      <c r="F28" s="601"/>
      <c r="G28" s="602">
        <v>5739</v>
      </c>
      <c r="H28" s="603"/>
      <c r="I28" s="604"/>
      <c r="J28" s="604"/>
      <c r="K28" s="604"/>
      <c r="L28" s="604"/>
      <c r="M28" s="604"/>
      <c r="N28" s="604"/>
      <c r="O28" s="604">
        <v>6650</v>
      </c>
      <c r="P28" s="604" t="s">
        <v>22</v>
      </c>
      <c r="Q28" s="605"/>
      <c r="R28" s="598" t="s">
        <v>165</v>
      </c>
    </row>
    <row r="29" spans="1:18" s="606" customFormat="1" ht="24.95" customHeight="1" x14ac:dyDescent="0.35">
      <c r="A29" s="597">
        <v>44855</v>
      </c>
      <c r="B29" s="598" t="s">
        <v>59</v>
      </c>
      <c r="C29" s="599"/>
      <c r="D29" s="600" t="s">
        <v>90</v>
      </c>
      <c r="E29" s="601" t="s">
        <v>168</v>
      </c>
      <c r="F29" s="601"/>
      <c r="G29" s="602" t="s">
        <v>118</v>
      </c>
      <c r="H29" s="603"/>
      <c r="I29" s="604"/>
      <c r="J29" s="604"/>
      <c r="K29" s="604"/>
      <c r="L29" s="604"/>
      <c r="M29" s="604"/>
      <c r="N29" s="604"/>
      <c r="O29" s="604">
        <v>3000</v>
      </c>
      <c r="P29" s="604" t="s">
        <v>22</v>
      </c>
      <c r="Q29" s="605"/>
      <c r="R29" s="598" t="s">
        <v>169</v>
      </c>
    </row>
    <row r="30" spans="1:18" s="606" customFormat="1" ht="24.95" customHeight="1" x14ac:dyDescent="0.35">
      <c r="A30" s="597">
        <v>44916</v>
      </c>
      <c r="B30" s="598" t="s">
        <v>59</v>
      </c>
      <c r="C30" s="599"/>
      <c r="D30" s="600" t="s">
        <v>90</v>
      </c>
      <c r="E30" s="601"/>
      <c r="F30" s="601">
        <v>2176</v>
      </c>
      <c r="G30" s="602" t="s">
        <v>118</v>
      </c>
      <c r="H30" s="603"/>
      <c r="I30" s="604"/>
      <c r="J30" s="604"/>
      <c r="K30" s="604"/>
      <c r="L30" s="604"/>
      <c r="M30" s="604"/>
      <c r="N30" s="607"/>
      <c r="O30" s="604">
        <v>186146</v>
      </c>
      <c r="P30" s="602"/>
      <c r="Q30" s="605"/>
      <c r="R30" s="598" t="s">
        <v>179</v>
      </c>
    </row>
    <row r="31" spans="1:18" s="619" customFormat="1" ht="24.95" customHeight="1" x14ac:dyDescent="0.35">
      <c r="A31" s="609">
        <v>44954</v>
      </c>
      <c r="B31" s="610" t="s">
        <v>145</v>
      </c>
      <c r="C31" s="611"/>
      <c r="D31" s="612" t="s">
        <v>92</v>
      </c>
      <c r="E31" s="613" t="s">
        <v>260</v>
      </c>
      <c r="F31" s="613"/>
      <c r="G31" s="614" t="s">
        <v>262</v>
      </c>
      <c r="H31" s="615"/>
      <c r="I31" s="616"/>
      <c r="J31" s="616"/>
      <c r="K31" s="616"/>
      <c r="L31" s="616"/>
      <c r="M31" s="616"/>
      <c r="N31" s="616"/>
      <c r="O31" s="616">
        <v>666000</v>
      </c>
      <c r="P31" s="616"/>
      <c r="Q31" s="617"/>
      <c r="R31" s="618" t="s">
        <v>264</v>
      </c>
    </row>
    <row r="32" spans="1:18" s="619" customFormat="1" ht="24.95" customHeight="1" x14ac:dyDescent="0.35">
      <c r="A32" s="609">
        <v>44954</v>
      </c>
      <c r="B32" s="610" t="s">
        <v>145</v>
      </c>
      <c r="C32" s="611"/>
      <c r="D32" s="612" t="s">
        <v>92</v>
      </c>
      <c r="E32" s="613" t="s">
        <v>261</v>
      </c>
      <c r="F32" s="613"/>
      <c r="G32" s="614" t="s">
        <v>263</v>
      </c>
      <c r="H32" s="615"/>
      <c r="I32" s="616"/>
      <c r="J32" s="616"/>
      <c r="K32" s="616"/>
      <c r="L32" s="616"/>
      <c r="M32" s="616"/>
      <c r="N32" s="616"/>
      <c r="O32" s="616">
        <v>657658.5</v>
      </c>
      <c r="P32" s="616"/>
      <c r="Q32" s="617"/>
      <c r="R32" s="618" t="s">
        <v>265</v>
      </c>
    </row>
    <row r="33" spans="1:18" s="588"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Q33" s="587"/>
      <c r="R33" s="593" t="s">
        <v>185</v>
      </c>
    </row>
    <row r="34" spans="1:18" s="588" customFormat="1" ht="24.95" customHeight="1" x14ac:dyDescent="0.35">
      <c r="A34" s="589" t="s">
        <v>190</v>
      </c>
      <c r="B34" s="620" t="s">
        <v>191</v>
      </c>
      <c r="C34" s="579"/>
      <c r="D34" s="558" t="s">
        <v>92</v>
      </c>
      <c r="E34" s="581"/>
      <c r="F34" s="581"/>
      <c r="G34" s="586" t="s">
        <v>118</v>
      </c>
      <c r="H34" s="583"/>
      <c r="I34" s="591"/>
      <c r="J34" s="591"/>
      <c r="K34" s="591"/>
      <c r="L34" s="591"/>
      <c r="M34" s="591"/>
      <c r="N34" s="591"/>
      <c r="O34" s="591">
        <v>67000</v>
      </c>
      <c r="P34" s="591" t="s">
        <v>22</v>
      </c>
      <c r="Q34" s="587"/>
      <c r="R34" s="593"/>
    </row>
    <row r="35" spans="1:18" s="619" customFormat="1" ht="24.95" customHeight="1" x14ac:dyDescent="0.35">
      <c r="A35" s="609">
        <v>45017</v>
      </c>
      <c r="B35" s="610" t="s">
        <v>145</v>
      </c>
      <c r="C35" s="611"/>
      <c r="D35" s="612" t="s">
        <v>92</v>
      </c>
      <c r="E35" s="613"/>
      <c r="F35" s="613"/>
      <c r="G35" s="614">
        <v>5460</v>
      </c>
      <c r="H35" s="615" t="s">
        <v>257</v>
      </c>
      <c r="I35" s="616"/>
      <c r="J35" s="616"/>
      <c r="K35" s="616"/>
      <c r="L35" s="616"/>
      <c r="M35" s="616"/>
      <c r="N35" s="616"/>
      <c r="O35" s="621">
        <v>413995.98</v>
      </c>
      <c r="P35" s="614"/>
      <c r="Q35" s="617"/>
      <c r="R35" s="618" t="s">
        <v>276</v>
      </c>
    </row>
    <row r="36" spans="1:18" s="623" customFormat="1" ht="24.95" customHeight="1" x14ac:dyDescent="0.35">
      <c r="A36" s="622">
        <v>45147</v>
      </c>
      <c r="B36" s="623" t="s">
        <v>205</v>
      </c>
      <c r="D36" s="623" t="s">
        <v>92</v>
      </c>
      <c r="E36" s="624"/>
      <c r="F36" s="624"/>
      <c r="G36" s="625">
        <v>5568</v>
      </c>
      <c r="O36" s="623">
        <v>10000</v>
      </c>
      <c r="P36" s="623" t="s">
        <v>210</v>
      </c>
      <c r="R36" s="623" t="s">
        <v>206</v>
      </c>
    </row>
    <row r="37" spans="1:18" s="619" customFormat="1" ht="24.95" customHeight="1" x14ac:dyDescent="0.35">
      <c r="A37" s="609">
        <v>45181</v>
      </c>
      <c r="B37" s="610" t="s">
        <v>145</v>
      </c>
      <c r="C37" s="611"/>
      <c r="D37" s="612" t="s">
        <v>90</v>
      </c>
      <c r="E37" s="613" t="s">
        <v>277</v>
      </c>
      <c r="F37" s="613"/>
      <c r="G37" s="614">
        <v>5606</v>
      </c>
      <c r="H37" s="615"/>
      <c r="I37" s="626"/>
      <c r="J37" s="626"/>
      <c r="K37" s="626"/>
      <c r="L37" s="626"/>
      <c r="M37" s="626"/>
      <c r="N37" s="626"/>
      <c r="O37" s="626">
        <v>676930.8</v>
      </c>
      <c r="P37" s="614"/>
      <c r="Q37" s="617"/>
      <c r="R37" s="618" t="s">
        <v>278</v>
      </c>
    </row>
    <row r="38" spans="1:18" s="588" customFormat="1" ht="24.95" customHeight="1" x14ac:dyDescent="0.35">
      <c r="A38" s="589">
        <v>45195</v>
      </c>
      <c r="B38" s="556" t="s">
        <v>271</v>
      </c>
      <c r="C38" s="579"/>
      <c r="D38" s="558" t="s">
        <v>92</v>
      </c>
      <c r="E38" s="581"/>
      <c r="F38" s="581"/>
      <c r="G38" s="586" t="s">
        <v>272</v>
      </c>
      <c r="H38" s="583"/>
      <c r="I38" s="592"/>
      <c r="J38" s="592"/>
      <c r="K38" s="592"/>
      <c r="L38" s="592"/>
      <c r="M38" s="592"/>
      <c r="N38" s="592"/>
      <c r="O38" s="592">
        <v>2339.29</v>
      </c>
      <c r="P38" s="586" t="s">
        <v>22</v>
      </c>
      <c r="Q38" s="587"/>
      <c r="R38" s="586" t="s">
        <v>273</v>
      </c>
    </row>
    <row r="39" spans="1:18" s="588" customFormat="1" ht="24.95" customHeight="1" x14ac:dyDescent="0.35">
      <c r="A39" s="589">
        <v>45310</v>
      </c>
      <c r="B39" s="627" t="s">
        <v>109</v>
      </c>
      <c r="C39" s="579"/>
      <c r="D39" s="586" t="s">
        <v>90</v>
      </c>
      <c r="E39" s="581"/>
      <c r="F39" s="581"/>
      <c r="G39" s="586" t="s">
        <v>327</v>
      </c>
      <c r="H39" s="583"/>
      <c r="I39" s="592"/>
      <c r="J39" s="592"/>
      <c r="K39" s="592"/>
      <c r="L39" s="592"/>
      <c r="M39" s="592"/>
      <c r="N39" s="592"/>
      <c r="O39" s="592">
        <v>16550</v>
      </c>
      <c r="P39" s="586" t="s">
        <v>22</v>
      </c>
      <c r="Q39" s="587"/>
      <c r="R39" s="593" t="s">
        <v>328</v>
      </c>
    </row>
    <row r="40" spans="1:18" s="619" customFormat="1" ht="24.95" customHeight="1" x14ac:dyDescent="0.35">
      <c r="A40" s="609">
        <v>45313</v>
      </c>
      <c r="B40" s="628" t="s">
        <v>37</v>
      </c>
      <c r="C40" s="611"/>
      <c r="D40" s="614" t="s">
        <v>90</v>
      </c>
      <c r="E40" s="613" t="s">
        <v>233</v>
      </c>
      <c r="F40" s="613"/>
      <c r="G40" s="614">
        <v>5714</v>
      </c>
      <c r="H40" s="615"/>
      <c r="I40" s="626"/>
      <c r="J40" s="626"/>
      <c r="K40" s="626"/>
      <c r="L40" s="626"/>
      <c r="M40" s="626"/>
      <c r="N40" s="626"/>
      <c r="O40" s="626">
        <v>150000</v>
      </c>
      <c r="P40" s="614"/>
      <c r="Q40" s="617"/>
      <c r="R40" s="618" t="s">
        <v>234</v>
      </c>
    </row>
    <row r="41" spans="1:18" s="588"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Q41" s="587"/>
      <c r="R41" s="593" t="s">
        <v>231</v>
      </c>
    </row>
    <row r="42" spans="1:18" s="606" customFormat="1" ht="24.95" customHeight="1" x14ac:dyDescent="0.35">
      <c r="A42" s="597">
        <v>45343</v>
      </c>
      <c r="B42" s="598" t="s">
        <v>59</v>
      </c>
      <c r="C42" s="599"/>
      <c r="D42" s="598" t="s">
        <v>90</v>
      </c>
      <c r="E42" s="601" t="s">
        <v>238</v>
      </c>
      <c r="F42" s="601"/>
      <c r="G42" s="602" t="s">
        <v>118</v>
      </c>
      <c r="H42" s="603"/>
      <c r="I42" s="607"/>
      <c r="J42" s="607"/>
      <c r="K42" s="607"/>
      <c r="L42" s="607"/>
      <c r="M42" s="607"/>
      <c r="N42" s="607"/>
      <c r="O42" s="607">
        <v>22500</v>
      </c>
      <c r="P42" s="604" t="s">
        <v>22</v>
      </c>
      <c r="Q42" s="605"/>
      <c r="R42" s="598" t="s">
        <v>239</v>
      </c>
    </row>
    <row r="43" spans="1:18" s="588"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Q43" s="587"/>
      <c r="R43" s="593" t="s">
        <v>251</v>
      </c>
    </row>
    <row r="44" spans="1:18" s="619" customFormat="1" ht="24.95" customHeight="1" x14ac:dyDescent="0.35">
      <c r="A44" s="609">
        <v>45386</v>
      </c>
      <c r="B44" s="610" t="s">
        <v>145</v>
      </c>
      <c r="C44" s="611"/>
      <c r="D44" s="614" t="s">
        <v>90</v>
      </c>
      <c r="E44" s="613"/>
      <c r="F44" s="613"/>
      <c r="G44" s="614">
        <v>5776</v>
      </c>
      <c r="H44" s="615"/>
      <c r="I44" s="626"/>
      <c r="J44" s="626"/>
      <c r="K44" s="626" t="s">
        <v>64</v>
      </c>
      <c r="L44" s="626"/>
      <c r="M44" s="626"/>
      <c r="N44" s="626"/>
      <c r="O44" s="626">
        <v>455997.92</v>
      </c>
      <c r="P44" s="616" t="s">
        <v>22</v>
      </c>
      <c r="Q44" s="617"/>
      <c r="R44" s="618" t="s">
        <v>256</v>
      </c>
    </row>
    <row r="45" spans="1:18" s="588" customFormat="1" ht="24.95" customHeight="1" x14ac:dyDescent="0.35">
      <c r="A45" s="589">
        <v>45458</v>
      </c>
      <c r="B45" s="556" t="s">
        <v>43</v>
      </c>
      <c r="C45" s="579"/>
      <c r="D45" s="586" t="s">
        <v>90</v>
      </c>
      <c r="E45" s="581"/>
      <c r="F45" s="581">
        <v>2355</v>
      </c>
      <c r="G45" s="586" t="s">
        <v>290</v>
      </c>
      <c r="H45" s="583"/>
      <c r="I45" s="592"/>
      <c r="J45" s="592"/>
      <c r="K45" s="592"/>
      <c r="L45" s="592"/>
      <c r="M45" s="592">
        <v>11059.82</v>
      </c>
      <c r="N45" s="592"/>
      <c r="O45" s="586"/>
      <c r="P45" s="586" t="s">
        <v>22</v>
      </c>
      <c r="Q45" s="587"/>
      <c r="R45" s="587" t="s">
        <v>350</v>
      </c>
    </row>
    <row r="46" spans="1:18" s="588" customFormat="1" ht="24.95" customHeight="1" x14ac:dyDescent="0.35">
      <c r="A46" s="589">
        <v>45544</v>
      </c>
      <c r="B46" s="556" t="s">
        <v>217</v>
      </c>
      <c r="C46" s="579"/>
      <c r="D46" s="586" t="s">
        <v>90</v>
      </c>
      <c r="E46" s="581"/>
      <c r="F46" s="581">
        <v>2316</v>
      </c>
      <c r="G46" s="586">
        <v>5882</v>
      </c>
      <c r="H46" s="583"/>
      <c r="I46" s="592"/>
      <c r="J46" s="592">
        <v>458000</v>
      </c>
      <c r="K46" s="591"/>
      <c r="L46" s="592"/>
      <c r="M46" s="592"/>
      <c r="N46" s="592"/>
      <c r="O46" s="586"/>
      <c r="P46" s="586"/>
      <c r="Q46" s="587"/>
      <c r="R46" s="587" t="s">
        <v>317</v>
      </c>
    </row>
    <row r="47" spans="1:18" s="588" customFormat="1" ht="24.95" customHeight="1" x14ac:dyDescent="0.35">
      <c r="A47" s="589">
        <v>45582</v>
      </c>
      <c r="B47" s="556" t="s">
        <v>417</v>
      </c>
      <c r="C47" s="579"/>
      <c r="D47" s="586"/>
      <c r="E47" s="581"/>
      <c r="F47" s="581"/>
      <c r="G47" s="586" t="s">
        <v>451</v>
      </c>
      <c r="H47" s="583"/>
      <c r="I47" s="592"/>
      <c r="J47" s="629">
        <v>273520</v>
      </c>
      <c r="K47" s="591" t="s">
        <v>22</v>
      </c>
      <c r="L47" s="592"/>
      <c r="M47" s="592"/>
      <c r="N47" s="592"/>
      <c r="O47" s="586"/>
      <c r="P47" s="586"/>
      <c r="Q47" s="587"/>
      <c r="R47" s="587" t="s">
        <v>412</v>
      </c>
    </row>
    <row r="48" spans="1:18" s="619" customFormat="1" ht="24.95" customHeight="1" x14ac:dyDescent="0.35">
      <c r="A48" s="609">
        <v>45601</v>
      </c>
      <c r="B48" s="610" t="s">
        <v>145</v>
      </c>
      <c r="C48" s="611"/>
      <c r="D48" s="614" t="s">
        <v>90</v>
      </c>
      <c r="E48" s="613"/>
      <c r="F48" s="613"/>
      <c r="G48" s="614">
        <v>5920</v>
      </c>
      <c r="H48" s="615"/>
      <c r="I48" s="626"/>
      <c r="J48" s="616" t="s">
        <v>354</v>
      </c>
      <c r="K48" s="626"/>
      <c r="L48" s="626">
        <v>310000</v>
      </c>
      <c r="M48" s="626"/>
      <c r="N48" s="626"/>
      <c r="O48" s="614"/>
      <c r="P48" s="614"/>
      <c r="Q48" s="617"/>
      <c r="R48" s="617" t="s">
        <v>355</v>
      </c>
    </row>
    <row r="49" spans="1:19" s="588" customFormat="1" ht="24.95" customHeight="1" x14ac:dyDescent="0.35">
      <c r="A49" s="589">
        <v>45602</v>
      </c>
      <c r="B49" s="556" t="s">
        <v>321</v>
      </c>
      <c r="C49" s="579"/>
      <c r="D49" s="586" t="s">
        <v>90</v>
      </c>
      <c r="E49" s="581"/>
      <c r="F49" s="581">
        <v>2332</v>
      </c>
      <c r="G49" s="586">
        <v>5922</v>
      </c>
      <c r="H49" s="583"/>
      <c r="I49" s="592"/>
      <c r="J49" s="591"/>
      <c r="K49" s="592"/>
      <c r="L49" s="592"/>
      <c r="M49" s="630">
        <v>670700</v>
      </c>
      <c r="N49" s="592"/>
      <c r="O49" s="630"/>
      <c r="P49" s="586" t="s">
        <v>22</v>
      </c>
      <c r="Q49" s="587"/>
      <c r="R49" s="587" t="s">
        <v>368</v>
      </c>
    </row>
    <row r="50" spans="1:19" s="588" customFormat="1" ht="24.95" customHeight="1" x14ac:dyDescent="0.35">
      <c r="A50" s="589">
        <v>45628</v>
      </c>
      <c r="B50" s="556" t="s">
        <v>409</v>
      </c>
      <c r="C50" s="579"/>
      <c r="D50" s="586" t="s">
        <v>90</v>
      </c>
      <c r="E50" s="581"/>
      <c r="F50" s="581">
        <v>2366</v>
      </c>
      <c r="G50" s="586">
        <v>5985</v>
      </c>
      <c r="H50" s="583"/>
      <c r="I50" s="592"/>
      <c r="J50" s="592"/>
      <c r="K50" s="592">
        <v>86500</v>
      </c>
      <c r="L50" s="592"/>
      <c r="M50" s="592"/>
      <c r="N50" s="592"/>
      <c r="O50" s="586"/>
      <c r="P50" s="586"/>
      <c r="Q50" s="587"/>
      <c r="R50" s="587" t="s">
        <v>410</v>
      </c>
    </row>
    <row r="51" spans="1:19" s="588" customFormat="1" ht="24.95" customHeight="1" x14ac:dyDescent="0.35">
      <c r="A51" s="589">
        <v>45630</v>
      </c>
      <c r="B51" s="556" t="s">
        <v>411</v>
      </c>
      <c r="C51" s="579"/>
      <c r="D51" s="586" t="s">
        <v>92</v>
      </c>
      <c r="E51" s="581"/>
      <c r="F51" s="581"/>
      <c r="G51" s="586">
        <v>5939</v>
      </c>
      <c r="H51" s="583"/>
      <c r="I51" s="592"/>
      <c r="J51" s="592"/>
      <c r="K51" s="592">
        <v>297900</v>
      </c>
      <c r="L51" s="592"/>
      <c r="M51" s="592"/>
      <c r="N51" s="592"/>
      <c r="O51" s="586"/>
      <c r="P51" s="586"/>
      <c r="Q51" s="587"/>
      <c r="R51" s="587" t="s">
        <v>399</v>
      </c>
    </row>
    <row r="52" spans="1:19" s="588" customFormat="1" ht="24.95" customHeight="1" x14ac:dyDescent="0.35">
      <c r="A52" s="589">
        <v>45631</v>
      </c>
      <c r="B52" s="556" t="s">
        <v>301</v>
      </c>
      <c r="C52" s="579"/>
      <c r="D52" s="586" t="s">
        <v>90</v>
      </c>
      <c r="E52" s="581"/>
      <c r="F52" s="581"/>
      <c r="G52" s="586" t="s">
        <v>416</v>
      </c>
      <c r="H52" s="583"/>
      <c r="I52" s="592"/>
      <c r="J52" s="592"/>
      <c r="K52" s="592">
        <v>948500</v>
      </c>
      <c r="L52" s="592"/>
      <c r="M52" s="592"/>
      <c r="N52" s="592"/>
      <c r="O52" s="586"/>
      <c r="P52" s="586"/>
      <c r="Q52" s="587"/>
      <c r="R52" s="587"/>
    </row>
    <row r="53" spans="1:19" s="588" customFormat="1" ht="24.95" customHeight="1" x14ac:dyDescent="0.35">
      <c r="A53" s="589">
        <v>45680</v>
      </c>
      <c r="B53" s="620" t="s">
        <v>428</v>
      </c>
      <c r="C53" s="631"/>
      <c r="D53" s="586" t="s">
        <v>92</v>
      </c>
      <c r="E53" s="581"/>
      <c r="F53" s="581"/>
      <c r="G53" s="586">
        <v>5978</v>
      </c>
      <c r="H53" s="583"/>
      <c r="I53" s="592"/>
      <c r="J53" s="592">
        <v>627000</v>
      </c>
      <c r="K53" s="591"/>
      <c r="L53" s="592"/>
      <c r="M53" s="592"/>
      <c r="N53" s="592"/>
      <c r="O53" s="586"/>
      <c r="P53" s="586"/>
      <c r="Q53" s="587"/>
      <c r="R53" s="587"/>
    </row>
    <row r="54" spans="1:19" s="619" customFormat="1" ht="24.95" customHeight="1" x14ac:dyDescent="0.35">
      <c r="A54" s="609">
        <v>45680</v>
      </c>
      <c r="B54" s="632" t="s">
        <v>429</v>
      </c>
      <c r="C54" s="633"/>
      <c r="D54" s="614" t="s">
        <v>90</v>
      </c>
      <c r="E54" s="613"/>
      <c r="F54" s="613">
        <v>2343</v>
      </c>
      <c r="G54" s="614">
        <v>5979</v>
      </c>
      <c r="H54" s="615"/>
      <c r="I54" s="626"/>
      <c r="J54" s="626">
        <v>45000</v>
      </c>
      <c r="K54" s="616"/>
      <c r="L54" s="626"/>
      <c r="M54" s="626"/>
      <c r="N54" s="626"/>
      <c r="O54" s="614"/>
      <c r="P54" s="614"/>
      <c r="Q54" s="617"/>
      <c r="R54" s="617"/>
    </row>
    <row r="55" spans="1:19" s="588" customFormat="1" ht="24.95" customHeight="1" x14ac:dyDescent="0.35">
      <c r="A55" s="589">
        <v>45682</v>
      </c>
      <c r="B55" s="620" t="s">
        <v>431</v>
      </c>
      <c r="C55" s="631"/>
      <c r="D55" s="586"/>
      <c r="E55" s="581"/>
      <c r="F55" s="581"/>
      <c r="G55" s="586">
        <v>5980</v>
      </c>
      <c r="H55" s="583"/>
      <c r="I55" s="592"/>
      <c r="J55" s="592">
        <v>32500</v>
      </c>
      <c r="K55" s="591"/>
      <c r="L55" s="592"/>
      <c r="M55" s="592"/>
      <c r="N55" s="592"/>
      <c r="O55" s="586"/>
      <c r="P55" s="586"/>
      <c r="Q55" s="587"/>
      <c r="R55" s="587"/>
    </row>
    <row r="56" spans="1:19" s="588" customFormat="1" ht="24.95" customHeight="1" x14ac:dyDescent="0.35">
      <c r="A56" s="589">
        <v>45682</v>
      </c>
      <c r="B56" s="620" t="s">
        <v>430</v>
      </c>
      <c r="C56" s="631"/>
      <c r="D56" s="586"/>
      <c r="E56" s="581"/>
      <c r="F56" s="581"/>
      <c r="G56" s="586">
        <v>5981</v>
      </c>
      <c r="H56" s="583"/>
      <c r="I56" s="592"/>
      <c r="J56" s="592">
        <v>64518.75</v>
      </c>
      <c r="K56" s="591"/>
      <c r="L56" s="592"/>
      <c r="M56" s="592"/>
      <c r="N56" s="592"/>
      <c r="O56" s="586"/>
      <c r="P56" s="586"/>
      <c r="Q56" s="587"/>
      <c r="R56" s="587"/>
    </row>
    <row r="57" spans="1:19" s="588" customFormat="1" ht="24.95" customHeight="1" x14ac:dyDescent="0.35">
      <c r="A57" s="589" t="s">
        <v>421</v>
      </c>
      <c r="B57" s="620" t="s">
        <v>270</v>
      </c>
      <c r="C57" s="631"/>
      <c r="D57" s="586" t="s">
        <v>90</v>
      </c>
      <c r="E57" s="581"/>
      <c r="F57" s="581"/>
      <c r="G57" s="586">
        <v>5950</v>
      </c>
      <c r="H57" s="583"/>
      <c r="I57" s="592"/>
      <c r="J57" s="634" t="s">
        <v>419</v>
      </c>
      <c r="K57" s="591"/>
      <c r="L57" s="592"/>
      <c r="M57" s="592"/>
      <c r="N57" s="592"/>
      <c r="O57" s="586"/>
      <c r="P57" s="586"/>
      <c r="Q57" s="587"/>
      <c r="R57" s="587"/>
    </row>
    <row r="58" spans="1:19" s="643" customFormat="1" ht="24.95" customHeight="1" x14ac:dyDescent="0.35">
      <c r="A58" s="635">
        <v>45685</v>
      </c>
      <c r="B58" s="636" t="s">
        <v>432</v>
      </c>
      <c r="C58" s="637"/>
      <c r="D58" s="638" t="s">
        <v>90</v>
      </c>
      <c r="E58" s="639"/>
      <c r="F58" s="639"/>
      <c r="G58" s="638">
        <v>5982</v>
      </c>
      <c r="H58" s="640"/>
      <c r="I58" s="641"/>
      <c r="J58" s="641">
        <v>133000</v>
      </c>
      <c r="K58" s="642"/>
      <c r="L58" s="641"/>
      <c r="M58" s="641"/>
      <c r="N58" s="641"/>
      <c r="O58" s="638"/>
      <c r="P58" s="638"/>
    </row>
    <row r="59" spans="1:19" s="623" customFormat="1" ht="24.95" customHeight="1" x14ac:dyDescent="0.35">
      <c r="A59" s="644" t="s">
        <v>421</v>
      </c>
      <c r="B59" s="645" t="s">
        <v>301</v>
      </c>
      <c r="D59" s="624" t="s">
        <v>90</v>
      </c>
      <c r="E59" s="624"/>
      <c r="F59" s="624"/>
      <c r="G59" s="625">
        <v>5984</v>
      </c>
      <c r="J59" s="646" t="s">
        <v>419</v>
      </c>
      <c r="O59" s="624"/>
      <c r="P59" s="624"/>
      <c r="S59" s="623" t="s">
        <v>435</v>
      </c>
    </row>
    <row r="60" spans="1:19" s="623" customFormat="1" ht="24.95" customHeight="1" x14ac:dyDescent="0.35">
      <c r="A60" s="644" t="s">
        <v>421</v>
      </c>
      <c r="B60" s="645" t="s">
        <v>301</v>
      </c>
      <c r="D60" s="624" t="s">
        <v>90</v>
      </c>
      <c r="E60" s="624"/>
      <c r="F60" s="624"/>
      <c r="G60" s="625">
        <v>5985</v>
      </c>
      <c r="J60" s="646" t="s">
        <v>419</v>
      </c>
      <c r="O60" s="624"/>
      <c r="P60" s="624"/>
      <c r="S60" s="623" t="s">
        <v>435</v>
      </c>
    </row>
    <row r="61" spans="1:19" s="623" customFormat="1" ht="24.95" customHeight="1" x14ac:dyDescent="0.35">
      <c r="A61" s="644" t="s">
        <v>421</v>
      </c>
      <c r="B61" s="645" t="s">
        <v>285</v>
      </c>
      <c r="D61" s="624" t="s">
        <v>221</v>
      </c>
      <c r="E61" s="624"/>
      <c r="F61" s="624"/>
      <c r="G61" s="625">
        <v>5986</v>
      </c>
      <c r="J61" s="646" t="s">
        <v>419</v>
      </c>
      <c r="O61" s="624"/>
      <c r="P61" s="624"/>
    </row>
    <row r="62" spans="1:19" s="623" customFormat="1" ht="24.95" customHeight="1" x14ac:dyDescent="0.35">
      <c r="A62" s="644" t="s">
        <v>421</v>
      </c>
      <c r="B62" s="645" t="s">
        <v>285</v>
      </c>
      <c r="D62" s="624" t="s">
        <v>221</v>
      </c>
      <c r="E62" s="624"/>
      <c r="F62" s="624"/>
      <c r="G62" s="625">
        <v>5987</v>
      </c>
      <c r="J62" s="646" t="s">
        <v>419</v>
      </c>
      <c r="O62" s="624"/>
      <c r="P62" s="624"/>
    </row>
    <row r="63" spans="1:19" s="623" customFormat="1" ht="24.95" customHeight="1" x14ac:dyDescent="0.35">
      <c r="A63" s="644" t="s">
        <v>421</v>
      </c>
      <c r="B63" s="645" t="s">
        <v>285</v>
      </c>
      <c r="D63" s="624" t="s">
        <v>221</v>
      </c>
      <c r="E63" s="624"/>
      <c r="F63" s="624"/>
      <c r="G63" s="625">
        <v>5988</v>
      </c>
      <c r="J63" s="646" t="s">
        <v>419</v>
      </c>
      <c r="O63" s="624"/>
      <c r="P63" s="624"/>
    </row>
    <row r="64" spans="1:19" s="623" customFormat="1" ht="24.95" customHeight="1" x14ac:dyDescent="0.35">
      <c r="A64" s="647">
        <v>45700</v>
      </c>
      <c r="B64" s="645" t="s">
        <v>438</v>
      </c>
      <c r="D64" s="624" t="s">
        <v>90</v>
      </c>
      <c r="E64" s="624"/>
      <c r="F64" s="624"/>
      <c r="G64" s="625">
        <v>5989</v>
      </c>
      <c r="J64" s="648">
        <v>316130</v>
      </c>
      <c r="O64" s="624"/>
      <c r="P64" s="624"/>
    </row>
    <row r="65" spans="1:18" s="623" customFormat="1" ht="24.95" customHeight="1" x14ac:dyDescent="0.35">
      <c r="A65" s="647">
        <v>45700</v>
      </c>
      <c r="B65" s="645" t="s">
        <v>439</v>
      </c>
      <c r="D65" s="624" t="s">
        <v>90</v>
      </c>
      <c r="E65" s="624"/>
      <c r="F65" s="624"/>
      <c r="G65" s="625">
        <v>5990</v>
      </c>
      <c r="J65" s="648" t="s">
        <v>440</v>
      </c>
      <c r="O65" s="624"/>
      <c r="P65" s="624"/>
    </row>
    <row r="66" spans="1:18" s="623" customFormat="1" ht="24.95" customHeight="1" x14ac:dyDescent="0.35">
      <c r="A66" s="647" t="s">
        <v>421</v>
      </c>
      <c r="B66" s="645" t="s">
        <v>301</v>
      </c>
      <c r="D66" s="624" t="s">
        <v>90</v>
      </c>
      <c r="E66" s="624"/>
      <c r="F66" s="624"/>
      <c r="G66" s="625">
        <v>5992</v>
      </c>
      <c r="J66" s="648" t="s">
        <v>419</v>
      </c>
      <c r="O66" s="624"/>
      <c r="P66" s="624"/>
    </row>
    <row r="67" spans="1:18" s="623" customFormat="1" ht="24.95" customHeight="1" x14ac:dyDescent="0.35">
      <c r="A67" s="647">
        <v>45705</v>
      </c>
      <c r="B67" s="645" t="s">
        <v>444</v>
      </c>
      <c r="D67" s="624"/>
      <c r="E67" s="624"/>
      <c r="F67" s="624"/>
      <c r="G67" s="625" t="s">
        <v>445</v>
      </c>
      <c r="J67" s="648">
        <v>466700</v>
      </c>
      <c r="O67" s="624"/>
      <c r="P67" s="624"/>
    </row>
    <row r="68" spans="1:18" s="623" customFormat="1" ht="24.95" customHeight="1" x14ac:dyDescent="0.35">
      <c r="A68" s="647">
        <v>45708</v>
      </c>
      <c r="B68" s="645" t="s">
        <v>436</v>
      </c>
      <c r="D68" s="624"/>
      <c r="E68" s="624"/>
      <c r="F68" s="624"/>
      <c r="G68" s="625" t="s">
        <v>442</v>
      </c>
      <c r="J68" s="648">
        <v>241350</v>
      </c>
      <c r="O68" s="624"/>
      <c r="P68" s="624"/>
    </row>
    <row r="69" spans="1:18" s="623" customFormat="1" ht="24.95" customHeight="1" x14ac:dyDescent="0.35">
      <c r="A69" s="647">
        <v>45708</v>
      </c>
      <c r="B69" s="645" t="s">
        <v>436</v>
      </c>
      <c r="D69" s="624"/>
      <c r="E69" s="624"/>
      <c r="F69" s="624"/>
      <c r="G69" s="625" t="s">
        <v>443</v>
      </c>
      <c r="J69" s="648" t="s">
        <v>419</v>
      </c>
      <c r="O69" s="624"/>
      <c r="P69" s="624"/>
    </row>
    <row r="70" spans="1:18" s="623" customFormat="1" ht="24.95" customHeight="1" x14ac:dyDescent="0.35">
      <c r="A70" s="647">
        <v>45708</v>
      </c>
      <c r="B70" s="645" t="s">
        <v>446</v>
      </c>
      <c r="D70" s="624" t="s">
        <v>90</v>
      </c>
      <c r="E70" s="624"/>
      <c r="F70" s="624"/>
      <c r="G70" s="625" t="s">
        <v>447</v>
      </c>
      <c r="J70" s="648">
        <v>228000</v>
      </c>
      <c r="O70" s="624"/>
      <c r="P70" s="624"/>
    </row>
    <row r="71" spans="1:18" s="623" customFormat="1" ht="24.95" customHeight="1" x14ac:dyDescent="0.35">
      <c r="A71" s="647">
        <v>45708</v>
      </c>
      <c r="B71" s="645" t="s">
        <v>237</v>
      </c>
      <c r="D71" s="624" t="s">
        <v>90</v>
      </c>
      <c r="E71" s="624"/>
      <c r="F71" s="624"/>
      <c r="G71" s="625" t="s">
        <v>448</v>
      </c>
      <c r="J71" s="648">
        <v>837875</v>
      </c>
      <c r="O71" s="624"/>
      <c r="P71" s="624"/>
    </row>
    <row r="72" spans="1:18" s="623" customFormat="1" ht="24.95" customHeight="1" x14ac:dyDescent="0.35">
      <c r="A72" s="647">
        <v>45708</v>
      </c>
      <c r="B72" s="645" t="s">
        <v>449</v>
      </c>
      <c r="D72" s="624"/>
      <c r="E72" s="624"/>
      <c r="F72" s="624"/>
      <c r="G72" s="625" t="s">
        <v>450</v>
      </c>
      <c r="J72" s="648">
        <v>46500</v>
      </c>
      <c r="O72" s="624"/>
      <c r="P72" s="624"/>
    </row>
    <row r="73" spans="1:18" s="623" customFormat="1" ht="24.95" customHeight="1" x14ac:dyDescent="0.35">
      <c r="A73" s="647" t="s">
        <v>421</v>
      </c>
      <c r="B73" s="645" t="s">
        <v>321</v>
      </c>
      <c r="D73" s="624" t="s">
        <v>90</v>
      </c>
      <c r="E73" s="624"/>
      <c r="F73" s="624"/>
      <c r="G73" s="625" t="s">
        <v>452</v>
      </c>
      <c r="J73" s="648">
        <v>2435000</v>
      </c>
      <c r="O73" s="624"/>
      <c r="P73" s="624"/>
    </row>
    <row r="74" spans="1:18" s="623" customFormat="1" ht="24.95" customHeight="1" x14ac:dyDescent="0.35">
      <c r="A74" s="647">
        <v>45709</v>
      </c>
      <c r="B74" s="645" t="s">
        <v>454</v>
      </c>
      <c r="D74" s="624" t="s">
        <v>282</v>
      </c>
      <c r="E74" s="624"/>
      <c r="F74" s="624"/>
      <c r="G74" s="625" t="s">
        <v>455</v>
      </c>
      <c r="J74" s="648" t="s">
        <v>419</v>
      </c>
      <c r="O74" s="624"/>
      <c r="P74" s="624"/>
    </row>
    <row r="75" spans="1:18" s="623" customFormat="1" ht="24.95" customHeight="1" x14ac:dyDescent="0.35">
      <c r="A75" s="647" t="s">
        <v>421</v>
      </c>
      <c r="B75" s="645" t="s">
        <v>417</v>
      </c>
      <c r="D75" s="624" t="s">
        <v>90</v>
      </c>
      <c r="E75" s="624"/>
      <c r="F75" s="624"/>
      <c r="G75" s="625" t="s">
        <v>456</v>
      </c>
      <c r="J75" s="648" t="s">
        <v>419</v>
      </c>
      <c r="O75" s="624"/>
      <c r="P75" s="624"/>
    </row>
    <row r="76" spans="1:18" s="655" customFormat="1" ht="24.95" customHeight="1" x14ac:dyDescent="0.35">
      <c r="A76" s="649"/>
      <c r="B76" s="650" t="s">
        <v>7</v>
      </c>
      <c r="C76" s="557"/>
      <c r="D76" s="558" t="s">
        <v>140</v>
      </c>
      <c r="E76" s="557"/>
      <c r="F76" s="557"/>
      <c r="G76" s="586"/>
      <c r="H76" s="549"/>
      <c r="I76" s="651"/>
      <c r="J76" s="652">
        <v>6323793.75</v>
      </c>
      <c r="K76" s="652">
        <f>SUM(K50:K75)</f>
        <v>1332900</v>
      </c>
      <c r="L76" s="653">
        <f>SUM(L48:L58)</f>
        <v>310000</v>
      </c>
      <c r="M76" s="652">
        <f>SUM(M45:M58)</f>
        <v>681759.82</v>
      </c>
      <c r="N76" s="652"/>
      <c r="O76" s="652">
        <f>SUM(O7:O75)</f>
        <v>6743060.2100000009</v>
      </c>
      <c r="P76" s="552"/>
      <c r="Q76" s="654">
        <v>15391513.779999999</v>
      </c>
      <c r="R76" s="683"/>
    </row>
    <row r="77" spans="1:18" ht="24.95" customHeight="1" x14ac:dyDescent="0.35">
      <c r="A77" s="656" t="s">
        <v>64</v>
      </c>
      <c r="F77" s="658" t="s">
        <v>64</v>
      </c>
      <c r="H77" s="660"/>
    </row>
    <row r="78" spans="1:18" ht="24.95" customHeight="1" x14ac:dyDescent="0.35">
      <c r="H78" s="660"/>
    </row>
    <row r="79" spans="1:18" ht="24.95" customHeight="1" x14ac:dyDescent="0.35">
      <c r="E79" s="524" t="s">
        <v>324</v>
      </c>
      <c r="O79" s="662"/>
    </row>
    <row r="80" spans="1:18" ht="24.95" customHeight="1" x14ac:dyDescent="0.35">
      <c r="F80" s="658" t="s">
        <v>64</v>
      </c>
      <c r="O80" s="662"/>
    </row>
    <row r="81" spans="7:17" ht="24.95" customHeight="1" x14ac:dyDescent="0.35">
      <c r="G81" s="524"/>
      <c r="H81" s="524"/>
      <c r="I81" s="524"/>
      <c r="J81" s="524" t="s">
        <v>64</v>
      </c>
      <c r="K81" s="524"/>
      <c r="O81" s="662"/>
      <c r="P81" s="524"/>
    </row>
    <row r="82" spans="7:17" ht="24.95" customHeight="1" x14ac:dyDescent="0.35">
      <c r="O82" s="662"/>
      <c r="Q82" s="662"/>
    </row>
    <row r="83" spans="7:17" ht="24.95" customHeight="1" x14ac:dyDescent="0.35">
      <c r="O83" s="662"/>
    </row>
    <row r="84" spans="7:17" ht="24.95" customHeight="1" x14ac:dyDescent="0.35">
      <c r="O84" s="662"/>
    </row>
    <row r="85" spans="7:17" ht="24.95" customHeight="1" x14ac:dyDescent="0.35">
      <c r="O85" s="662"/>
    </row>
    <row r="86" spans="7:17" ht="24.95" customHeight="1" x14ac:dyDescent="0.35">
      <c r="O86" s="662"/>
    </row>
    <row r="87" spans="7:17" ht="24.95" customHeight="1" x14ac:dyDescent="0.35">
      <c r="O87" s="662"/>
    </row>
    <row r="88" spans="7:17" ht="24.95" customHeight="1" x14ac:dyDescent="0.35">
      <c r="O88" s="662"/>
    </row>
    <row r="89" spans="7:17" ht="24.95" customHeight="1" x14ac:dyDescent="0.35">
      <c r="O89" s="662"/>
    </row>
    <row r="90" spans="7:17" ht="24.95" customHeight="1" x14ac:dyDescent="0.35">
      <c r="O90" s="665"/>
    </row>
    <row r="91" spans="7:17" ht="24.95" customHeight="1" x14ac:dyDescent="0.35">
      <c r="O91" s="666"/>
    </row>
    <row r="92" spans="7:17" ht="24.95" customHeight="1" x14ac:dyDescent="0.35">
      <c r="O92" s="667"/>
    </row>
    <row r="93" spans="7:17" ht="24.95" customHeight="1" x14ac:dyDescent="0.35">
      <c r="O93" s="666"/>
    </row>
    <row r="94" spans="7:17" ht="24.95" customHeight="1" x14ac:dyDescent="0.35">
      <c r="O94" s="667"/>
    </row>
  </sheetData>
  <pageMargins left="0.70866141732283472" right="0.70866141732283472" top="0.74803149606299213" bottom="0.74803149606299213" header="0.31496062992125984" footer="0.31496062992125984"/>
  <pageSetup scale="30" fitToWidth="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7"/>
  <sheetViews>
    <sheetView workbookViewId="0">
      <selection activeCell="C3" sqref="C3"/>
    </sheetView>
  </sheetViews>
  <sheetFormatPr defaultColWidth="23.85546875" defaultRowHeight="15.75" x14ac:dyDescent="0.25"/>
  <cols>
    <col min="1" max="1" width="23.85546875" style="853"/>
    <col min="2" max="2" width="42.85546875" style="819" customWidth="1"/>
    <col min="3" max="3" width="15.85546875" style="719" customWidth="1"/>
    <col min="4" max="4" width="13" style="854" customWidth="1"/>
    <col min="5" max="5" width="14.28515625" style="719" customWidth="1"/>
    <col min="6" max="6" width="12.28515625" style="855" customWidth="1"/>
    <col min="7" max="7" width="23.85546875" style="856"/>
    <col min="8" max="8" width="13.85546875" style="861" customWidth="1"/>
    <col min="9" max="9" width="17.7109375" style="858" customWidth="1"/>
    <col min="10" max="10" width="23.5703125" style="859" customWidth="1"/>
    <col min="11" max="11" width="25.28515625" style="859" customWidth="1"/>
    <col min="12" max="12" width="23.42578125" style="859" customWidth="1"/>
    <col min="13" max="13" width="26.42578125" style="859" customWidth="1"/>
    <col min="14" max="14" width="23.85546875" style="859"/>
    <col min="15" max="15" width="23.85546875" style="719"/>
    <col min="16" max="16" width="23.85546875" style="860"/>
    <col min="17" max="16384" width="23.85546875" style="719"/>
  </cols>
  <sheetData>
    <row r="1" spans="1:18" ht="24.95" customHeight="1" x14ac:dyDescent="0.25">
      <c r="A1" s="709" t="s">
        <v>8</v>
      </c>
      <c r="B1" s="710"/>
      <c r="C1" s="711"/>
      <c r="D1" s="712"/>
      <c r="E1" s="711"/>
      <c r="F1" s="711"/>
      <c r="G1" s="713"/>
      <c r="H1" s="714"/>
      <c r="I1" s="715"/>
      <c r="J1" s="716"/>
      <c r="K1" s="716"/>
      <c r="L1" s="716"/>
      <c r="M1" s="716"/>
      <c r="N1" s="716"/>
      <c r="O1" s="717"/>
      <c r="P1" s="718"/>
    </row>
    <row r="2" spans="1:18" ht="24.95" customHeight="1" x14ac:dyDescent="0.25">
      <c r="A2" s="720" t="s">
        <v>9</v>
      </c>
      <c r="B2" s="721"/>
      <c r="C2" s="722"/>
      <c r="D2" s="723"/>
      <c r="E2" s="722"/>
      <c r="F2" s="722"/>
      <c r="G2" s="724"/>
      <c r="H2" s="725"/>
      <c r="I2" s="726"/>
      <c r="J2" s="727"/>
      <c r="K2" s="727"/>
      <c r="L2" s="727"/>
      <c r="M2" s="727"/>
      <c r="N2" s="727"/>
      <c r="O2" s="728"/>
      <c r="P2" s="729"/>
    </row>
    <row r="3" spans="1:18" ht="24.95" customHeight="1" x14ac:dyDescent="0.25">
      <c r="A3" s="720" t="s">
        <v>10</v>
      </c>
      <c r="B3" s="721"/>
      <c r="C3" s="722"/>
      <c r="D3" s="723"/>
      <c r="E3" s="722"/>
      <c r="F3" s="722"/>
      <c r="G3" s="724"/>
      <c r="H3" s="725"/>
      <c r="I3" s="730"/>
      <c r="J3" s="731"/>
      <c r="K3" s="731"/>
      <c r="L3" s="731"/>
      <c r="M3" s="731"/>
      <c r="N3" s="731"/>
      <c r="O3" s="732"/>
      <c r="P3" s="733"/>
    </row>
    <row r="4" spans="1:18" ht="24.95" customHeight="1" x14ac:dyDescent="0.25">
      <c r="A4" s="720" t="s">
        <v>458</v>
      </c>
      <c r="B4" s="721"/>
      <c r="C4" s="722"/>
      <c r="D4" s="723"/>
      <c r="E4" s="722"/>
      <c r="F4" s="722"/>
      <c r="G4" s="724"/>
      <c r="H4" s="725"/>
      <c r="I4" s="730"/>
      <c r="J4" s="731"/>
      <c r="K4" s="731"/>
      <c r="L4" s="731"/>
      <c r="M4" s="731"/>
      <c r="N4" s="731"/>
      <c r="O4" s="732"/>
      <c r="P4" s="733"/>
    </row>
    <row r="5" spans="1:18" ht="24.95" customHeight="1" x14ac:dyDescent="0.25">
      <c r="A5" s="734"/>
      <c r="B5" s="721"/>
      <c r="C5" s="722"/>
      <c r="D5" s="723"/>
      <c r="E5" s="722"/>
      <c r="F5" s="722"/>
      <c r="G5" s="724"/>
      <c r="H5" s="735"/>
      <c r="I5" s="736"/>
      <c r="J5" s="737"/>
      <c r="K5" s="737"/>
      <c r="L5" s="737"/>
      <c r="M5" s="737"/>
      <c r="N5" s="737"/>
      <c r="O5" s="737"/>
      <c r="P5" s="738"/>
    </row>
    <row r="6" spans="1:18" ht="24.95" customHeight="1" x14ac:dyDescent="0.25">
      <c r="A6" s="739" t="s">
        <v>0</v>
      </c>
      <c r="B6" s="740" t="s">
        <v>1</v>
      </c>
      <c r="C6" s="741" t="s">
        <v>2</v>
      </c>
      <c r="D6" s="742" t="s">
        <v>89</v>
      </c>
      <c r="E6" s="741" t="s">
        <v>76</v>
      </c>
      <c r="F6" s="741" t="s">
        <v>3</v>
      </c>
      <c r="G6" s="743" t="s">
        <v>4</v>
      </c>
      <c r="H6" s="744"/>
      <c r="I6" s="745" t="s">
        <v>69</v>
      </c>
      <c r="J6" s="746" t="s">
        <v>70</v>
      </c>
      <c r="K6" s="746" t="s">
        <v>71</v>
      </c>
      <c r="L6" s="746" t="s">
        <v>72</v>
      </c>
      <c r="M6" s="746" t="s">
        <v>75</v>
      </c>
      <c r="N6" s="746" t="s">
        <v>73</v>
      </c>
      <c r="O6" s="746" t="s">
        <v>74</v>
      </c>
      <c r="P6" s="747"/>
      <c r="Q6" s="748" t="s">
        <v>7</v>
      </c>
      <c r="R6" s="749" t="s">
        <v>6</v>
      </c>
    </row>
    <row r="7" spans="1:18" ht="24.95" customHeight="1" x14ac:dyDescent="0.25">
      <c r="A7" s="750">
        <v>43878</v>
      </c>
      <c r="B7" s="751" t="s">
        <v>63</v>
      </c>
      <c r="C7" s="752"/>
      <c r="D7" s="753" t="s">
        <v>90</v>
      </c>
      <c r="E7" s="752"/>
      <c r="F7" s="752"/>
      <c r="G7" s="754" t="s">
        <v>102</v>
      </c>
      <c r="H7" s="755"/>
      <c r="I7" s="756"/>
      <c r="J7" s="754"/>
      <c r="K7" s="757"/>
      <c r="L7" s="758"/>
      <c r="M7" s="758"/>
      <c r="N7" s="758"/>
      <c r="O7" s="756">
        <v>33421.01</v>
      </c>
      <c r="P7" s="759" t="s">
        <v>22</v>
      </c>
      <c r="Q7" s="760"/>
      <c r="R7" s="760"/>
    </row>
    <row r="8" spans="1:18" s="772" customFormat="1" ht="24.95" customHeight="1" x14ac:dyDescent="0.25">
      <c r="A8" s="761">
        <v>44092</v>
      </c>
      <c r="B8" s="753" t="s">
        <v>78</v>
      </c>
      <c r="C8" s="762"/>
      <c r="D8" s="763" t="s">
        <v>92</v>
      </c>
      <c r="E8" s="762"/>
      <c r="F8" s="764"/>
      <c r="G8" s="765" t="s">
        <v>77</v>
      </c>
      <c r="H8" s="766"/>
      <c r="I8" s="767"/>
      <c r="J8" s="768"/>
      <c r="K8" s="768"/>
      <c r="L8" s="768"/>
      <c r="M8" s="768"/>
      <c r="N8" s="768"/>
      <c r="O8" s="769">
        <v>108000</v>
      </c>
      <c r="P8" s="770"/>
      <c r="Q8" s="771"/>
      <c r="R8" s="771"/>
    </row>
    <row r="9" spans="1:18" s="783" customFormat="1" ht="24.95" customHeight="1" x14ac:dyDescent="0.25">
      <c r="A9" s="773">
        <v>44352</v>
      </c>
      <c r="B9" s="753" t="s">
        <v>107</v>
      </c>
      <c r="C9" s="774"/>
      <c r="D9" s="775" t="s">
        <v>90</v>
      </c>
      <c r="E9" s="776"/>
      <c r="F9" s="776">
        <v>1918</v>
      </c>
      <c r="G9" s="777">
        <v>4457</v>
      </c>
      <c r="H9" s="778"/>
      <c r="I9" s="779"/>
      <c r="J9" s="779"/>
      <c r="K9" s="779"/>
      <c r="L9" s="779"/>
      <c r="M9" s="779"/>
      <c r="N9" s="779"/>
      <c r="O9" s="780">
        <v>36289.599999999999</v>
      </c>
      <c r="P9" s="781"/>
      <c r="Q9" s="782"/>
      <c r="R9" s="782"/>
    </row>
    <row r="10" spans="1:18" s="783" customFormat="1" ht="24.95" customHeight="1" x14ac:dyDescent="0.25">
      <c r="A10" s="773">
        <v>44413</v>
      </c>
      <c r="B10" s="753" t="s">
        <v>107</v>
      </c>
      <c r="C10" s="774"/>
      <c r="D10" s="775" t="s">
        <v>90</v>
      </c>
      <c r="E10" s="776"/>
      <c r="F10" s="776"/>
      <c r="G10" s="777">
        <v>4457</v>
      </c>
      <c r="H10" s="778"/>
      <c r="I10" s="779"/>
      <c r="J10" s="779"/>
      <c r="K10" s="779"/>
      <c r="L10" s="779"/>
      <c r="M10" s="779"/>
      <c r="N10" s="779"/>
      <c r="O10" s="780">
        <v>176976.8</v>
      </c>
      <c r="P10" s="781"/>
      <c r="Q10" s="782"/>
      <c r="R10" s="782"/>
    </row>
    <row r="11" spans="1:18" s="783" customFormat="1" ht="24.95" customHeight="1" x14ac:dyDescent="0.25">
      <c r="A11" s="784">
        <v>44420</v>
      </c>
      <c r="B11" s="751" t="s">
        <v>108</v>
      </c>
      <c r="C11" s="774"/>
      <c r="D11" s="753" t="s">
        <v>90</v>
      </c>
      <c r="E11" s="776"/>
      <c r="F11" s="776"/>
      <c r="G11" s="781" t="s">
        <v>120</v>
      </c>
      <c r="H11" s="778"/>
      <c r="I11" s="779"/>
      <c r="J11" s="779"/>
      <c r="K11" s="779"/>
      <c r="L11" s="779"/>
      <c r="M11" s="779"/>
      <c r="N11" s="779"/>
      <c r="O11" s="779">
        <v>470000</v>
      </c>
      <c r="P11" s="781"/>
      <c r="Q11" s="782"/>
      <c r="R11" s="782" t="s">
        <v>121</v>
      </c>
    </row>
    <row r="12" spans="1:18" s="783" customFormat="1" ht="24.95" customHeight="1" x14ac:dyDescent="0.25">
      <c r="A12" s="784">
        <v>44474</v>
      </c>
      <c r="B12" s="751" t="s">
        <v>110</v>
      </c>
      <c r="C12" s="774"/>
      <c r="D12" s="753" t="s">
        <v>92</v>
      </c>
      <c r="E12" s="776"/>
      <c r="F12" s="785"/>
      <c r="G12" s="781" t="s">
        <v>111</v>
      </c>
      <c r="H12" s="778"/>
      <c r="I12" s="786"/>
      <c r="J12" s="786"/>
      <c r="K12" s="787"/>
      <c r="L12" s="787"/>
      <c r="M12" s="787"/>
      <c r="N12" s="787"/>
      <c r="O12" s="787">
        <v>75000</v>
      </c>
      <c r="P12" s="781" t="s">
        <v>22</v>
      </c>
      <c r="Q12" s="782"/>
      <c r="R12" s="788" t="s">
        <v>112</v>
      </c>
    </row>
    <row r="13" spans="1:18" s="790" customFormat="1" ht="24.95" customHeight="1" x14ac:dyDescent="0.25">
      <c r="A13" s="784">
        <v>44480</v>
      </c>
      <c r="B13" s="751" t="s">
        <v>43</v>
      </c>
      <c r="C13" s="774"/>
      <c r="D13" s="781" t="s">
        <v>90</v>
      </c>
      <c r="E13" s="776"/>
      <c r="F13" s="785">
        <v>2019</v>
      </c>
      <c r="G13" s="781" t="s">
        <v>132</v>
      </c>
      <c r="H13" s="778"/>
      <c r="I13" s="786"/>
      <c r="J13" s="786"/>
      <c r="K13" s="789"/>
      <c r="L13" s="789"/>
      <c r="M13" s="789"/>
      <c r="N13" s="789"/>
      <c r="O13" s="789">
        <v>147281.20000000001</v>
      </c>
      <c r="P13" s="781"/>
      <c r="Q13" s="775"/>
      <c r="R13" s="788" t="s">
        <v>133</v>
      </c>
    </row>
    <row r="14" spans="1:18" s="783" customFormat="1" ht="27.75" customHeight="1" x14ac:dyDescent="0.25">
      <c r="A14" s="784">
        <v>44589</v>
      </c>
      <c r="B14" s="751" t="s">
        <v>125</v>
      </c>
      <c r="C14" s="774"/>
      <c r="D14" s="753" t="s">
        <v>90</v>
      </c>
      <c r="E14" s="776"/>
      <c r="F14" s="776"/>
      <c r="G14" s="781">
        <v>4880</v>
      </c>
      <c r="H14" s="778"/>
      <c r="I14" s="786"/>
      <c r="J14" s="786"/>
      <c r="K14" s="786"/>
      <c r="L14" s="786"/>
      <c r="M14" s="786"/>
      <c r="N14" s="786"/>
      <c r="O14" s="786">
        <v>37000</v>
      </c>
      <c r="P14" s="786" t="s">
        <v>22</v>
      </c>
      <c r="Q14" s="782"/>
      <c r="R14" s="782" t="s">
        <v>126</v>
      </c>
    </row>
    <row r="15" spans="1:18" s="783" customFormat="1" ht="24.95" customHeight="1" x14ac:dyDescent="0.25">
      <c r="A15" s="784">
        <v>44607</v>
      </c>
      <c r="B15" s="791" t="s">
        <v>59</v>
      </c>
      <c r="C15" s="774"/>
      <c r="D15" s="753" t="s">
        <v>90</v>
      </c>
      <c r="E15" s="776" t="s">
        <v>135</v>
      </c>
      <c r="F15" s="776"/>
      <c r="G15" s="781" t="s">
        <v>131</v>
      </c>
      <c r="H15" s="778"/>
      <c r="I15" s="786"/>
      <c r="J15" s="786"/>
      <c r="K15" s="786"/>
      <c r="L15" s="786"/>
      <c r="M15" s="786"/>
      <c r="N15" s="786"/>
      <c r="O15" s="786">
        <v>16076.04</v>
      </c>
      <c r="P15" s="786" t="s">
        <v>22</v>
      </c>
      <c r="Q15" s="782"/>
      <c r="R15" s="788" t="s">
        <v>134</v>
      </c>
    </row>
    <row r="16" spans="1:18" s="801" customFormat="1" ht="24.95" customHeight="1" x14ac:dyDescent="0.25">
      <c r="A16" s="792">
        <v>44609</v>
      </c>
      <c r="B16" s="793" t="s">
        <v>59</v>
      </c>
      <c r="C16" s="794"/>
      <c r="D16" s="795" t="s">
        <v>90</v>
      </c>
      <c r="E16" s="796" t="s">
        <v>129</v>
      </c>
      <c r="F16" s="796"/>
      <c r="G16" s="797" t="s">
        <v>118</v>
      </c>
      <c r="H16" s="798"/>
      <c r="I16" s="799"/>
      <c r="J16" s="799"/>
      <c r="K16" s="799"/>
      <c r="L16" s="799"/>
      <c r="M16" s="799"/>
      <c r="N16" s="799"/>
      <c r="O16" s="799">
        <v>7186.99</v>
      </c>
      <c r="P16" s="799" t="s">
        <v>22</v>
      </c>
      <c r="Q16" s="800"/>
      <c r="R16" s="800" t="s">
        <v>130</v>
      </c>
    </row>
    <row r="17" spans="1:18" s="783" customFormat="1" ht="24.95" customHeight="1" x14ac:dyDescent="0.25">
      <c r="A17" s="784">
        <v>44614</v>
      </c>
      <c r="B17" s="751" t="s">
        <v>136</v>
      </c>
      <c r="C17" s="774"/>
      <c r="D17" s="753" t="s">
        <v>92</v>
      </c>
      <c r="E17" s="776"/>
      <c r="F17" s="776"/>
      <c r="G17" s="781" t="s">
        <v>376</v>
      </c>
      <c r="H17" s="778"/>
      <c r="I17" s="786"/>
      <c r="J17" s="786"/>
      <c r="K17" s="786"/>
      <c r="L17" s="786"/>
      <c r="M17" s="786"/>
      <c r="N17" s="786"/>
      <c r="O17" s="786">
        <v>526625</v>
      </c>
      <c r="P17" s="786"/>
      <c r="Q17" s="782"/>
      <c r="R17" s="782" t="s">
        <v>193</v>
      </c>
    </row>
    <row r="18" spans="1:18" s="783" customFormat="1" ht="24.95" customHeight="1" x14ac:dyDescent="0.25">
      <c r="A18" s="784">
        <v>44631</v>
      </c>
      <c r="B18" s="751" t="s">
        <v>136</v>
      </c>
      <c r="C18" s="774"/>
      <c r="D18" s="753" t="s">
        <v>92</v>
      </c>
      <c r="E18" s="776"/>
      <c r="F18" s="776"/>
      <c r="G18" s="781">
        <v>4943</v>
      </c>
      <c r="H18" s="778"/>
      <c r="I18" s="786"/>
      <c r="J18" s="786"/>
      <c r="K18" s="786"/>
      <c r="L18" s="786"/>
      <c r="M18" s="786"/>
      <c r="N18" s="786"/>
      <c r="O18" s="786">
        <v>5975</v>
      </c>
      <c r="P18" s="781"/>
      <c r="Q18" s="782"/>
      <c r="R18" s="782" t="s">
        <v>138</v>
      </c>
    </row>
    <row r="19" spans="1:18" s="783" customFormat="1" ht="24.95" customHeight="1" x14ac:dyDescent="0.25">
      <c r="A19" s="784">
        <v>44638</v>
      </c>
      <c r="B19" s="751" t="s">
        <v>136</v>
      </c>
      <c r="C19" s="774"/>
      <c r="D19" s="753" t="s">
        <v>92</v>
      </c>
      <c r="E19" s="776"/>
      <c r="F19" s="776"/>
      <c r="G19" s="781">
        <v>4953</v>
      </c>
      <c r="H19" s="778"/>
      <c r="I19" s="786"/>
      <c r="J19" s="786"/>
      <c r="K19" s="786"/>
      <c r="L19" s="786"/>
      <c r="M19" s="786"/>
      <c r="N19" s="786"/>
      <c r="O19" s="786">
        <v>4950</v>
      </c>
      <c r="P19" s="781"/>
      <c r="Q19" s="782"/>
      <c r="R19" s="782" t="s">
        <v>139</v>
      </c>
    </row>
    <row r="20" spans="1:18" s="783" customFormat="1" ht="24.95" customHeight="1" x14ac:dyDescent="0.25">
      <c r="A20" s="784">
        <v>44711</v>
      </c>
      <c r="B20" s="751" t="s">
        <v>153</v>
      </c>
      <c r="C20" s="774"/>
      <c r="D20" s="753" t="s">
        <v>92</v>
      </c>
      <c r="E20" s="776"/>
      <c r="F20" s="776"/>
      <c r="G20" s="781" t="s">
        <v>181</v>
      </c>
      <c r="H20" s="778"/>
      <c r="I20" s="786"/>
      <c r="J20" s="786"/>
      <c r="K20" s="786"/>
      <c r="L20" s="786"/>
      <c r="M20" s="786"/>
      <c r="N20" s="786"/>
      <c r="O20" s="786">
        <v>164667</v>
      </c>
      <c r="P20" s="787"/>
      <c r="Q20" s="782"/>
      <c r="R20" s="788" t="s">
        <v>182</v>
      </c>
    </row>
    <row r="21" spans="1:18" s="801" customFormat="1" ht="24.95" customHeight="1" x14ac:dyDescent="0.25">
      <c r="A21" s="792">
        <v>44714</v>
      </c>
      <c r="B21" s="793" t="s">
        <v>59</v>
      </c>
      <c r="C21" s="794"/>
      <c r="D21" s="795" t="s">
        <v>90</v>
      </c>
      <c r="E21" s="796"/>
      <c r="F21" s="796">
        <v>2062</v>
      </c>
      <c r="G21" s="797" t="s">
        <v>118</v>
      </c>
      <c r="H21" s="798"/>
      <c r="I21" s="799"/>
      <c r="J21" s="799"/>
      <c r="K21" s="799"/>
      <c r="L21" s="799"/>
      <c r="M21" s="799"/>
      <c r="N21" s="799"/>
      <c r="O21" s="799">
        <v>77456</v>
      </c>
      <c r="P21" s="799" t="s">
        <v>22</v>
      </c>
      <c r="Q21" s="800"/>
      <c r="R21" s="793" t="s">
        <v>142</v>
      </c>
    </row>
    <row r="22" spans="1:18" s="801" customFormat="1" ht="24.95" customHeight="1" x14ac:dyDescent="0.25">
      <c r="A22" s="792">
        <v>44714</v>
      </c>
      <c r="B22" s="793" t="s">
        <v>59</v>
      </c>
      <c r="C22" s="794"/>
      <c r="D22" s="795" t="s">
        <v>90</v>
      </c>
      <c r="E22" s="796" t="s">
        <v>143</v>
      </c>
      <c r="F22" s="796"/>
      <c r="G22" s="797" t="s">
        <v>118</v>
      </c>
      <c r="H22" s="798"/>
      <c r="I22" s="799"/>
      <c r="J22" s="799"/>
      <c r="K22" s="799"/>
      <c r="L22" s="799"/>
      <c r="M22" s="799"/>
      <c r="N22" s="799"/>
      <c r="O22" s="799">
        <v>72499.08</v>
      </c>
      <c r="P22" s="799" t="s">
        <v>22</v>
      </c>
      <c r="Q22" s="800"/>
      <c r="R22" s="793" t="s">
        <v>144</v>
      </c>
    </row>
    <row r="23" spans="1:18" s="801" customFormat="1" ht="24.95" customHeight="1" x14ac:dyDescent="0.25">
      <c r="A23" s="792">
        <v>44741</v>
      </c>
      <c r="B23" s="793" t="s">
        <v>59</v>
      </c>
      <c r="C23" s="794"/>
      <c r="D23" s="795" t="s">
        <v>90</v>
      </c>
      <c r="E23" s="796" t="s">
        <v>166</v>
      </c>
      <c r="F23" s="796"/>
      <c r="G23" s="797">
        <v>5908</v>
      </c>
      <c r="H23" s="798"/>
      <c r="I23" s="799"/>
      <c r="J23" s="799"/>
      <c r="K23" s="799"/>
      <c r="L23" s="799"/>
      <c r="M23" s="802"/>
      <c r="N23" s="802"/>
      <c r="O23" s="802">
        <v>510</v>
      </c>
      <c r="P23" s="802" t="s">
        <v>22</v>
      </c>
      <c r="Q23" s="800"/>
      <c r="R23" s="793" t="s">
        <v>167</v>
      </c>
    </row>
    <row r="24" spans="1:18" s="783" customFormat="1" ht="24.95" customHeight="1" x14ac:dyDescent="0.25">
      <c r="A24" s="784">
        <v>44768</v>
      </c>
      <c r="B24" s="751" t="s">
        <v>159</v>
      </c>
      <c r="C24" s="774"/>
      <c r="D24" s="753" t="s">
        <v>90</v>
      </c>
      <c r="E24" s="776"/>
      <c r="F24" s="776"/>
      <c r="G24" s="781" t="s">
        <v>151</v>
      </c>
      <c r="H24" s="778"/>
      <c r="I24" s="786"/>
      <c r="J24" s="786"/>
      <c r="K24" s="786"/>
      <c r="L24" s="786"/>
      <c r="M24" s="786"/>
      <c r="N24" s="786"/>
      <c r="O24" s="803" t="s">
        <v>479</v>
      </c>
      <c r="P24" s="786" t="s">
        <v>22</v>
      </c>
      <c r="Q24" s="782"/>
      <c r="R24" s="804" t="s">
        <v>199</v>
      </c>
    </row>
    <row r="25" spans="1:18" s="783" customFormat="1" ht="24.95" customHeight="1" x14ac:dyDescent="0.25">
      <c r="A25" s="784">
        <v>44786</v>
      </c>
      <c r="B25" s="751" t="s">
        <v>150</v>
      </c>
      <c r="C25" s="774"/>
      <c r="D25" s="753" t="s">
        <v>94</v>
      </c>
      <c r="E25" s="776"/>
      <c r="F25" s="776">
        <v>2136</v>
      </c>
      <c r="G25" s="781" t="s">
        <v>170</v>
      </c>
      <c r="H25" s="778"/>
      <c r="I25" s="786"/>
      <c r="J25" s="786"/>
      <c r="K25" s="786"/>
      <c r="L25" s="786"/>
      <c r="M25" s="787"/>
      <c r="N25" s="786"/>
      <c r="O25" s="786">
        <v>193400</v>
      </c>
      <c r="P25" s="781" t="s">
        <v>22</v>
      </c>
      <c r="Q25" s="782"/>
      <c r="R25" s="788" t="s">
        <v>171</v>
      </c>
    </row>
    <row r="26" spans="1:18" s="783" customFormat="1" ht="24.95" customHeight="1" x14ac:dyDescent="0.25">
      <c r="A26" s="784">
        <v>44824</v>
      </c>
      <c r="B26" s="751" t="s">
        <v>43</v>
      </c>
      <c r="C26" s="774"/>
      <c r="D26" s="753" t="s">
        <v>90</v>
      </c>
      <c r="E26" s="776"/>
      <c r="F26" s="776">
        <v>2162</v>
      </c>
      <c r="G26" s="781">
        <v>5218</v>
      </c>
      <c r="H26" s="778"/>
      <c r="I26" s="786"/>
      <c r="J26" s="786"/>
      <c r="K26" s="786"/>
      <c r="L26" s="787"/>
      <c r="M26" s="786"/>
      <c r="N26" s="786"/>
      <c r="O26" s="786">
        <v>54650</v>
      </c>
      <c r="P26" s="781"/>
      <c r="Q26" s="782"/>
      <c r="R26" s="788" t="s">
        <v>174</v>
      </c>
    </row>
    <row r="27" spans="1:18" s="783" customFormat="1" ht="24.95" customHeight="1" x14ac:dyDescent="0.25">
      <c r="A27" s="784">
        <v>44839</v>
      </c>
      <c r="B27" s="751" t="s">
        <v>43</v>
      </c>
      <c r="C27" s="774"/>
      <c r="D27" s="753" t="s">
        <v>90</v>
      </c>
      <c r="E27" s="776"/>
      <c r="F27" s="776">
        <v>2140</v>
      </c>
      <c r="G27" s="781">
        <v>5248</v>
      </c>
      <c r="H27" s="778"/>
      <c r="I27" s="786"/>
      <c r="J27" s="786"/>
      <c r="K27" s="786"/>
      <c r="L27" s="786"/>
      <c r="M27" s="786"/>
      <c r="N27" s="786"/>
      <c r="O27" s="786">
        <v>25000</v>
      </c>
      <c r="P27" s="781"/>
      <c r="Q27" s="782"/>
      <c r="R27" s="788" t="s">
        <v>160</v>
      </c>
    </row>
    <row r="28" spans="1:18" s="801" customFormat="1" ht="24.95" customHeight="1" x14ac:dyDescent="0.25">
      <c r="A28" s="792">
        <v>44855</v>
      </c>
      <c r="B28" s="793" t="s">
        <v>59</v>
      </c>
      <c r="C28" s="794"/>
      <c r="D28" s="795" t="s">
        <v>90</v>
      </c>
      <c r="E28" s="796" t="s">
        <v>164</v>
      </c>
      <c r="F28" s="796"/>
      <c r="G28" s="797">
        <v>5739</v>
      </c>
      <c r="H28" s="798"/>
      <c r="I28" s="799"/>
      <c r="J28" s="799"/>
      <c r="K28" s="799"/>
      <c r="L28" s="799"/>
      <c r="M28" s="799"/>
      <c r="N28" s="799"/>
      <c r="O28" s="799">
        <v>6650</v>
      </c>
      <c r="P28" s="799" t="s">
        <v>22</v>
      </c>
      <c r="Q28" s="800"/>
      <c r="R28" s="793" t="s">
        <v>165</v>
      </c>
    </row>
    <row r="29" spans="1:18" s="801" customFormat="1" ht="24.95" customHeight="1" x14ac:dyDescent="0.25">
      <c r="A29" s="792">
        <v>44855</v>
      </c>
      <c r="B29" s="793" t="s">
        <v>59</v>
      </c>
      <c r="C29" s="794"/>
      <c r="D29" s="795" t="s">
        <v>90</v>
      </c>
      <c r="E29" s="796" t="s">
        <v>168</v>
      </c>
      <c r="F29" s="796"/>
      <c r="G29" s="797" t="s">
        <v>118</v>
      </c>
      <c r="H29" s="798"/>
      <c r="I29" s="799"/>
      <c r="J29" s="799"/>
      <c r="K29" s="799"/>
      <c r="L29" s="799"/>
      <c r="M29" s="799"/>
      <c r="N29" s="799"/>
      <c r="O29" s="799">
        <v>3000</v>
      </c>
      <c r="P29" s="799" t="s">
        <v>22</v>
      </c>
      <c r="Q29" s="800"/>
      <c r="R29" s="793" t="s">
        <v>169</v>
      </c>
    </row>
    <row r="30" spans="1:18" s="801" customFormat="1" ht="24.95" customHeight="1" x14ac:dyDescent="0.25">
      <c r="A30" s="792">
        <v>44916</v>
      </c>
      <c r="B30" s="793" t="s">
        <v>59</v>
      </c>
      <c r="C30" s="794"/>
      <c r="D30" s="795" t="s">
        <v>90</v>
      </c>
      <c r="E30" s="796"/>
      <c r="F30" s="796">
        <v>2176</v>
      </c>
      <c r="G30" s="797" t="s">
        <v>118</v>
      </c>
      <c r="H30" s="798"/>
      <c r="I30" s="799"/>
      <c r="J30" s="799"/>
      <c r="K30" s="799"/>
      <c r="L30" s="799"/>
      <c r="M30" s="799"/>
      <c r="N30" s="802"/>
      <c r="O30" s="799">
        <v>186146</v>
      </c>
      <c r="P30" s="797"/>
      <c r="Q30" s="800"/>
      <c r="R30" s="793" t="s">
        <v>179</v>
      </c>
    </row>
    <row r="31" spans="1:18" s="815" customFormat="1" ht="24.95" customHeight="1" x14ac:dyDescent="0.25">
      <c r="A31" s="805">
        <v>44954</v>
      </c>
      <c r="B31" s="806" t="s">
        <v>145</v>
      </c>
      <c r="C31" s="807"/>
      <c r="D31" s="808" t="s">
        <v>92</v>
      </c>
      <c r="E31" s="809" t="s">
        <v>260</v>
      </c>
      <c r="F31" s="809"/>
      <c r="G31" s="810" t="s">
        <v>262</v>
      </c>
      <c r="H31" s="811"/>
      <c r="I31" s="812"/>
      <c r="J31" s="812"/>
      <c r="K31" s="812"/>
      <c r="L31" s="812"/>
      <c r="M31" s="812"/>
      <c r="N31" s="812"/>
      <c r="O31" s="812">
        <v>666000</v>
      </c>
      <c r="P31" s="812"/>
      <c r="Q31" s="813"/>
      <c r="R31" s="814" t="s">
        <v>264</v>
      </c>
    </row>
    <row r="32" spans="1:18" s="815" customFormat="1" ht="24.95" customHeight="1" x14ac:dyDescent="0.25">
      <c r="A32" s="805">
        <v>44954</v>
      </c>
      <c r="B32" s="806" t="s">
        <v>145</v>
      </c>
      <c r="C32" s="807"/>
      <c r="D32" s="808" t="s">
        <v>92</v>
      </c>
      <c r="E32" s="809" t="s">
        <v>261</v>
      </c>
      <c r="F32" s="809"/>
      <c r="G32" s="810" t="s">
        <v>263</v>
      </c>
      <c r="H32" s="811"/>
      <c r="I32" s="812"/>
      <c r="J32" s="812"/>
      <c r="K32" s="812"/>
      <c r="L32" s="812"/>
      <c r="M32" s="812"/>
      <c r="N32" s="812"/>
      <c r="O32" s="812">
        <v>657658.5</v>
      </c>
      <c r="P32" s="812"/>
      <c r="Q32" s="813"/>
      <c r="R32" s="814" t="s">
        <v>265</v>
      </c>
    </row>
    <row r="33" spans="1:18" s="783" customFormat="1" ht="24.95" customHeight="1" x14ac:dyDescent="0.25">
      <c r="A33" s="784">
        <v>44977</v>
      </c>
      <c r="B33" s="751" t="s">
        <v>110</v>
      </c>
      <c r="C33" s="774"/>
      <c r="D33" s="781" t="s">
        <v>92</v>
      </c>
      <c r="E33" s="776"/>
      <c r="F33" s="776"/>
      <c r="G33" s="781">
        <v>5407</v>
      </c>
      <c r="H33" s="778"/>
      <c r="I33" s="786"/>
      <c r="J33" s="786"/>
      <c r="K33" s="786"/>
      <c r="L33" s="786"/>
      <c r="M33" s="786"/>
      <c r="N33" s="787"/>
      <c r="O33" s="786">
        <v>89500</v>
      </c>
      <c r="P33" s="781"/>
      <c r="Q33" s="782"/>
      <c r="R33" s="788" t="s">
        <v>185</v>
      </c>
    </row>
    <row r="34" spans="1:18" s="783" customFormat="1" ht="24.95" customHeight="1" x14ac:dyDescent="0.25">
      <c r="A34" s="784" t="s">
        <v>190</v>
      </c>
      <c r="B34" s="816" t="s">
        <v>191</v>
      </c>
      <c r="C34" s="774"/>
      <c r="D34" s="753" t="s">
        <v>92</v>
      </c>
      <c r="E34" s="776"/>
      <c r="F34" s="776"/>
      <c r="G34" s="781" t="s">
        <v>118</v>
      </c>
      <c r="H34" s="778"/>
      <c r="I34" s="786"/>
      <c r="J34" s="786"/>
      <c r="K34" s="786"/>
      <c r="L34" s="786"/>
      <c r="M34" s="786"/>
      <c r="N34" s="786"/>
      <c r="O34" s="786">
        <v>67000</v>
      </c>
      <c r="P34" s="786" t="s">
        <v>22</v>
      </c>
      <c r="Q34" s="782"/>
      <c r="R34" s="788"/>
    </row>
    <row r="35" spans="1:18" s="815" customFormat="1" ht="24.95" customHeight="1" x14ac:dyDescent="0.25">
      <c r="A35" s="805">
        <v>45017</v>
      </c>
      <c r="B35" s="806" t="s">
        <v>145</v>
      </c>
      <c r="C35" s="807"/>
      <c r="D35" s="808" t="s">
        <v>92</v>
      </c>
      <c r="E35" s="809"/>
      <c r="F35" s="809"/>
      <c r="G35" s="810">
        <v>5460</v>
      </c>
      <c r="H35" s="811" t="s">
        <v>257</v>
      </c>
      <c r="I35" s="812"/>
      <c r="J35" s="812"/>
      <c r="K35" s="812"/>
      <c r="L35" s="812"/>
      <c r="M35" s="812"/>
      <c r="N35" s="812"/>
      <c r="O35" s="817">
        <v>413995.98</v>
      </c>
      <c r="P35" s="810"/>
      <c r="Q35" s="813"/>
      <c r="R35" s="814" t="s">
        <v>276</v>
      </c>
    </row>
    <row r="36" spans="1:18" s="819" customFormat="1" ht="24.95" customHeight="1" x14ac:dyDescent="0.25">
      <c r="A36" s="818">
        <v>45147</v>
      </c>
      <c r="B36" s="819" t="s">
        <v>205</v>
      </c>
      <c r="D36" s="819" t="s">
        <v>92</v>
      </c>
      <c r="E36" s="820"/>
      <c r="F36" s="820"/>
      <c r="G36" s="821">
        <v>5568</v>
      </c>
      <c r="O36" s="819">
        <v>10000</v>
      </c>
      <c r="P36" s="819" t="s">
        <v>210</v>
      </c>
      <c r="R36" s="819" t="s">
        <v>206</v>
      </c>
    </row>
    <row r="37" spans="1:18" s="815" customFormat="1" ht="24.95" customHeight="1" x14ac:dyDescent="0.25">
      <c r="A37" s="805">
        <v>45181</v>
      </c>
      <c r="B37" s="806" t="s">
        <v>145</v>
      </c>
      <c r="C37" s="807"/>
      <c r="D37" s="808" t="s">
        <v>90</v>
      </c>
      <c r="E37" s="809" t="s">
        <v>277</v>
      </c>
      <c r="F37" s="809"/>
      <c r="G37" s="810">
        <v>5606</v>
      </c>
      <c r="H37" s="811"/>
      <c r="I37" s="822"/>
      <c r="J37" s="822"/>
      <c r="K37" s="822"/>
      <c r="L37" s="822"/>
      <c r="M37" s="822"/>
      <c r="N37" s="822"/>
      <c r="O37" s="822">
        <v>676930.8</v>
      </c>
      <c r="P37" s="810"/>
      <c r="Q37" s="813"/>
      <c r="R37" s="814" t="s">
        <v>278</v>
      </c>
    </row>
    <row r="38" spans="1:18" s="783" customFormat="1" ht="24.95" customHeight="1" x14ac:dyDescent="0.25">
      <c r="A38" s="784">
        <v>45195</v>
      </c>
      <c r="B38" s="751" t="s">
        <v>271</v>
      </c>
      <c r="C38" s="774"/>
      <c r="D38" s="753" t="s">
        <v>92</v>
      </c>
      <c r="E38" s="776"/>
      <c r="F38" s="776"/>
      <c r="G38" s="781" t="s">
        <v>272</v>
      </c>
      <c r="H38" s="778"/>
      <c r="I38" s="787"/>
      <c r="J38" s="787"/>
      <c r="K38" s="787"/>
      <c r="L38" s="787"/>
      <c r="M38" s="787"/>
      <c r="N38" s="787"/>
      <c r="O38" s="787">
        <v>2339.29</v>
      </c>
      <c r="P38" s="781" t="s">
        <v>22</v>
      </c>
      <c r="Q38" s="782"/>
      <c r="R38" s="781" t="s">
        <v>273</v>
      </c>
    </row>
    <row r="39" spans="1:18" s="783" customFormat="1" ht="24.95" customHeight="1" x14ac:dyDescent="0.25">
      <c r="A39" s="784">
        <v>45310</v>
      </c>
      <c r="B39" s="823" t="s">
        <v>109</v>
      </c>
      <c r="C39" s="774"/>
      <c r="D39" s="781" t="s">
        <v>90</v>
      </c>
      <c r="E39" s="776"/>
      <c r="F39" s="776"/>
      <c r="G39" s="781" t="s">
        <v>327</v>
      </c>
      <c r="H39" s="778"/>
      <c r="I39" s="787"/>
      <c r="J39" s="787"/>
      <c r="K39" s="787"/>
      <c r="L39" s="787"/>
      <c r="M39" s="787"/>
      <c r="N39" s="787"/>
      <c r="O39" s="787">
        <v>16550</v>
      </c>
      <c r="P39" s="781" t="s">
        <v>22</v>
      </c>
      <c r="Q39" s="782"/>
      <c r="R39" s="788" t="s">
        <v>328</v>
      </c>
    </row>
    <row r="40" spans="1:18" s="815" customFormat="1" ht="24.95" customHeight="1" x14ac:dyDescent="0.25">
      <c r="A40" s="805">
        <v>45313</v>
      </c>
      <c r="B40" s="824" t="s">
        <v>37</v>
      </c>
      <c r="C40" s="807"/>
      <c r="D40" s="810" t="s">
        <v>90</v>
      </c>
      <c r="E40" s="809" t="s">
        <v>233</v>
      </c>
      <c r="F40" s="809"/>
      <c r="G40" s="810">
        <v>5714</v>
      </c>
      <c r="H40" s="811"/>
      <c r="I40" s="822"/>
      <c r="J40" s="822"/>
      <c r="K40" s="822"/>
      <c r="L40" s="822"/>
      <c r="M40" s="822"/>
      <c r="N40" s="822"/>
      <c r="O40" s="822">
        <v>150000</v>
      </c>
      <c r="P40" s="810"/>
      <c r="Q40" s="813"/>
      <c r="R40" s="814" t="s">
        <v>234</v>
      </c>
    </row>
    <row r="41" spans="1:18" s="783" customFormat="1" ht="24.95" customHeight="1" x14ac:dyDescent="0.25">
      <c r="A41" s="784">
        <v>45313</v>
      </c>
      <c r="B41" s="751" t="s">
        <v>230</v>
      </c>
      <c r="C41" s="774"/>
      <c r="D41" s="751" t="s">
        <v>92</v>
      </c>
      <c r="E41" s="776"/>
      <c r="F41" s="776"/>
      <c r="G41" s="781">
        <v>5715</v>
      </c>
      <c r="H41" s="778"/>
      <c r="I41" s="787"/>
      <c r="J41" s="787"/>
      <c r="K41" s="787"/>
      <c r="L41" s="787"/>
      <c r="M41" s="787"/>
      <c r="N41" s="787"/>
      <c r="O41" s="787">
        <v>78</v>
      </c>
      <c r="P41" s="787" t="s">
        <v>255</v>
      </c>
      <c r="Q41" s="782"/>
      <c r="R41" s="788" t="s">
        <v>231</v>
      </c>
    </row>
    <row r="42" spans="1:18" s="801" customFormat="1" ht="24.95" customHeight="1" x14ac:dyDescent="0.25">
      <c r="A42" s="792">
        <v>45343</v>
      </c>
      <c r="B42" s="793" t="s">
        <v>59</v>
      </c>
      <c r="C42" s="794"/>
      <c r="D42" s="793" t="s">
        <v>90</v>
      </c>
      <c r="E42" s="796" t="s">
        <v>238</v>
      </c>
      <c r="F42" s="796"/>
      <c r="G42" s="797" t="s">
        <v>118</v>
      </c>
      <c r="H42" s="798"/>
      <c r="I42" s="802"/>
      <c r="J42" s="802"/>
      <c r="K42" s="802"/>
      <c r="L42" s="802"/>
      <c r="M42" s="802"/>
      <c r="N42" s="802"/>
      <c r="O42" s="802">
        <v>22500</v>
      </c>
      <c r="P42" s="799" t="s">
        <v>22</v>
      </c>
      <c r="Q42" s="800"/>
      <c r="R42" s="793" t="s">
        <v>239</v>
      </c>
    </row>
    <row r="43" spans="1:18" s="783" customFormat="1" ht="24.95" customHeight="1" x14ac:dyDescent="0.25">
      <c r="A43" s="784">
        <v>45371</v>
      </c>
      <c r="B43" s="751" t="s">
        <v>250</v>
      </c>
      <c r="C43" s="774"/>
      <c r="D43" s="781" t="s">
        <v>221</v>
      </c>
      <c r="E43" s="776"/>
      <c r="F43" s="776"/>
      <c r="G43" s="781">
        <v>5769</v>
      </c>
      <c r="H43" s="778"/>
      <c r="I43" s="787"/>
      <c r="J43" s="787"/>
      <c r="K43" s="787"/>
      <c r="L43" s="787"/>
      <c r="M43" s="787"/>
      <c r="N43" s="787"/>
      <c r="O43" s="787">
        <v>250</v>
      </c>
      <c r="P43" s="786" t="s">
        <v>22</v>
      </c>
      <c r="Q43" s="782"/>
      <c r="R43" s="788" t="s">
        <v>251</v>
      </c>
    </row>
    <row r="44" spans="1:18" s="815" customFormat="1" ht="24.95" customHeight="1" x14ac:dyDescent="0.25">
      <c r="A44" s="805">
        <v>45386</v>
      </c>
      <c r="B44" s="806" t="s">
        <v>145</v>
      </c>
      <c r="C44" s="807"/>
      <c r="D44" s="810" t="s">
        <v>90</v>
      </c>
      <c r="E44" s="809"/>
      <c r="F44" s="809"/>
      <c r="G44" s="810">
        <v>5776</v>
      </c>
      <c r="H44" s="811"/>
      <c r="I44" s="822"/>
      <c r="J44" s="822"/>
      <c r="K44" s="822" t="s">
        <v>64</v>
      </c>
      <c r="L44" s="822"/>
      <c r="M44" s="822"/>
      <c r="N44" s="822"/>
      <c r="O44" s="822">
        <v>455997.92</v>
      </c>
      <c r="P44" s="812" t="s">
        <v>22</v>
      </c>
      <c r="Q44" s="813"/>
      <c r="R44" s="814" t="s">
        <v>256</v>
      </c>
    </row>
    <row r="45" spans="1:18" s="783" customFormat="1" ht="24.95" customHeight="1" x14ac:dyDescent="0.25">
      <c r="A45" s="784">
        <v>45458</v>
      </c>
      <c r="B45" s="751" t="s">
        <v>43</v>
      </c>
      <c r="C45" s="774"/>
      <c r="D45" s="781" t="s">
        <v>90</v>
      </c>
      <c r="E45" s="776"/>
      <c r="F45" s="776">
        <v>2355</v>
      </c>
      <c r="G45" s="781" t="s">
        <v>290</v>
      </c>
      <c r="H45" s="778"/>
      <c r="I45" s="787"/>
      <c r="J45" s="787"/>
      <c r="K45" s="787"/>
      <c r="L45" s="787"/>
      <c r="M45" s="787">
        <v>11059.82</v>
      </c>
      <c r="N45" s="787"/>
      <c r="O45" s="781"/>
      <c r="P45" s="781" t="s">
        <v>22</v>
      </c>
      <c r="Q45" s="782"/>
      <c r="R45" s="782" t="s">
        <v>350</v>
      </c>
    </row>
    <row r="46" spans="1:18" s="783" customFormat="1" ht="24.95" customHeight="1" x14ac:dyDescent="0.25">
      <c r="A46" s="784">
        <v>45582</v>
      </c>
      <c r="B46" s="751" t="s">
        <v>417</v>
      </c>
      <c r="C46" s="774"/>
      <c r="D46" s="781"/>
      <c r="E46" s="776"/>
      <c r="F46" s="776"/>
      <c r="G46" s="781" t="s">
        <v>451</v>
      </c>
      <c r="H46" s="778"/>
      <c r="I46" s="787"/>
      <c r="J46" s="803"/>
      <c r="K46" s="786"/>
      <c r="L46" s="787"/>
      <c r="M46" s="787"/>
      <c r="N46" s="787"/>
      <c r="O46" s="803">
        <v>273520</v>
      </c>
      <c r="P46" s="781" t="s">
        <v>478</v>
      </c>
      <c r="Q46" s="782"/>
      <c r="R46" s="782" t="s">
        <v>412</v>
      </c>
    </row>
    <row r="47" spans="1:18" s="815" customFormat="1" ht="24.95" customHeight="1" x14ac:dyDescent="0.25">
      <c r="A47" s="805">
        <v>45601</v>
      </c>
      <c r="B47" s="806" t="s">
        <v>145</v>
      </c>
      <c r="C47" s="807"/>
      <c r="D47" s="810" t="s">
        <v>90</v>
      </c>
      <c r="E47" s="809"/>
      <c r="F47" s="809"/>
      <c r="G47" s="810">
        <v>5920</v>
      </c>
      <c r="H47" s="811"/>
      <c r="I47" s="822"/>
      <c r="J47" s="812" t="s">
        <v>354</v>
      </c>
      <c r="K47" s="822"/>
      <c r="L47" s="822"/>
      <c r="M47" s="822">
        <v>310000</v>
      </c>
      <c r="N47" s="822"/>
      <c r="O47" s="810"/>
      <c r="P47" s="810"/>
      <c r="Q47" s="813"/>
      <c r="R47" s="813" t="s">
        <v>355</v>
      </c>
    </row>
    <row r="48" spans="1:18" s="815" customFormat="1" ht="24.95" customHeight="1" x14ac:dyDescent="0.25">
      <c r="A48" s="805">
        <v>45601</v>
      </c>
      <c r="B48" s="806" t="s">
        <v>145</v>
      </c>
      <c r="C48" s="807"/>
      <c r="D48" s="810" t="s">
        <v>90</v>
      </c>
      <c r="E48" s="809"/>
      <c r="F48" s="809"/>
      <c r="G48" s="810">
        <v>5920</v>
      </c>
      <c r="H48" s="811"/>
      <c r="I48" s="822"/>
      <c r="J48" s="812" t="s">
        <v>354</v>
      </c>
      <c r="K48" s="822"/>
      <c r="L48" s="822"/>
      <c r="M48" s="822">
        <v>310000</v>
      </c>
      <c r="N48" s="822"/>
      <c r="O48" s="810"/>
      <c r="P48" s="810"/>
      <c r="Q48" s="813"/>
      <c r="R48" s="813" t="s">
        <v>355</v>
      </c>
    </row>
    <row r="49" spans="1:19" s="783" customFormat="1" ht="24.95" customHeight="1" x14ac:dyDescent="0.25">
      <c r="A49" s="784">
        <v>45630</v>
      </c>
      <c r="B49" s="751" t="s">
        <v>411</v>
      </c>
      <c r="C49" s="774"/>
      <c r="D49" s="781" t="s">
        <v>92</v>
      </c>
      <c r="E49" s="776"/>
      <c r="F49" s="776"/>
      <c r="G49" s="781">
        <v>5939</v>
      </c>
      <c r="H49" s="778"/>
      <c r="I49" s="787"/>
      <c r="J49" s="787"/>
      <c r="K49" s="787"/>
      <c r="L49" s="787">
        <v>297900</v>
      </c>
      <c r="M49" s="787"/>
      <c r="N49" s="787"/>
      <c r="O49" s="781"/>
      <c r="P49" s="781"/>
      <c r="Q49" s="782"/>
      <c r="R49" s="782" t="s">
        <v>399</v>
      </c>
    </row>
    <row r="50" spans="1:19" s="783" customFormat="1" ht="24.95" customHeight="1" x14ac:dyDescent="0.25">
      <c r="A50" s="784">
        <v>45631</v>
      </c>
      <c r="B50" s="751" t="s">
        <v>301</v>
      </c>
      <c r="C50" s="774"/>
      <c r="D50" s="781" t="s">
        <v>90</v>
      </c>
      <c r="E50" s="776"/>
      <c r="F50" s="776"/>
      <c r="G50" s="781" t="s">
        <v>416</v>
      </c>
      <c r="H50" s="778"/>
      <c r="I50" s="787"/>
      <c r="J50" s="787"/>
      <c r="K50" s="787"/>
      <c r="L50" s="787">
        <v>948500</v>
      </c>
      <c r="M50" s="787"/>
      <c r="N50" s="787"/>
      <c r="O50" s="781"/>
      <c r="P50" s="781"/>
      <c r="Q50" s="782"/>
      <c r="R50" s="782"/>
    </row>
    <row r="51" spans="1:19" s="783" customFormat="1" ht="24.95" customHeight="1" x14ac:dyDescent="0.25">
      <c r="A51" s="784">
        <v>45680</v>
      </c>
      <c r="B51" s="816" t="s">
        <v>428</v>
      </c>
      <c r="C51" s="825"/>
      <c r="D51" s="781" t="s">
        <v>92</v>
      </c>
      <c r="E51" s="776"/>
      <c r="F51" s="776"/>
      <c r="G51" s="781">
        <v>5978</v>
      </c>
      <c r="H51" s="778"/>
      <c r="I51" s="787"/>
      <c r="J51" s="787"/>
      <c r="K51" s="787">
        <v>627000</v>
      </c>
      <c r="L51" s="787"/>
      <c r="M51" s="787"/>
      <c r="N51" s="787"/>
      <c r="O51" s="781"/>
      <c r="P51" s="781"/>
      <c r="Q51" s="782"/>
      <c r="R51" s="782"/>
    </row>
    <row r="52" spans="1:19" s="815" customFormat="1" ht="24.95" customHeight="1" x14ac:dyDescent="0.25">
      <c r="A52" s="805">
        <v>45680</v>
      </c>
      <c r="B52" s="826" t="s">
        <v>429</v>
      </c>
      <c r="C52" s="827"/>
      <c r="D52" s="810" t="s">
        <v>90</v>
      </c>
      <c r="E52" s="809"/>
      <c r="F52" s="809">
        <v>2343</v>
      </c>
      <c r="G52" s="810">
        <v>5979</v>
      </c>
      <c r="H52" s="811"/>
      <c r="I52" s="822"/>
      <c r="J52" s="822"/>
      <c r="K52" s="822">
        <v>45000</v>
      </c>
      <c r="L52" s="822"/>
      <c r="M52" s="822"/>
      <c r="N52" s="822"/>
      <c r="O52" s="810"/>
      <c r="P52" s="810"/>
      <c r="Q52" s="813"/>
      <c r="R52" s="813"/>
    </row>
    <row r="53" spans="1:19" s="783" customFormat="1" ht="24.95" customHeight="1" x14ac:dyDescent="0.25">
      <c r="A53" s="784">
        <v>45682</v>
      </c>
      <c r="B53" s="816" t="s">
        <v>431</v>
      </c>
      <c r="C53" s="825"/>
      <c r="D53" s="781"/>
      <c r="E53" s="776"/>
      <c r="F53" s="776"/>
      <c r="G53" s="781">
        <v>5980</v>
      </c>
      <c r="H53" s="778"/>
      <c r="I53" s="787"/>
      <c r="J53" s="787"/>
      <c r="K53" s="787">
        <v>32500</v>
      </c>
      <c r="L53" s="787"/>
      <c r="M53" s="787"/>
      <c r="N53" s="787"/>
      <c r="O53" s="781"/>
      <c r="P53" s="781"/>
      <c r="Q53" s="782"/>
      <c r="R53" s="782"/>
    </row>
    <row r="54" spans="1:19" s="783" customFormat="1" ht="24.95" customHeight="1" x14ac:dyDescent="0.25">
      <c r="A54" s="784" t="s">
        <v>421</v>
      </c>
      <c r="B54" s="816" t="s">
        <v>270</v>
      </c>
      <c r="C54" s="825"/>
      <c r="D54" s="781" t="s">
        <v>90</v>
      </c>
      <c r="E54" s="776"/>
      <c r="F54" s="776"/>
      <c r="G54" s="781">
        <v>5950</v>
      </c>
      <c r="H54" s="778"/>
      <c r="I54" s="787"/>
      <c r="J54" s="828"/>
      <c r="K54" s="828" t="s">
        <v>419</v>
      </c>
      <c r="L54" s="787"/>
      <c r="M54" s="787"/>
      <c r="N54" s="787"/>
      <c r="O54" s="781"/>
      <c r="P54" s="781"/>
      <c r="Q54" s="782"/>
      <c r="R54" s="782"/>
    </row>
    <row r="55" spans="1:19" s="836" customFormat="1" ht="24.95" customHeight="1" x14ac:dyDescent="0.25">
      <c r="A55" s="829">
        <v>45685</v>
      </c>
      <c r="B55" s="830" t="s">
        <v>473</v>
      </c>
      <c r="C55" s="831"/>
      <c r="D55" s="832" t="s">
        <v>90</v>
      </c>
      <c r="E55" s="833"/>
      <c r="F55" s="833"/>
      <c r="G55" s="832">
        <v>5982</v>
      </c>
      <c r="H55" s="834"/>
      <c r="I55" s="835"/>
      <c r="J55" s="835"/>
      <c r="K55" s="835">
        <v>133000</v>
      </c>
      <c r="L55" s="835"/>
      <c r="M55" s="835"/>
      <c r="N55" s="835"/>
      <c r="O55" s="832"/>
      <c r="P55" s="832"/>
    </row>
    <row r="56" spans="1:19" s="819" customFormat="1" ht="24.95" customHeight="1" x14ac:dyDescent="0.25">
      <c r="A56" s="837" t="s">
        <v>421</v>
      </c>
      <c r="B56" s="838" t="s">
        <v>301</v>
      </c>
      <c r="D56" s="820" t="s">
        <v>90</v>
      </c>
      <c r="E56" s="820"/>
      <c r="F56" s="820"/>
      <c r="G56" s="821">
        <v>5984</v>
      </c>
      <c r="J56" s="839" t="s">
        <v>419</v>
      </c>
      <c r="O56" s="820"/>
      <c r="P56" s="820"/>
      <c r="S56" s="819" t="s">
        <v>435</v>
      </c>
    </row>
    <row r="57" spans="1:19" s="819" customFormat="1" ht="24.95" customHeight="1" x14ac:dyDescent="0.25">
      <c r="A57" s="837" t="s">
        <v>421</v>
      </c>
      <c r="B57" s="838" t="s">
        <v>301</v>
      </c>
      <c r="D57" s="820" t="s">
        <v>90</v>
      </c>
      <c r="E57" s="820"/>
      <c r="F57" s="820"/>
      <c r="G57" s="821">
        <v>5985</v>
      </c>
      <c r="J57" s="839" t="s">
        <v>419</v>
      </c>
      <c r="O57" s="820"/>
      <c r="P57" s="820"/>
      <c r="S57" s="819" t="s">
        <v>435</v>
      </c>
    </row>
    <row r="58" spans="1:19" s="819" customFormat="1" ht="24.95" customHeight="1" x14ac:dyDescent="0.25">
      <c r="A58" s="837" t="s">
        <v>421</v>
      </c>
      <c r="B58" s="838" t="s">
        <v>285</v>
      </c>
      <c r="D58" s="820" t="s">
        <v>221</v>
      </c>
      <c r="E58" s="820"/>
      <c r="F58" s="820"/>
      <c r="G58" s="821">
        <v>5986</v>
      </c>
      <c r="J58" s="840">
        <v>50000</v>
      </c>
      <c r="O58" s="820"/>
      <c r="P58" s="820"/>
    </row>
    <row r="59" spans="1:19" s="819" customFormat="1" ht="24.95" customHeight="1" x14ac:dyDescent="0.25">
      <c r="A59" s="841">
        <v>45700</v>
      </c>
      <c r="B59" s="838" t="s">
        <v>439</v>
      </c>
      <c r="D59" s="820" t="s">
        <v>90</v>
      </c>
      <c r="E59" s="820"/>
      <c r="F59" s="820"/>
      <c r="G59" s="821">
        <v>5990</v>
      </c>
      <c r="J59" s="840" t="s">
        <v>440</v>
      </c>
      <c r="O59" s="820"/>
      <c r="P59" s="820"/>
    </row>
    <row r="60" spans="1:19" s="819" customFormat="1" ht="24.95" customHeight="1" x14ac:dyDescent="0.25">
      <c r="A60" s="841" t="s">
        <v>421</v>
      </c>
      <c r="B60" s="838" t="s">
        <v>301</v>
      </c>
      <c r="D60" s="820" t="s">
        <v>90</v>
      </c>
      <c r="E60" s="820"/>
      <c r="F60" s="820"/>
      <c r="G60" s="821">
        <v>5992</v>
      </c>
      <c r="J60" s="840" t="s">
        <v>419</v>
      </c>
      <c r="O60" s="820"/>
      <c r="P60" s="820"/>
    </row>
    <row r="61" spans="1:19" s="819" customFormat="1" ht="24.95" customHeight="1" x14ac:dyDescent="0.25">
      <c r="A61" s="841">
        <v>45708</v>
      </c>
      <c r="B61" s="838" t="s">
        <v>436</v>
      </c>
      <c r="D61" s="820"/>
      <c r="E61" s="820"/>
      <c r="F61" s="820"/>
      <c r="G61" s="821" t="s">
        <v>442</v>
      </c>
      <c r="J61" s="840">
        <v>241350</v>
      </c>
      <c r="O61" s="820"/>
      <c r="P61" s="820"/>
    </row>
    <row r="62" spans="1:19" s="819" customFormat="1" ht="24.95" customHeight="1" x14ac:dyDescent="0.25">
      <c r="A62" s="841">
        <v>45708</v>
      </c>
      <c r="B62" s="838" t="s">
        <v>436</v>
      </c>
      <c r="D62" s="820"/>
      <c r="E62" s="820"/>
      <c r="F62" s="820"/>
      <c r="G62" s="821" t="s">
        <v>443</v>
      </c>
      <c r="J62" s="840" t="s">
        <v>419</v>
      </c>
      <c r="O62" s="820"/>
      <c r="P62" s="820"/>
    </row>
    <row r="63" spans="1:19" s="819" customFormat="1" ht="24.95" customHeight="1" x14ac:dyDescent="0.25">
      <c r="A63" s="841">
        <v>45708</v>
      </c>
      <c r="B63" s="838" t="s">
        <v>237</v>
      </c>
      <c r="D63" s="820" t="s">
        <v>90</v>
      </c>
      <c r="E63" s="820"/>
      <c r="F63" s="820"/>
      <c r="G63" s="821" t="s">
        <v>448</v>
      </c>
      <c r="J63" s="840">
        <v>837875</v>
      </c>
      <c r="O63" s="820"/>
      <c r="P63" s="820"/>
    </row>
    <row r="64" spans="1:19" s="819" customFormat="1" ht="24.95" customHeight="1" x14ac:dyDescent="0.25">
      <c r="A64" s="841">
        <v>45708</v>
      </c>
      <c r="B64" s="838" t="s">
        <v>449</v>
      </c>
      <c r="D64" s="820"/>
      <c r="E64" s="820"/>
      <c r="F64" s="820"/>
      <c r="G64" s="821" t="s">
        <v>450</v>
      </c>
      <c r="J64" s="840">
        <v>23250</v>
      </c>
      <c r="O64" s="820"/>
      <c r="P64" s="820"/>
    </row>
    <row r="65" spans="1:18" s="819" customFormat="1" ht="24.95" customHeight="1" x14ac:dyDescent="0.25">
      <c r="A65" s="841">
        <v>45709</v>
      </c>
      <c r="B65" s="838" t="s">
        <v>454</v>
      </c>
      <c r="D65" s="820" t="s">
        <v>282</v>
      </c>
      <c r="E65" s="820"/>
      <c r="F65" s="820"/>
      <c r="G65" s="821" t="s">
        <v>455</v>
      </c>
      <c r="J65" s="840" t="s">
        <v>419</v>
      </c>
      <c r="O65" s="820"/>
      <c r="P65" s="820"/>
    </row>
    <row r="66" spans="1:18" s="819" customFormat="1" ht="24.95" customHeight="1" x14ac:dyDescent="0.25">
      <c r="A66" s="841" t="s">
        <v>421</v>
      </c>
      <c r="B66" s="838" t="s">
        <v>417</v>
      </c>
      <c r="D66" s="820" t="s">
        <v>90</v>
      </c>
      <c r="E66" s="820"/>
      <c r="F66" s="820"/>
      <c r="G66" s="821" t="s">
        <v>456</v>
      </c>
      <c r="J66" s="840" t="s">
        <v>419</v>
      </c>
      <c r="O66" s="820"/>
      <c r="P66" s="820"/>
    </row>
    <row r="67" spans="1:18" s="819" customFormat="1" ht="24.95" customHeight="1" x14ac:dyDescent="0.25">
      <c r="A67" s="841" t="s">
        <v>421</v>
      </c>
      <c r="B67" s="838" t="s">
        <v>43</v>
      </c>
      <c r="D67" s="820" t="s">
        <v>90</v>
      </c>
      <c r="E67" s="820"/>
      <c r="F67" s="820"/>
      <c r="G67" s="821" t="s">
        <v>457</v>
      </c>
      <c r="J67" s="840" t="s">
        <v>419</v>
      </c>
      <c r="O67" s="820"/>
      <c r="P67" s="820"/>
    </row>
    <row r="68" spans="1:18" s="819" customFormat="1" ht="24.95" customHeight="1" x14ac:dyDescent="0.25">
      <c r="A68" s="841">
        <v>45723</v>
      </c>
      <c r="B68" s="838" t="s">
        <v>474</v>
      </c>
      <c r="D68" s="820" t="s">
        <v>92</v>
      </c>
      <c r="E68" s="820"/>
      <c r="F68" s="820"/>
      <c r="G68" s="821">
        <v>5993</v>
      </c>
      <c r="J68" s="840" t="s">
        <v>419</v>
      </c>
      <c r="O68" s="820"/>
      <c r="P68" s="820"/>
    </row>
    <row r="69" spans="1:18" s="819" customFormat="1" ht="24.95" customHeight="1" x14ac:dyDescent="0.25">
      <c r="A69" s="841">
        <v>45727</v>
      </c>
      <c r="B69" s="838" t="s">
        <v>477</v>
      </c>
      <c r="D69" s="820" t="s">
        <v>90</v>
      </c>
      <c r="E69" s="820"/>
      <c r="F69" s="820"/>
      <c r="G69" s="821" t="s">
        <v>475</v>
      </c>
      <c r="J69" s="840">
        <v>246350</v>
      </c>
      <c r="O69" s="820"/>
      <c r="P69" s="820"/>
    </row>
    <row r="70" spans="1:18" s="819" customFormat="1" ht="24.95" customHeight="1" x14ac:dyDescent="0.25">
      <c r="A70" s="841">
        <v>45728</v>
      </c>
      <c r="B70" s="838" t="s">
        <v>436</v>
      </c>
      <c r="D70" s="820" t="s">
        <v>476</v>
      </c>
      <c r="E70" s="820"/>
      <c r="F70" s="820"/>
      <c r="G70" s="821">
        <v>5995</v>
      </c>
      <c r="J70" s="840">
        <v>241000</v>
      </c>
      <c r="O70" s="820"/>
      <c r="P70" s="820"/>
    </row>
    <row r="71" spans="1:18" s="819" customFormat="1" ht="24.95" customHeight="1" x14ac:dyDescent="0.25">
      <c r="A71" s="841">
        <v>45728</v>
      </c>
      <c r="B71" s="838" t="s">
        <v>436</v>
      </c>
      <c r="D71" s="820" t="s">
        <v>476</v>
      </c>
      <c r="E71" s="820"/>
      <c r="F71" s="820"/>
      <c r="G71" s="821">
        <v>5996</v>
      </c>
      <c r="J71" s="840">
        <v>37100</v>
      </c>
      <c r="O71" s="820"/>
      <c r="P71" s="820"/>
    </row>
    <row r="72" spans="1:18" s="819" customFormat="1" ht="24.95" customHeight="1" x14ac:dyDescent="0.25">
      <c r="A72" s="841">
        <v>45731</v>
      </c>
      <c r="B72" s="838" t="s">
        <v>480</v>
      </c>
      <c r="D72" s="820" t="s">
        <v>90</v>
      </c>
      <c r="E72" s="820"/>
      <c r="F72" s="820"/>
      <c r="G72" s="821" t="s">
        <v>481</v>
      </c>
      <c r="J72" s="840" t="s">
        <v>419</v>
      </c>
      <c r="O72" s="820"/>
      <c r="P72" s="820"/>
    </row>
    <row r="73" spans="1:18" s="819" customFormat="1" ht="24.95" customHeight="1" x14ac:dyDescent="0.25">
      <c r="A73" s="841">
        <v>45733</v>
      </c>
      <c r="B73" s="838" t="s">
        <v>159</v>
      </c>
      <c r="D73" s="820" t="s">
        <v>90</v>
      </c>
      <c r="E73" s="820"/>
      <c r="F73" s="820"/>
      <c r="G73" s="821">
        <v>5997</v>
      </c>
      <c r="J73" s="840">
        <v>181350</v>
      </c>
      <c r="O73" s="820"/>
      <c r="P73" s="820"/>
    </row>
    <row r="74" spans="1:18" s="819" customFormat="1" ht="24.95" customHeight="1" x14ac:dyDescent="0.25">
      <c r="A74" s="841" t="s">
        <v>482</v>
      </c>
      <c r="B74" s="838" t="s">
        <v>237</v>
      </c>
      <c r="D74" s="820" t="s">
        <v>90</v>
      </c>
      <c r="E74" s="820"/>
      <c r="F74" s="820"/>
      <c r="G74" s="821">
        <v>5999</v>
      </c>
      <c r="J74" s="840">
        <v>181350.39999999999</v>
      </c>
      <c r="O74" s="820"/>
      <c r="P74" s="820"/>
    </row>
    <row r="75" spans="1:18" s="819" customFormat="1" ht="24.95" customHeight="1" x14ac:dyDescent="0.25">
      <c r="A75" s="841">
        <v>45740</v>
      </c>
      <c r="B75" s="838" t="s">
        <v>483</v>
      </c>
      <c r="D75" s="820" t="s">
        <v>90</v>
      </c>
      <c r="E75" s="820"/>
      <c r="F75" s="820"/>
      <c r="G75" s="821" t="s">
        <v>484</v>
      </c>
      <c r="J75" s="840">
        <v>19590</v>
      </c>
      <c r="K75" s="819" t="s">
        <v>478</v>
      </c>
      <c r="O75" s="820"/>
      <c r="P75" s="820"/>
    </row>
    <row r="76" spans="1:18" s="819" customFormat="1" ht="24.95" customHeight="1" x14ac:dyDescent="0.25">
      <c r="A76" s="841">
        <v>45740</v>
      </c>
      <c r="B76" s="838" t="s">
        <v>485</v>
      </c>
      <c r="D76" s="820" t="s">
        <v>282</v>
      </c>
      <c r="E76" s="820"/>
      <c r="F76" s="820"/>
      <c r="G76" s="821">
        <v>5988</v>
      </c>
      <c r="J76" s="840">
        <v>23800</v>
      </c>
      <c r="O76" s="820"/>
      <c r="P76" s="820"/>
    </row>
    <row r="77" spans="1:18" s="819" customFormat="1" ht="24.95" customHeight="1" x14ac:dyDescent="0.25">
      <c r="A77" s="841" t="s">
        <v>421</v>
      </c>
      <c r="B77" s="838" t="s">
        <v>409</v>
      </c>
      <c r="D77" s="820" t="s">
        <v>90</v>
      </c>
      <c r="E77" s="820"/>
      <c r="F77" s="820"/>
      <c r="G77" s="821">
        <v>5987</v>
      </c>
      <c r="J77" s="840" t="s">
        <v>419</v>
      </c>
      <c r="O77" s="820"/>
      <c r="P77" s="820"/>
    </row>
    <row r="78" spans="1:18" s="819" customFormat="1" ht="24.95" customHeight="1" x14ac:dyDescent="0.25">
      <c r="A78" s="841">
        <v>45743</v>
      </c>
      <c r="B78" s="838" t="s">
        <v>487</v>
      </c>
      <c r="D78" s="820" t="s">
        <v>92</v>
      </c>
      <c r="E78" s="820"/>
      <c r="F78" s="820"/>
      <c r="G78" s="821" t="s">
        <v>488</v>
      </c>
      <c r="J78" s="840">
        <v>53500</v>
      </c>
      <c r="O78" s="820"/>
      <c r="P78" s="820"/>
    </row>
    <row r="79" spans="1:18" s="852" customFormat="1" ht="24.95" customHeight="1" x14ac:dyDescent="0.25">
      <c r="A79" s="842"/>
      <c r="B79" s="843" t="s">
        <v>7</v>
      </c>
      <c r="C79" s="844"/>
      <c r="D79" s="808" t="s">
        <v>140</v>
      </c>
      <c r="E79" s="844"/>
      <c r="F79" s="844"/>
      <c r="G79" s="810"/>
      <c r="H79" s="845"/>
      <c r="I79" s="846"/>
      <c r="J79" s="847">
        <f>SUM(J58:J78)</f>
        <v>2136515.4</v>
      </c>
      <c r="K79" s="847">
        <f>SUM(K51:K78)</f>
        <v>837500</v>
      </c>
      <c r="L79" s="848">
        <f>SUM(L49:L78)</f>
        <v>1246400</v>
      </c>
      <c r="M79" s="847">
        <f>SUM(M45:M78)</f>
        <v>631059.82000000007</v>
      </c>
      <c r="N79" s="847"/>
      <c r="O79" s="847">
        <f>SUM(O7:O78)</f>
        <v>5931080.21</v>
      </c>
      <c r="P79" s="849"/>
      <c r="Q79" s="850">
        <f>SUM(J79:P79)</f>
        <v>10782555.43</v>
      </c>
      <c r="R79" s="851"/>
    </row>
    <row r="80" spans="1:18" ht="24.95" customHeight="1" x14ac:dyDescent="0.25">
      <c r="A80" s="853" t="s">
        <v>64</v>
      </c>
      <c r="F80" s="855" t="s">
        <v>64</v>
      </c>
      <c r="H80" s="857"/>
    </row>
    <row r="81" spans="5:17" ht="24.95" customHeight="1" x14ac:dyDescent="0.25">
      <c r="H81" s="857"/>
    </row>
    <row r="82" spans="5:17" ht="24.95" customHeight="1" x14ac:dyDescent="0.25">
      <c r="E82" s="719" t="s">
        <v>486</v>
      </c>
      <c r="O82" s="859"/>
    </row>
    <row r="83" spans="5:17" ht="24.95" customHeight="1" x14ac:dyDescent="0.25">
      <c r="F83" s="855" t="s">
        <v>64</v>
      </c>
      <c r="O83" s="859"/>
    </row>
    <row r="84" spans="5:17" ht="24.95" customHeight="1" x14ac:dyDescent="0.25">
      <c r="G84" s="719"/>
      <c r="H84" s="719"/>
      <c r="I84" s="719"/>
      <c r="J84" s="719" t="s">
        <v>64</v>
      </c>
      <c r="K84" s="719"/>
      <c r="O84" s="859"/>
      <c r="P84" s="719"/>
    </row>
    <row r="85" spans="5:17" ht="24.95" customHeight="1" x14ac:dyDescent="0.25">
      <c r="O85" s="859"/>
      <c r="Q85" s="859"/>
    </row>
    <row r="86" spans="5:17" ht="24.95" customHeight="1" x14ac:dyDescent="0.25">
      <c r="O86" s="859"/>
    </row>
    <row r="87" spans="5:17" ht="24.95" customHeight="1" x14ac:dyDescent="0.25">
      <c r="O87" s="859"/>
    </row>
    <row r="88" spans="5:17" ht="24.95" customHeight="1" x14ac:dyDescent="0.25">
      <c r="O88" s="859"/>
    </row>
    <row r="89" spans="5:17" ht="24.95" customHeight="1" x14ac:dyDescent="0.25">
      <c r="O89" s="859"/>
    </row>
    <row r="90" spans="5:17" ht="24.95" customHeight="1" x14ac:dyDescent="0.25">
      <c r="O90" s="859"/>
    </row>
    <row r="91" spans="5:17" ht="24.95" customHeight="1" x14ac:dyDescent="0.25">
      <c r="O91" s="859"/>
    </row>
    <row r="92" spans="5:17" ht="24.95" customHeight="1" x14ac:dyDescent="0.25">
      <c r="O92" s="859"/>
    </row>
    <row r="93" spans="5:17" ht="24.95" customHeight="1" x14ac:dyDescent="0.25">
      <c r="O93" s="862"/>
    </row>
    <row r="94" spans="5:17" ht="24.95" customHeight="1" x14ac:dyDescent="0.25">
      <c r="O94" s="863"/>
    </row>
    <row r="95" spans="5:17" ht="24.95" customHeight="1" x14ac:dyDescent="0.25">
      <c r="O95" s="864"/>
    </row>
    <row r="96" spans="5:17" ht="24.95" customHeight="1" x14ac:dyDescent="0.25">
      <c r="O96" s="863"/>
    </row>
    <row r="97" spans="15:15" ht="24.95" customHeight="1" x14ac:dyDescent="0.25">
      <c r="O97" s="864"/>
    </row>
  </sheetData>
  <pageMargins left="0.23622047244094491" right="0.23622047244094491" top="0.74803149606299213" bottom="0.74803149606299213" header="0.31496062992125984" footer="0.31496062992125984"/>
  <pageSetup paperSize="9" scale="44" fitToHeight="0"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4"/>
  <sheetViews>
    <sheetView topLeftCell="A45" workbookViewId="0">
      <selection activeCell="G56" sqref="G1:G1048576"/>
    </sheetView>
  </sheetViews>
  <sheetFormatPr defaultColWidth="23.85546875" defaultRowHeight="23.25" x14ac:dyDescent="0.35"/>
  <cols>
    <col min="1" max="1" width="23.85546875" style="656"/>
    <col min="2" max="2" width="42.85546875" style="623" customWidth="1"/>
    <col min="3" max="3" width="15.85546875" style="524" customWidth="1"/>
    <col min="4" max="4" width="13" style="657" customWidth="1"/>
    <col min="5" max="5" width="14.28515625" style="524" customWidth="1"/>
    <col min="6" max="6" width="12.28515625" style="658" customWidth="1"/>
    <col min="7" max="7" width="23.85546875" style="659"/>
    <col min="8" max="8" width="13.85546875" style="664" customWidth="1"/>
    <col min="9" max="9" width="17.7109375"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18" ht="24.95" customHeight="1" x14ac:dyDescent="0.35">
      <c r="A1" s="514" t="s">
        <v>8</v>
      </c>
      <c r="B1" s="515"/>
      <c r="C1" s="516"/>
      <c r="D1" s="517"/>
      <c r="E1" s="516"/>
      <c r="F1" s="516"/>
      <c r="G1" s="518"/>
      <c r="H1" s="519"/>
      <c r="I1" s="520"/>
      <c r="J1" s="521"/>
      <c r="K1" s="521"/>
      <c r="L1" s="521"/>
      <c r="M1" s="521"/>
      <c r="N1" s="521"/>
      <c r="O1" s="522"/>
      <c r="P1" s="523"/>
    </row>
    <row r="2" spans="1:18" ht="24.95" customHeight="1" x14ac:dyDescent="0.35">
      <c r="A2" s="525" t="s">
        <v>9</v>
      </c>
      <c r="B2" s="526"/>
      <c r="C2" s="527"/>
      <c r="D2" s="528"/>
      <c r="E2" s="527"/>
      <c r="F2" s="527"/>
      <c r="G2" s="529"/>
      <c r="H2" s="530"/>
      <c r="I2" s="531"/>
      <c r="J2" s="532"/>
      <c r="K2" s="532"/>
      <c r="L2" s="532"/>
      <c r="M2" s="532"/>
      <c r="N2" s="532"/>
      <c r="O2" s="533"/>
      <c r="P2" s="534"/>
    </row>
    <row r="3" spans="1:18" ht="24.95" customHeight="1" x14ac:dyDescent="0.35">
      <c r="A3" s="525" t="s">
        <v>10</v>
      </c>
      <c r="B3" s="526"/>
      <c r="C3" s="527"/>
      <c r="D3" s="528"/>
      <c r="E3" s="527"/>
      <c r="F3" s="527"/>
      <c r="G3" s="529"/>
      <c r="H3" s="530"/>
      <c r="I3" s="535"/>
      <c r="J3" s="536"/>
      <c r="K3" s="536"/>
      <c r="L3" s="536"/>
      <c r="M3" s="536"/>
      <c r="N3" s="536"/>
      <c r="O3" s="537"/>
      <c r="P3" s="538"/>
    </row>
    <row r="4" spans="1:18" ht="24.95" customHeight="1" x14ac:dyDescent="0.35">
      <c r="A4" s="525" t="s">
        <v>458</v>
      </c>
      <c r="B4" s="526"/>
      <c r="C4" s="527"/>
      <c r="D4" s="528"/>
      <c r="E4" s="527"/>
      <c r="F4" s="527"/>
      <c r="G4" s="529"/>
      <c r="H4" s="530"/>
      <c r="I4" s="535"/>
      <c r="J4" s="536"/>
      <c r="K4" s="536"/>
      <c r="L4" s="536"/>
      <c r="M4" s="536"/>
      <c r="N4" s="536"/>
      <c r="O4" s="537"/>
      <c r="P4" s="538"/>
    </row>
    <row r="5" spans="1:18" ht="24.95" customHeight="1" x14ac:dyDescent="0.35">
      <c r="A5" s="539"/>
      <c r="B5" s="526"/>
      <c r="C5" s="527"/>
      <c r="D5" s="528"/>
      <c r="E5" s="527"/>
      <c r="F5" s="527"/>
      <c r="G5" s="529"/>
      <c r="H5" s="540"/>
      <c r="I5" s="541"/>
      <c r="J5" s="542"/>
      <c r="K5" s="542"/>
      <c r="L5" s="542"/>
      <c r="M5" s="542"/>
      <c r="N5" s="542"/>
      <c r="O5" s="542"/>
      <c r="P5" s="543"/>
    </row>
    <row r="6" spans="1:18"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18" ht="24.95" customHeight="1" x14ac:dyDescent="0.35">
      <c r="A7" s="555">
        <v>43878</v>
      </c>
      <c r="B7" s="556" t="s">
        <v>63</v>
      </c>
      <c r="C7" s="557"/>
      <c r="D7" s="558" t="s">
        <v>90</v>
      </c>
      <c r="E7" s="557"/>
      <c r="F7" s="557"/>
      <c r="G7" s="559" t="s">
        <v>102</v>
      </c>
      <c r="H7" s="560"/>
      <c r="I7" s="561"/>
      <c r="J7" s="559"/>
      <c r="K7" s="562"/>
      <c r="L7" s="563"/>
      <c r="M7" s="563"/>
      <c r="N7" s="563"/>
      <c r="O7" s="561">
        <v>33421.01</v>
      </c>
      <c r="P7" s="564" t="s">
        <v>22</v>
      </c>
      <c r="Q7" s="565"/>
      <c r="R7" s="565"/>
    </row>
    <row r="8" spans="1:18" s="577" customFormat="1" ht="24.95" customHeight="1" x14ac:dyDescent="0.35">
      <c r="A8" s="566">
        <v>44092</v>
      </c>
      <c r="B8" s="558" t="s">
        <v>78</v>
      </c>
      <c r="C8" s="567"/>
      <c r="D8" s="568" t="s">
        <v>92</v>
      </c>
      <c r="E8" s="567"/>
      <c r="F8" s="569"/>
      <c r="G8" s="570" t="s">
        <v>77</v>
      </c>
      <c r="H8" s="571"/>
      <c r="I8" s="572"/>
      <c r="J8" s="573"/>
      <c r="K8" s="573"/>
      <c r="L8" s="573"/>
      <c r="M8" s="573"/>
      <c r="N8" s="573"/>
      <c r="O8" s="574">
        <v>108000</v>
      </c>
      <c r="P8" s="575"/>
      <c r="Q8" s="576"/>
      <c r="R8" s="576"/>
    </row>
    <row r="9" spans="1:18" s="588" customFormat="1" ht="24.95" customHeight="1" x14ac:dyDescent="0.35">
      <c r="A9" s="578">
        <v>44352</v>
      </c>
      <c r="B9" s="558" t="s">
        <v>107</v>
      </c>
      <c r="C9" s="579"/>
      <c r="D9" s="580" t="s">
        <v>90</v>
      </c>
      <c r="E9" s="581"/>
      <c r="F9" s="581">
        <v>1918</v>
      </c>
      <c r="G9" s="582">
        <v>4457</v>
      </c>
      <c r="H9" s="583"/>
      <c r="I9" s="584"/>
      <c r="J9" s="584"/>
      <c r="K9" s="584"/>
      <c r="L9" s="584"/>
      <c r="M9" s="584"/>
      <c r="N9" s="584"/>
      <c r="O9" s="585">
        <v>36289.599999999999</v>
      </c>
      <c r="P9" s="586"/>
      <c r="Q9" s="587"/>
      <c r="R9" s="587"/>
    </row>
    <row r="10" spans="1:18" s="588" customFormat="1" ht="24.95" customHeight="1" x14ac:dyDescent="0.35">
      <c r="A10" s="578">
        <v>44413</v>
      </c>
      <c r="B10" s="558" t="s">
        <v>107</v>
      </c>
      <c r="C10" s="579"/>
      <c r="D10" s="580" t="s">
        <v>90</v>
      </c>
      <c r="E10" s="581"/>
      <c r="F10" s="581"/>
      <c r="G10" s="582">
        <v>4457</v>
      </c>
      <c r="H10" s="583"/>
      <c r="I10" s="584"/>
      <c r="J10" s="584"/>
      <c r="K10" s="584"/>
      <c r="L10" s="584"/>
      <c r="M10" s="584"/>
      <c r="N10" s="584"/>
      <c r="O10" s="585">
        <v>176976.8</v>
      </c>
      <c r="P10" s="586"/>
      <c r="Q10" s="587"/>
      <c r="R10" s="587"/>
    </row>
    <row r="11" spans="1:18" s="588" customFormat="1" ht="24.95" customHeight="1" x14ac:dyDescent="0.35">
      <c r="A11" s="589">
        <v>44420</v>
      </c>
      <c r="B11" s="556" t="s">
        <v>108</v>
      </c>
      <c r="C11" s="579"/>
      <c r="D11" s="558" t="s">
        <v>90</v>
      </c>
      <c r="E11" s="581"/>
      <c r="F11" s="581"/>
      <c r="G11" s="586" t="s">
        <v>120</v>
      </c>
      <c r="H11" s="583"/>
      <c r="I11" s="584"/>
      <c r="J11" s="584"/>
      <c r="K11" s="584"/>
      <c r="L11" s="584"/>
      <c r="M11" s="584"/>
      <c r="N11" s="584"/>
      <c r="O11" s="584">
        <v>470000</v>
      </c>
      <c r="P11" s="586"/>
      <c r="Q11" s="587"/>
      <c r="R11" s="587" t="s">
        <v>121</v>
      </c>
    </row>
    <row r="12" spans="1:18" s="588" customFormat="1" ht="24.95" customHeight="1" x14ac:dyDescent="0.35">
      <c r="A12" s="589">
        <v>44474</v>
      </c>
      <c r="B12" s="556" t="s">
        <v>110</v>
      </c>
      <c r="C12" s="579"/>
      <c r="D12" s="558" t="s">
        <v>92</v>
      </c>
      <c r="E12" s="581"/>
      <c r="F12" s="590"/>
      <c r="G12" s="586" t="s">
        <v>111</v>
      </c>
      <c r="H12" s="583"/>
      <c r="I12" s="591"/>
      <c r="J12" s="591"/>
      <c r="K12" s="592"/>
      <c r="L12" s="592"/>
      <c r="M12" s="592"/>
      <c r="N12" s="592"/>
      <c r="O12" s="592">
        <v>100000</v>
      </c>
      <c r="P12" s="586" t="s">
        <v>22</v>
      </c>
      <c r="Q12" s="587"/>
      <c r="R12" s="593" t="s">
        <v>112</v>
      </c>
    </row>
    <row r="13" spans="1:18" s="595" customFormat="1" ht="24.95" customHeight="1" x14ac:dyDescent="0.35">
      <c r="A13" s="589">
        <v>44480</v>
      </c>
      <c r="B13" s="556" t="s">
        <v>43</v>
      </c>
      <c r="C13" s="579"/>
      <c r="D13" s="586" t="s">
        <v>90</v>
      </c>
      <c r="E13" s="581"/>
      <c r="F13" s="590">
        <v>2019</v>
      </c>
      <c r="G13" s="586" t="s">
        <v>132</v>
      </c>
      <c r="H13" s="583"/>
      <c r="I13" s="591"/>
      <c r="J13" s="591"/>
      <c r="K13" s="594"/>
      <c r="L13" s="594"/>
      <c r="M13" s="594"/>
      <c r="N13" s="594"/>
      <c r="O13" s="594">
        <v>147281.20000000001</v>
      </c>
      <c r="P13" s="586"/>
      <c r="Q13" s="580"/>
      <c r="R13" s="593" t="s">
        <v>133</v>
      </c>
    </row>
    <row r="14" spans="1:18" s="588"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Q14" s="587"/>
      <c r="R14" s="587" t="s">
        <v>126</v>
      </c>
    </row>
    <row r="15" spans="1:18" s="588" customFormat="1" ht="24.95" customHeight="1" x14ac:dyDescent="0.35">
      <c r="A15" s="589">
        <v>44607</v>
      </c>
      <c r="B15" s="596" t="s">
        <v>59</v>
      </c>
      <c r="C15" s="579"/>
      <c r="D15" s="558" t="s">
        <v>90</v>
      </c>
      <c r="E15" s="581" t="s">
        <v>135</v>
      </c>
      <c r="F15" s="581"/>
      <c r="G15" s="586" t="s">
        <v>131</v>
      </c>
      <c r="H15" s="583"/>
      <c r="I15" s="591"/>
      <c r="J15" s="591"/>
      <c r="K15" s="591"/>
      <c r="L15" s="591"/>
      <c r="M15" s="591"/>
      <c r="N15" s="591"/>
      <c r="O15" s="591">
        <v>16076.04</v>
      </c>
      <c r="P15" s="591" t="s">
        <v>22</v>
      </c>
      <c r="Q15" s="587"/>
      <c r="R15" s="593" t="s">
        <v>134</v>
      </c>
    </row>
    <row r="16" spans="1:18" s="606" customFormat="1" ht="24.95" customHeight="1" x14ac:dyDescent="0.35">
      <c r="A16" s="597">
        <v>44609</v>
      </c>
      <c r="B16" s="598" t="s">
        <v>59</v>
      </c>
      <c r="C16" s="599"/>
      <c r="D16" s="600" t="s">
        <v>90</v>
      </c>
      <c r="E16" s="601" t="s">
        <v>129</v>
      </c>
      <c r="F16" s="601"/>
      <c r="G16" s="602" t="s">
        <v>118</v>
      </c>
      <c r="H16" s="603"/>
      <c r="I16" s="604"/>
      <c r="J16" s="604"/>
      <c r="K16" s="604"/>
      <c r="L16" s="604"/>
      <c r="M16" s="604"/>
      <c r="N16" s="604"/>
      <c r="O16" s="604">
        <v>7186.99</v>
      </c>
      <c r="P16" s="604" t="s">
        <v>22</v>
      </c>
      <c r="Q16" s="605"/>
      <c r="R16" s="605" t="s">
        <v>130</v>
      </c>
    </row>
    <row r="17" spans="1:18" s="588" customFormat="1" ht="24.95" customHeight="1" x14ac:dyDescent="0.35">
      <c r="A17" s="589">
        <v>44614</v>
      </c>
      <c r="B17" s="556" t="s">
        <v>136</v>
      </c>
      <c r="C17" s="579"/>
      <c r="D17" s="558" t="s">
        <v>92</v>
      </c>
      <c r="E17" s="581"/>
      <c r="F17" s="581"/>
      <c r="G17" s="586" t="s">
        <v>376</v>
      </c>
      <c r="H17" s="583"/>
      <c r="I17" s="591"/>
      <c r="J17" s="591"/>
      <c r="K17" s="591"/>
      <c r="L17" s="591"/>
      <c r="M17" s="591"/>
      <c r="N17" s="591"/>
      <c r="O17" s="591">
        <v>526625</v>
      </c>
      <c r="P17" s="591"/>
      <c r="Q17" s="587"/>
      <c r="R17" s="587" t="s">
        <v>193</v>
      </c>
    </row>
    <row r="18" spans="1:18" s="588"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Q18" s="587"/>
      <c r="R18" s="587" t="s">
        <v>138</v>
      </c>
    </row>
    <row r="19" spans="1:18" s="588"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Q19" s="587"/>
      <c r="R19" s="587" t="s">
        <v>139</v>
      </c>
    </row>
    <row r="20" spans="1:18" s="588" customFormat="1" ht="24.95" customHeight="1" x14ac:dyDescent="0.35">
      <c r="A20" s="589">
        <v>44711</v>
      </c>
      <c r="B20" s="556" t="s">
        <v>153</v>
      </c>
      <c r="C20" s="579"/>
      <c r="D20" s="558" t="s">
        <v>92</v>
      </c>
      <c r="E20" s="581"/>
      <c r="F20" s="581"/>
      <c r="G20" s="586" t="s">
        <v>181</v>
      </c>
      <c r="H20" s="583"/>
      <c r="I20" s="591"/>
      <c r="J20" s="591"/>
      <c r="K20" s="591"/>
      <c r="L20" s="591"/>
      <c r="M20" s="591"/>
      <c r="N20" s="591"/>
      <c r="O20" s="591">
        <v>164667</v>
      </c>
      <c r="P20" s="592"/>
      <c r="Q20" s="587"/>
      <c r="R20" s="593" t="s">
        <v>182</v>
      </c>
    </row>
    <row r="21" spans="1:18" s="606" customFormat="1" ht="24.95" customHeight="1" x14ac:dyDescent="0.35">
      <c r="A21" s="597">
        <v>44714</v>
      </c>
      <c r="B21" s="598" t="s">
        <v>59</v>
      </c>
      <c r="C21" s="599"/>
      <c r="D21" s="600" t="s">
        <v>90</v>
      </c>
      <c r="E21" s="601"/>
      <c r="F21" s="601">
        <v>2062</v>
      </c>
      <c r="G21" s="602" t="s">
        <v>118</v>
      </c>
      <c r="H21" s="603"/>
      <c r="I21" s="604"/>
      <c r="J21" s="604"/>
      <c r="K21" s="604"/>
      <c r="L21" s="604"/>
      <c r="M21" s="604"/>
      <c r="N21" s="604"/>
      <c r="O21" s="604">
        <v>77456</v>
      </c>
      <c r="P21" s="604" t="s">
        <v>22</v>
      </c>
      <c r="Q21" s="605"/>
      <c r="R21" s="598" t="s">
        <v>142</v>
      </c>
    </row>
    <row r="22" spans="1:18" s="606" customFormat="1" ht="24.95" customHeight="1" x14ac:dyDescent="0.35">
      <c r="A22" s="597">
        <v>44714</v>
      </c>
      <c r="B22" s="598" t="s">
        <v>59</v>
      </c>
      <c r="C22" s="599"/>
      <c r="D22" s="600" t="s">
        <v>90</v>
      </c>
      <c r="E22" s="601" t="s">
        <v>143</v>
      </c>
      <c r="F22" s="601"/>
      <c r="G22" s="602" t="s">
        <v>118</v>
      </c>
      <c r="H22" s="603"/>
      <c r="I22" s="604"/>
      <c r="J22" s="604"/>
      <c r="K22" s="604"/>
      <c r="L22" s="604"/>
      <c r="M22" s="604"/>
      <c r="N22" s="604"/>
      <c r="O22" s="604">
        <v>72499.08</v>
      </c>
      <c r="P22" s="604" t="s">
        <v>22</v>
      </c>
      <c r="Q22" s="605"/>
      <c r="R22" s="598" t="s">
        <v>144</v>
      </c>
    </row>
    <row r="23" spans="1:18" s="606" customFormat="1" ht="24.95" customHeight="1" x14ac:dyDescent="0.35">
      <c r="A23" s="597">
        <v>44741</v>
      </c>
      <c r="B23" s="598" t="s">
        <v>59</v>
      </c>
      <c r="C23" s="599"/>
      <c r="D23" s="600" t="s">
        <v>90</v>
      </c>
      <c r="E23" s="601" t="s">
        <v>166</v>
      </c>
      <c r="F23" s="601"/>
      <c r="G23" s="602">
        <v>5908</v>
      </c>
      <c r="H23" s="603"/>
      <c r="I23" s="604"/>
      <c r="J23" s="604"/>
      <c r="K23" s="604"/>
      <c r="L23" s="604"/>
      <c r="M23" s="607"/>
      <c r="N23" s="607"/>
      <c r="O23" s="607">
        <v>510</v>
      </c>
      <c r="P23" s="607" t="s">
        <v>22</v>
      </c>
      <c r="Q23" s="605"/>
      <c r="R23" s="598" t="s">
        <v>167</v>
      </c>
    </row>
    <row r="24" spans="1:18" s="588" customFormat="1" ht="24.95" customHeight="1" x14ac:dyDescent="0.35">
      <c r="A24" s="589">
        <v>44768</v>
      </c>
      <c r="B24" s="556" t="s">
        <v>159</v>
      </c>
      <c r="C24" s="579"/>
      <c r="D24" s="558" t="s">
        <v>90</v>
      </c>
      <c r="E24" s="581"/>
      <c r="F24" s="581"/>
      <c r="G24" s="586" t="s">
        <v>151</v>
      </c>
      <c r="H24" s="583"/>
      <c r="I24" s="591"/>
      <c r="J24" s="591"/>
      <c r="K24" s="591"/>
      <c r="L24" s="591"/>
      <c r="M24" s="591"/>
      <c r="N24" s="591"/>
      <c r="O24" s="629" t="s">
        <v>479</v>
      </c>
      <c r="P24" s="591" t="s">
        <v>22</v>
      </c>
      <c r="Q24" s="587"/>
      <c r="R24" s="608" t="s">
        <v>199</v>
      </c>
    </row>
    <row r="25" spans="1:18" s="588" customFormat="1" ht="24.95" customHeight="1" x14ac:dyDescent="0.35">
      <c r="A25" s="589">
        <v>44786</v>
      </c>
      <c r="B25" s="556" t="s">
        <v>150</v>
      </c>
      <c r="C25" s="579"/>
      <c r="D25" s="558" t="s">
        <v>94</v>
      </c>
      <c r="E25" s="581"/>
      <c r="F25" s="581">
        <v>2136</v>
      </c>
      <c r="G25" s="586" t="s">
        <v>170</v>
      </c>
      <c r="H25" s="583"/>
      <c r="I25" s="591"/>
      <c r="J25" s="591"/>
      <c r="K25" s="591"/>
      <c r="L25" s="591"/>
      <c r="M25" s="592"/>
      <c r="N25" s="591"/>
      <c r="O25" s="591">
        <v>193400</v>
      </c>
      <c r="P25" s="586" t="s">
        <v>22</v>
      </c>
      <c r="Q25" s="587"/>
      <c r="R25" s="593" t="s">
        <v>171</v>
      </c>
    </row>
    <row r="26" spans="1:18" s="588"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Q26" s="587"/>
      <c r="R26" s="593" t="s">
        <v>174</v>
      </c>
    </row>
    <row r="27" spans="1:18" s="588"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Q27" s="587"/>
      <c r="R27" s="593" t="s">
        <v>160</v>
      </c>
    </row>
    <row r="28" spans="1:18" s="606" customFormat="1" ht="24.95" customHeight="1" x14ac:dyDescent="0.35">
      <c r="A28" s="597">
        <v>44855</v>
      </c>
      <c r="B28" s="598" t="s">
        <v>59</v>
      </c>
      <c r="C28" s="599"/>
      <c r="D28" s="600" t="s">
        <v>90</v>
      </c>
      <c r="E28" s="601" t="s">
        <v>164</v>
      </c>
      <c r="F28" s="601"/>
      <c r="G28" s="602">
        <v>5739</v>
      </c>
      <c r="H28" s="603"/>
      <c r="I28" s="604"/>
      <c r="J28" s="604"/>
      <c r="K28" s="604"/>
      <c r="L28" s="604"/>
      <c r="M28" s="604"/>
      <c r="N28" s="604"/>
      <c r="O28" s="604">
        <v>6650</v>
      </c>
      <c r="P28" s="604" t="s">
        <v>22</v>
      </c>
      <c r="Q28" s="605"/>
      <c r="R28" s="598" t="s">
        <v>165</v>
      </c>
    </row>
    <row r="29" spans="1:18" s="606" customFormat="1" ht="24.95" customHeight="1" x14ac:dyDescent="0.35">
      <c r="A29" s="597">
        <v>44855</v>
      </c>
      <c r="B29" s="598" t="s">
        <v>59</v>
      </c>
      <c r="C29" s="599"/>
      <c r="D29" s="600" t="s">
        <v>90</v>
      </c>
      <c r="E29" s="601" t="s">
        <v>168</v>
      </c>
      <c r="F29" s="601"/>
      <c r="G29" s="602" t="s">
        <v>118</v>
      </c>
      <c r="H29" s="603"/>
      <c r="I29" s="604"/>
      <c r="J29" s="604"/>
      <c r="K29" s="604"/>
      <c r="L29" s="604"/>
      <c r="M29" s="604"/>
      <c r="N29" s="604"/>
      <c r="O29" s="604">
        <v>3000</v>
      </c>
      <c r="P29" s="604" t="s">
        <v>22</v>
      </c>
      <c r="Q29" s="605"/>
      <c r="R29" s="598" t="s">
        <v>169</v>
      </c>
    </row>
    <row r="30" spans="1:18" s="606" customFormat="1" ht="24.95" customHeight="1" x14ac:dyDescent="0.35">
      <c r="A30" s="597">
        <v>44916</v>
      </c>
      <c r="B30" s="598" t="s">
        <v>59</v>
      </c>
      <c r="C30" s="599"/>
      <c r="D30" s="600" t="s">
        <v>90</v>
      </c>
      <c r="E30" s="601"/>
      <c r="F30" s="601">
        <v>2176</v>
      </c>
      <c r="G30" s="602" t="s">
        <v>118</v>
      </c>
      <c r="H30" s="603"/>
      <c r="I30" s="604"/>
      <c r="J30" s="604"/>
      <c r="K30" s="604"/>
      <c r="L30" s="604"/>
      <c r="M30" s="604"/>
      <c r="N30" s="607"/>
      <c r="O30" s="604">
        <v>186146</v>
      </c>
      <c r="P30" s="602"/>
      <c r="Q30" s="605"/>
      <c r="R30" s="598" t="s">
        <v>179</v>
      </c>
    </row>
    <row r="31" spans="1:18" s="619" customFormat="1" ht="24.95" customHeight="1" x14ac:dyDescent="0.35">
      <c r="A31" s="609">
        <v>44954</v>
      </c>
      <c r="B31" s="610" t="s">
        <v>145</v>
      </c>
      <c r="C31" s="611"/>
      <c r="D31" s="612" t="s">
        <v>92</v>
      </c>
      <c r="E31" s="613" t="s">
        <v>260</v>
      </c>
      <c r="F31" s="613"/>
      <c r="G31" s="614" t="s">
        <v>262</v>
      </c>
      <c r="H31" s="615"/>
      <c r="I31" s="616"/>
      <c r="J31" s="616"/>
      <c r="K31" s="616"/>
      <c r="L31" s="616"/>
      <c r="M31" s="616"/>
      <c r="N31" s="616"/>
      <c r="O31" s="616">
        <v>666000</v>
      </c>
      <c r="P31" s="616"/>
      <c r="Q31" s="617"/>
      <c r="R31" s="618" t="s">
        <v>264</v>
      </c>
    </row>
    <row r="32" spans="1:18" s="619" customFormat="1" ht="24.95" customHeight="1" x14ac:dyDescent="0.35">
      <c r="A32" s="609">
        <v>44954</v>
      </c>
      <c r="B32" s="610" t="s">
        <v>145</v>
      </c>
      <c r="C32" s="611"/>
      <c r="D32" s="612" t="s">
        <v>92</v>
      </c>
      <c r="E32" s="613" t="s">
        <v>261</v>
      </c>
      <c r="F32" s="613"/>
      <c r="G32" s="614" t="s">
        <v>263</v>
      </c>
      <c r="H32" s="615"/>
      <c r="I32" s="616"/>
      <c r="J32" s="616"/>
      <c r="K32" s="616"/>
      <c r="L32" s="616"/>
      <c r="M32" s="616"/>
      <c r="N32" s="616"/>
      <c r="O32" s="616">
        <v>657658.5</v>
      </c>
      <c r="P32" s="616"/>
      <c r="Q32" s="617"/>
      <c r="R32" s="618" t="s">
        <v>265</v>
      </c>
    </row>
    <row r="33" spans="1:18" s="588"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Q33" s="587"/>
      <c r="R33" s="593" t="s">
        <v>185</v>
      </c>
    </row>
    <row r="34" spans="1:18" s="588" customFormat="1" ht="24.95" customHeight="1" x14ac:dyDescent="0.35">
      <c r="A34" s="589" t="s">
        <v>190</v>
      </c>
      <c r="B34" s="620" t="s">
        <v>191</v>
      </c>
      <c r="C34" s="579"/>
      <c r="D34" s="558" t="s">
        <v>92</v>
      </c>
      <c r="E34" s="581"/>
      <c r="F34" s="581"/>
      <c r="G34" s="586" t="s">
        <v>118</v>
      </c>
      <c r="H34" s="583"/>
      <c r="I34" s="591"/>
      <c r="J34" s="591"/>
      <c r="K34" s="591"/>
      <c r="L34" s="591"/>
      <c r="M34" s="591"/>
      <c r="N34" s="591"/>
      <c r="O34" s="591">
        <v>67000</v>
      </c>
      <c r="P34" s="591" t="s">
        <v>22</v>
      </c>
      <c r="Q34" s="587"/>
      <c r="R34" s="593"/>
    </row>
    <row r="35" spans="1:18" s="619" customFormat="1" ht="24.95" customHeight="1" x14ac:dyDescent="0.35">
      <c r="A35" s="609">
        <v>45017</v>
      </c>
      <c r="B35" s="610" t="s">
        <v>145</v>
      </c>
      <c r="C35" s="611"/>
      <c r="D35" s="612" t="s">
        <v>92</v>
      </c>
      <c r="E35" s="613"/>
      <c r="F35" s="613"/>
      <c r="G35" s="614">
        <v>5460</v>
      </c>
      <c r="H35" s="615" t="s">
        <v>257</v>
      </c>
      <c r="I35" s="616"/>
      <c r="J35" s="616"/>
      <c r="K35" s="616"/>
      <c r="L35" s="616"/>
      <c r="M35" s="616"/>
      <c r="N35" s="616"/>
      <c r="O35" s="621">
        <v>413995.98</v>
      </c>
      <c r="P35" s="614"/>
      <c r="Q35" s="617"/>
      <c r="R35" s="618" t="s">
        <v>276</v>
      </c>
    </row>
    <row r="36" spans="1:18" s="623" customFormat="1" ht="24.95" customHeight="1" x14ac:dyDescent="0.35">
      <c r="A36" s="622">
        <v>45147</v>
      </c>
      <c r="B36" s="623" t="s">
        <v>205</v>
      </c>
      <c r="D36" s="623" t="s">
        <v>92</v>
      </c>
      <c r="E36" s="624"/>
      <c r="F36" s="624"/>
      <c r="G36" s="625">
        <v>5568</v>
      </c>
      <c r="O36" s="623">
        <v>10000</v>
      </c>
      <c r="P36" s="623" t="s">
        <v>210</v>
      </c>
      <c r="R36" s="623" t="s">
        <v>206</v>
      </c>
    </row>
    <row r="37" spans="1:18" s="619" customFormat="1" ht="24.95" customHeight="1" x14ac:dyDescent="0.35">
      <c r="A37" s="609">
        <v>45181</v>
      </c>
      <c r="B37" s="610" t="s">
        <v>145</v>
      </c>
      <c r="C37" s="611"/>
      <c r="D37" s="612" t="s">
        <v>90</v>
      </c>
      <c r="E37" s="613" t="s">
        <v>277</v>
      </c>
      <c r="F37" s="613"/>
      <c r="G37" s="614">
        <v>5606</v>
      </c>
      <c r="H37" s="615"/>
      <c r="I37" s="626"/>
      <c r="J37" s="626"/>
      <c r="K37" s="626"/>
      <c r="L37" s="626"/>
      <c r="M37" s="626"/>
      <c r="N37" s="626"/>
      <c r="O37" s="626">
        <v>676930.8</v>
      </c>
      <c r="P37" s="614"/>
      <c r="Q37" s="617"/>
      <c r="R37" s="618" t="s">
        <v>278</v>
      </c>
    </row>
    <row r="38" spans="1:18" s="588" customFormat="1" ht="24.95" customHeight="1" x14ac:dyDescent="0.35">
      <c r="A38" s="589">
        <v>45195</v>
      </c>
      <c r="B38" s="556" t="s">
        <v>271</v>
      </c>
      <c r="C38" s="579"/>
      <c r="D38" s="558" t="s">
        <v>92</v>
      </c>
      <c r="E38" s="581"/>
      <c r="F38" s="581"/>
      <c r="G38" s="586" t="s">
        <v>272</v>
      </c>
      <c r="H38" s="583"/>
      <c r="I38" s="592"/>
      <c r="J38" s="592"/>
      <c r="K38" s="592"/>
      <c r="L38" s="592"/>
      <c r="M38" s="592"/>
      <c r="N38" s="592"/>
      <c r="O38" s="592">
        <v>2339.29</v>
      </c>
      <c r="P38" s="586" t="s">
        <v>22</v>
      </c>
      <c r="Q38" s="587"/>
      <c r="R38" s="586" t="s">
        <v>273</v>
      </c>
    </row>
    <row r="39" spans="1:18" s="588" customFormat="1" ht="24.95" customHeight="1" x14ac:dyDescent="0.35">
      <c r="A39" s="589">
        <v>45310</v>
      </c>
      <c r="B39" s="627" t="s">
        <v>109</v>
      </c>
      <c r="C39" s="579"/>
      <c r="D39" s="586" t="s">
        <v>90</v>
      </c>
      <c r="E39" s="581"/>
      <c r="F39" s="581"/>
      <c r="G39" s="586" t="s">
        <v>327</v>
      </c>
      <c r="H39" s="583"/>
      <c r="I39" s="592"/>
      <c r="J39" s="592"/>
      <c r="K39" s="592"/>
      <c r="L39" s="592"/>
      <c r="M39" s="592"/>
      <c r="N39" s="592"/>
      <c r="O39" s="592">
        <v>16550</v>
      </c>
      <c r="P39" s="586" t="s">
        <v>22</v>
      </c>
      <c r="Q39" s="587"/>
      <c r="R39" s="593" t="s">
        <v>328</v>
      </c>
    </row>
    <row r="40" spans="1:18" s="619" customFormat="1" ht="24.95" customHeight="1" x14ac:dyDescent="0.35">
      <c r="A40" s="609">
        <v>45313</v>
      </c>
      <c r="B40" s="628" t="s">
        <v>37</v>
      </c>
      <c r="C40" s="611"/>
      <c r="D40" s="614" t="s">
        <v>90</v>
      </c>
      <c r="E40" s="613" t="s">
        <v>233</v>
      </c>
      <c r="F40" s="613"/>
      <c r="G40" s="614">
        <v>5714</v>
      </c>
      <c r="H40" s="615"/>
      <c r="I40" s="626"/>
      <c r="J40" s="626"/>
      <c r="K40" s="626"/>
      <c r="L40" s="626"/>
      <c r="M40" s="626"/>
      <c r="N40" s="626"/>
      <c r="O40" s="626">
        <v>150000</v>
      </c>
      <c r="P40" s="614"/>
      <c r="Q40" s="617"/>
      <c r="R40" s="618" t="s">
        <v>234</v>
      </c>
    </row>
    <row r="41" spans="1:18" s="588"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Q41" s="587"/>
      <c r="R41" s="593" t="s">
        <v>231</v>
      </c>
    </row>
    <row r="42" spans="1:18" s="606" customFormat="1" ht="24.95" customHeight="1" x14ac:dyDescent="0.35">
      <c r="A42" s="597">
        <v>45343</v>
      </c>
      <c r="B42" s="598" t="s">
        <v>59</v>
      </c>
      <c r="C42" s="599"/>
      <c r="D42" s="598" t="s">
        <v>90</v>
      </c>
      <c r="E42" s="601" t="s">
        <v>238</v>
      </c>
      <c r="F42" s="601"/>
      <c r="G42" s="602" t="s">
        <v>118</v>
      </c>
      <c r="H42" s="603"/>
      <c r="I42" s="607"/>
      <c r="J42" s="607"/>
      <c r="K42" s="607"/>
      <c r="L42" s="607"/>
      <c r="M42" s="607"/>
      <c r="N42" s="607"/>
      <c r="O42" s="607">
        <v>22500</v>
      </c>
      <c r="P42" s="604" t="s">
        <v>22</v>
      </c>
      <c r="Q42" s="605"/>
      <c r="R42" s="598" t="s">
        <v>239</v>
      </c>
    </row>
    <row r="43" spans="1:18" s="588"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Q43" s="587"/>
      <c r="R43" s="593" t="s">
        <v>251</v>
      </c>
    </row>
    <row r="44" spans="1:18" s="619" customFormat="1" ht="24.95" customHeight="1" x14ac:dyDescent="0.35">
      <c r="A44" s="609">
        <v>45386</v>
      </c>
      <c r="B44" s="610" t="s">
        <v>145</v>
      </c>
      <c r="C44" s="611"/>
      <c r="D44" s="614" t="s">
        <v>90</v>
      </c>
      <c r="E44" s="613"/>
      <c r="F44" s="613"/>
      <c r="G44" s="614">
        <v>5776</v>
      </c>
      <c r="H44" s="615"/>
      <c r="I44" s="626"/>
      <c r="J44" s="626"/>
      <c r="K44" s="626" t="s">
        <v>64</v>
      </c>
      <c r="L44" s="626"/>
      <c r="M44" s="626"/>
      <c r="N44" s="626"/>
      <c r="O44" s="626">
        <v>455997.92</v>
      </c>
      <c r="P44" s="616" t="s">
        <v>22</v>
      </c>
      <c r="Q44" s="617"/>
      <c r="R44" s="618" t="s">
        <v>256</v>
      </c>
    </row>
    <row r="45" spans="1:18" s="588" customFormat="1" ht="24.95" customHeight="1" x14ac:dyDescent="0.35">
      <c r="A45" s="589">
        <v>45458</v>
      </c>
      <c r="B45" s="556" t="s">
        <v>43</v>
      </c>
      <c r="C45" s="579"/>
      <c r="D45" s="586" t="s">
        <v>90</v>
      </c>
      <c r="E45" s="581"/>
      <c r="F45" s="581">
        <v>2355</v>
      </c>
      <c r="G45" s="586" t="s">
        <v>290</v>
      </c>
      <c r="H45" s="583"/>
      <c r="I45" s="592"/>
      <c r="J45" s="592"/>
      <c r="K45" s="592"/>
      <c r="L45" s="592"/>
      <c r="M45" s="592">
        <v>11059.82</v>
      </c>
      <c r="N45" s="592"/>
      <c r="O45" s="586"/>
      <c r="P45" s="586" t="s">
        <v>22</v>
      </c>
      <c r="Q45" s="587"/>
      <c r="R45" s="587" t="s">
        <v>350</v>
      </c>
    </row>
    <row r="46" spans="1:18" s="588" customFormat="1" ht="24.95" customHeight="1" x14ac:dyDescent="0.35">
      <c r="A46" s="589">
        <v>45539</v>
      </c>
      <c r="B46" s="556" t="s">
        <v>301</v>
      </c>
      <c r="C46" s="579"/>
      <c r="D46" s="586" t="s">
        <v>90</v>
      </c>
      <c r="E46" s="581"/>
      <c r="F46" s="581">
        <v>2387</v>
      </c>
      <c r="G46" s="586">
        <v>5879</v>
      </c>
      <c r="H46" s="583"/>
      <c r="I46" s="592"/>
      <c r="J46" s="592"/>
      <c r="K46" s="592"/>
      <c r="L46" s="592"/>
      <c r="M46" s="592"/>
      <c r="N46" s="592"/>
      <c r="O46" s="630">
        <v>1238500</v>
      </c>
      <c r="P46" s="586"/>
      <c r="Q46" s="587"/>
      <c r="R46" s="587"/>
    </row>
    <row r="47" spans="1:18" s="588" customFormat="1" ht="24.95" customHeight="1" x14ac:dyDescent="0.35">
      <c r="A47" s="589">
        <v>45582</v>
      </c>
      <c r="B47" s="556" t="s">
        <v>417</v>
      </c>
      <c r="C47" s="579"/>
      <c r="D47" s="586"/>
      <c r="E47" s="581"/>
      <c r="F47" s="581"/>
      <c r="G47" s="586" t="s">
        <v>451</v>
      </c>
      <c r="H47" s="583"/>
      <c r="I47" s="592"/>
      <c r="J47" s="629"/>
      <c r="K47" s="591"/>
      <c r="L47" s="592"/>
      <c r="M47" s="592"/>
      <c r="N47" s="592"/>
      <c r="O47" s="629">
        <v>273520</v>
      </c>
      <c r="P47" s="586" t="s">
        <v>478</v>
      </c>
      <c r="Q47" s="587"/>
      <c r="R47" s="587" t="s">
        <v>412</v>
      </c>
    </row>
    <row r="48" spans="1:18" s="619" customFormat="1" ht="24.95" customHeight="1" x14ac:dyDescent="0.35">
      <c r="A48" s="609">
        <v>45601</v>
      </c>
      <c r="B48" s="610" t="s">
        <v>145</v>
      </c>
      <c r="C48" s="611"/>
      <c r="D48" s="614" t="s">
        <v>90</v>
      </c>
      <c r="E48" s="613"/>
      <c r="F48" s="613"/>
      <c r="G48" s="614">
        <v>5920</v>
      </c>
      <c r="H48" s="615"/>
      <c r="I48" s="626"/>
      <c r="J48" s="616" t="s">
        <v>354</v>
      </c>
      <c r="K48" s="626"/>
      <c r="L48" s="626"/>
      <c r="M48" s="626">
        <v>310000</v>
      </c>
      <c r="N48" s="626"/>
      <c r="O48" s="614"/>
      <c r="P48" s="614"/>
      <c r="Q48" s="617"/>
      <c r="R48" s="617" t="s">
        <v>355</v>
      </c>
    </row>
    <row r="49" spans="1:19" s="619" customFormat="1" ht="24.95" customHeight="1" x14ac:dyDescent="0.35">
      <c r="A49" s="609">
        <v>45601</v>
      </c>
      <c r="B49" s="610" t="s">
        <v>145</v>
      </c>
      <c r="C49" s="611"/>
      <c r="D49" s="614" t="s">
        <v>90</v>
      </c>
      <c r="E49" s="613"/>
      <c r="F49" s="613"/>
      <c r="G49" s="614">
        <v>5920</v>
      </c>
      <c r="H49" s="615"/>
      <c r="I49" s="626"/>
      <c r="J49" s="616" t="s">
        <v>354</v>
      </c>
      <c r="K49" s="626"/>
      <c r="L49" s="626"/>
      <c r="M49" s="626">
        <v>310000</v>
      </c>
      <c r="N49" s="626"/>
      <c r="O49" s="614"/>
      <c r="P49" s="614"/>
      <c r="Q49" s="617"/>
      <c r="R49" s="617" t="s">
        <v>355</v>
      </c>
    </row>
    <row r="50" spans="1:19" s="588" customFormat="1" ht="24.95" customHeight="1" x14ac:dyDescent="0.35">
      <c r="A50" s="589">
        <v>45630</v>
      </c>
      <c r="B50" s="556" t="s">
        <v>411</v>
      </c>
      <c r="C50" s="579"/>
      <c r="D50" s="586" t="s">
        <v>92</v>
      </c>
      <c r="E50" s="581"/>
      <c r="F50" s="581"/>
      <c r="G50" s="586">
        <v>5939</v>
      </c>
      <c r="H50" s="583"/>
      <c r="I50" s="592"/>
      <c r="J50" s="592"/>
      <c r="K50" s="592"/>
      <c r="L50" s="592">
        <v>297900</v>
      </c>
      <c r="M50" s="592"/>
      <c r="N50" s="592"/>
      <c r="O50" s="586"/>
      <c r="P50" s="586"/>
      <c r="Q50" s="587"/>
      <c r="R50" s="587" t="s">
        <v>399</v>
      </c>
    </row>
    <row r="51" spans="1:19" s="588" customFormat="1" ht="24.95" customHeight="1" x14ac:dyDescent="0.35">
      <c r="A51" s="589">
        <v>45631</v>
      </c>
      <c r="B51" s="556" t="s">
        <v>301</v>
      </c>
      <c r="C51" s="579"/>
      <c r="D51" s="586" t="s">
        <v>90</v>
      </c>
      <c r="E51" s="581"/>
      <c r="F51" s="581"/>
      <c r="G51" s="586" t="s">
        <v>416</v>
      </c>
      <c r="H51" s="583"/>
      <c r="I51" s="592"/>
      <c r="J51" s="592"/>
      <c r="K51" s="592"/>
      <c r="L51" s="592">
        <v>948500</v>
      </c>
      <c r="M51" s="592"/>
      <c r="N51" s="592"/>
      <c r="O51" s="586"/>
      <c r="P51" s="586"/>
      <c r="Q51" s="587"/>
      <c r="R51" s="587"/>
    </row>
    <row r="52" spans="1:19" s="619" customFormat="1" ht="24.95" customHeight="1" x14ac:dyDescent="0.35">
      <c r="A52" s="609">
        <v>45680</v>
      </c>
      <c r="B52" s="632" t="s">
        <v>429</v>
      </c>
      <c r="C52" s="633"/>
      <c r="D52" s="614" t="s">
        <v>90</v>
      </c>
      <c r="E52" s="613"/>
      <c r="F52" s="613">
        <v>2343</v>
      </c>
      <c r="G52" s="614">
        <v>5979</v>
      </c>
      <c r="H52" s="615"/>
      <c r="I52" s="626"/>
      <c r="J52" s="626"/>
      <c r="K52" s="626">
        <v>45000</v>
      </c>
      <c r="L52" s="626"/>
      <c r="M52" s="626"/>
      <c r="N52" s="626"/>
      <c r="O52" s="614"/>
      <c r="P52" s="614"/>
      <c r="Q52" s="617"/>
      <c r="R52" s="617"/>
    </row>
    <row r="53" spans="1:19" s="588" customFormat="1" ht="24.95" customHeight="1" x14ac:dyDescent="0.35">
      <c r="A53" s="589">
        <v>45682</v>
      </c>
      <c r="B53" s="620" t="s">
        <v>431</v>
      </c>
      <c r="C53" s="631"/>
      <c r="D53" s="586"/>
      <c r="E53" s="581"/>
      <c r="F53" s="581"/>
      <c r="G53" s="586">
        <v>5980</v>
      </c>
      <c r="H53" s="583"/>
      <c r="I53" s="592"/>
      <c r="J53" s="592"/>
      <c r="K53" s="592">
        <v>32500</v>
      </c>
      <c r="L53" s="592"/>
      <c r="M53" s="592"/>
      <c r="N53" s="592"/>
      <c r="O53" s="586"/>
      <c r="P53" s="586"/>
      <c r="Q53" s="587"/>
      <c r="R53" s="587"/>
    </row>
    <row r="54" spans="1:19" s="588" customFormat="1" ht="24.95" customHeight="1" x14ac:dyDescent="0.35">
      <c r="A54" s="589" t="s">
        <v>421</v>
      </c>
      <c r="B54" s="620" t="s">
        <v>270</v>
      </c>
      <c r="C54" s="631"/>
      <c r="D54" s="586" t="s">
        <v>90</v>
      </c>
      <c r="E54" s="581"/>
      <c r="F54" s="581"/>
      <c r="G54" s="586">
        <v>5950</v>
      </c>
      <c r="H54" s="583"/>
      <c r="I54" s="592"/>
      <c r="J54" s="634"/>
      <c r="K54" s="634" t="s">
        <v>419</v>
      </c>
      <c r="L54" s="592"/>
      <c r="M54" s="592"/>
      <c r="N54" s="592"/>
      <c r="O54" s="586"/>
      <c r="P54" s="586"/>
      <c r="Q54" s="587"/>
      <c r="R54" s="587"/>
    </row>
    <row r="55" spans="1:19" s="643" customFormat="1" ht="24.95" customHeight="1" x14ac:dyDescent="0.35">
      <c r="A55" s="635">
        <v>45685</v>
      </c>
      <c r="B55" s="636" t="s">
        <v>473</v>
      </c>
      <c r="C55" s="637"/>
      <c r="D55" s="638" t="s">
        <v>90</v>
      </c>
      <c r="E55" s="639"/>
      <c r="F55" s="639"/>
      <c r="G55" s="638">
        <v>5982</v>
      </c>
      <c r="H55" s="640"/>
      <c r="I55" s="641"/>
      <c r="J55" s="641"/>
      <c r="K55" s="641">
        <v>133000</v>
      </c>
      <c r="L55" s="641"/>
      <c r="M55" s="641"/>
      <c r="N55" s="641"/>
      <c r="O55" s="638"/>
      <c r="P55" s="638"/>
    </row>
    <row r="56" spans="1:19" s="623" customFormat="1" ht="24.95" customHeight="1" x14ac:dyDescent="0.35">
      <c r="A56" s="644" t="s">
        <v>421</v>
      </c>
      <c r="B56" s="645" t="s">
        <v>301</v>
      </c>
      <c r="D56" s="624" t="s">
        <v>90</v>
      </c>
      <c r="E56" s="624"/>
      <c r="F56" s="624"/>
      <c r="G56" s="625">
        <v>5984</v>
      </c>
      <c r="J56" s="646" t="s">
        <v>419</v>
      </c>
      <c r="O56" s="624"/>
      <c r="P56" s="624"/>
      <c r="S56" s="623" t="s">
        <v>435</v>
      </c>
    </row>
    <row r="57" spans="1:19" s="623" customFormat="1" ht="24.95" customHeight="1" x14ac:dyDescent="0.35">
      <c r="A57" s="644" t="s">
        <v>421</v>
      </c>
      <c r="B57" s="645" t="s">
        <v>301</v>
      </c>
      <c r="D57" s="624" t="s">
        <v>90</v>
      </c>
      <c r="E57" s="624"/>
      <c r="F57" s="624"/>
      <c r="G57" s="625">
        <v>5985</v>
      </c>
      <c r="J57" s="646" t="s">
        <v>419</v>
      </c>
      <c r="O57" s="624"/>
      <c r="P57" s="624"/>
      <c r="S57" s="623" t="s">
        <v>435</v>
      </c>
    </row>
    <row r="58" spans="1:19" s="623" customFormat="1" ht="24.95" customHeight="1" x14ac:dyDescent="0.35">
      <c r="A58" s="647">
        <v>45700</v>
      </c>
      <c r="B58" s="645" t="s">
        <v>439</v>
      </c>
      <c r="D58" s="624" t="s">
        <v>90</v>
      </c>
      <c r="E58" s="624"/>
      <c r="F58" s="624"/>
      <c r="G58" s="625">
        <v>5990</v>
      </c>
      <c r="J58" s="648" t="s">
        <v>440</v>
      </c>
      <c r="O58" s="624"/>
      <c r="P58" s="624"/>
    </row>
    <row r="59" spans="1:19" s="623" customFormat="1" ht="24.95" customHeight="1" x14ac:dyDescent="0.35">
      <c r="A59" s="647" t="s">
        <v>421</v>
      </c>
      <c r="B59" s="645" t="s">
        <v>301</v>
      </c>
      <c r="D59" s="624" t="s">
        <v>90</v>
      </c>
      <c r="E59" s="624"/>
      <c r="F59" s="624"/>
      <c r="G59" s="625">
        <v>5992</v>
      </c>
      <c r="J59" s="648" t="s">
        <v>419</v>
      </c>
      <c r="O59" s="624"/>
      <c r="P59" s="624"/>
    </row>
    <row r="60" spans="1:19" s="623" customFormat="1" ht="24.95" customHeight="1" x14ac:dyDescent="0.35">
      <c r="A60" s="647">
        <v>45708</v>
      </c>
      <c r="B60" s="645" t="s">
        <v>436</v>
      </c>
      <c r="D60" s="624"/>
      <c r="E60" s="624"/>
      <c r="F60" s="624"/>
      <c r="G60" s="625" t="s">
        <v>442</v>
      </c>
      <c r="J60" s="648">
        <v>241350</v>
      </c>
      <c r="O60" s="624"/>
      <c r="P60" s="624"/>
    </row>
    <row r="61" spans="1:19" s="623" customFormat="1" ht="24.95" customHeight="1" x14ac:dyDescent="0.35">
      <c r="A61" s="647">
        <v>45708</v>
      </c>
      <c r="B61" s="645" t="s">
        <v>436</v>
      </c>
      <c r="D61" s="624"/>
      <c r="E61" s="624"/>
      <c r="F61" s="624"/>
      <c r="G61" s="625" t="s">
        <v>443</v>
      </c>
      <c r="J61" s="648" t="s">
        <v>419</v>
      </c>
      <c r="O61" s="624"/>
      <c r="P61" s="624"/>
    </row>
    <row r="62" spans="1:19" s="623" customFormat="1" ht="24.95" customHeight="1" x14ac:dyDescent="0.35">
      <c r="A62" s="647">
        <v>45708</v>
      </c>
      <c r="B62" s="645" t="s">
        <v>237</v>
      </c>
      <c r="D62" s="624" t="s">
        <v>90</v>
      </c>
      <c r="E62" s="624"/>
      <c r="F62" s="624"/>
      <c r="G62" s="625" t="s">
        <v>516</v>
      </c>
      <c r="J62" s="648">
        <v>1139726.45</v>
      </c>
      <c r="K62" s="623" t="s">
        <v>478</v>
      </c>
      <c r="O62" s="624"/>
      <c r="P62" s="624"/>
    </row>
    <row r="63" spans="1:19" s="623" customFormat="1" ht="24.95" customHeight="1" x14ac:dyDescent="0.35">
      <c r="A63" s="647" t="s">
        <v>421</v>
      </c>
      <c r="B63" s="645" t="s">
        <v>321</v>
      </c>
      <c r="D63" s="624" t="s">
        <v>90</v>
      </c>
      <c r="E63" s="624"/>
      <c r="F63" s="624"/>
      <c r="G63" s="625" t="s">
        <v>452</v>
      </c>
      <c r="J63" s="648">
        <v>608750</v>
      </c>
      <c r="K63" s="623" t="s">
        <v>22</v>
      </c>
      <c r="O63" s="624"/>
      <c r="P63" s="624"/>
    </row>
    <row r="64" spans="1:19" s="623" customFormat="1" ht="24.95" customHeight="1" x14ac:dyDescent="0.35">
      <c r="A64" s="647">
        <v>45709</v>
      </c>
      <c r="B64" s="645" t="s">
        <v>454</v>
      </c>
      <c r="D64" s="624" t="s">
        <v>282</v>
      </c>
      <c r="E64" s="624"/>
      <c r="F64" s="624"/>
      <c r="G64" s="625" t="s">
        <v>455</v>
      </c>
      <c r="J64" s="648">
        <v>399900</v>
      </c>
      <c r="O64" s="624"/>
      <c r="P64" s="624"/>
    </row>
    <row r="65" spans="1:16" s="623" customFormat="1" ht="24.95" customHeight="1" x14ac:dyDescent="0.35">
      <c r="A65" s="647" t="s">
        <v>421</v>
      </c>
      <c r="B65" s="645" t="s">
        <v>417</v>
      </c>
      <c r="D65" s="624" t="s">
        <v>90</v>
      </c>
      <c r="E65" s="624"/>
      <c r="F65" s="624"/>
      <c r="G65" s="625" t="s">
        <v>456</v>
      </c>
      <c r="J65" s="648" t="s">
        <v>419</v>
      </c>
      <c r="O65" s="624"/>
      <c r="P65" s="624"/>
    </row>
    <row r="66" spans="1:16" s="623" customFormat="1" ht="24.95" customHeight="1" x14ac:dyDescent="0.35">
      <c r="A66" s="647" t="s">
        <v>421</v>
      </c>
      <c r="B66" s="645" t="s">
        <v>43</v>
      </c>
      <c r="D66" s="624" t="s">
        <v>90</v>
      </c>
      <c r="E66" s="624"/>
      <c r="F66" s="624"/>
      <c r="G66" s="625" t="s">
        <v>457</v>
      </c>
      <c r="J66" s="648" t="s">
        <v>419</v>
      </c>
      <c r="O66" s="624"/>
      <c r="P66" s="624"/>
    </row>
    <row r="67" spans="1:16" s="623" customFormat="1" ht="24.95" customHeight="1" x14ac:dyDescent="0.35">
      <c r="A67" s="647">
        <v>45720</v>
      </c>
      <c r="B67" s="645" t="s">
        <v>472</v>
      </c>
      <c r="D67" s="624" t="s">
        <v>92</v>
      </c>
      <c r="E67" s="624"/>
      <c r="F67" s="624"/>
      <c r="G67" s="625" t="s">
        <v>471</v>
      </c>
      <c r="J67" s="648">
        <v>26000</v>
      </c>
      <c r="O67" s="624"/>
      <c r="P67" s="624"/>
    </row>
    <row r="68" spans="1:16" s="623" customFormat="1" ht="24.95" customHeight="1" x14ac:dyDescent="0.35">
      <c r="A68" s="647">
        <v>45723</v>
      </c>
      <c r="B68" s="645" t="s">
        <v>474</v>
      </c>
      <c r="D68" s="624" t="s">
        <v>92</v>
      </c>
      <c r="E68" s="624"/>
      <c r="F68" s="624"/>
      <c r="G68" s="625">
        <v>5993</v>
      </c>
      <c r="J68" s="648" t="s">
        <v>419</v>
      </c>
      <c r="O68" s="624"/>
      <c r="P68" s="624"/>
    </row>
    <row r="69" spans="1:16" s="623" customFormat="1" ht="24.95" customHeight="1" x14ac:dyDescent="0.35">
      <c r="A69" s="647">
        <v>45727</v>
      </c>
      <c r="B69" s="645" t="s">
        <v>301</v>
      </c>
      <c r="D69" s="624" t="s">
        <v>90</v>
      </c>
      <c r="E69" s="624"/>
      <c r="F69" s="624"/>
      <c r="G69" s="625">
        <v>5948</v>
      </c>
      <c r="J69" s="648">
        <v>2198000</v>
      </c>
      <c r="O69" s="624"/>
      <c r="P69" s="624"/>
    </row>
    <row r="70" spans="1:16" s="623" customFormat="1" ht="24.95" customHeight="1" x14ac:dyDescent="0.35">
      <c r="A70" s="647">
        <v>45727</v>
      </c>
      <c r="B70" s="645" t="s">
        <v>477</v>
      </c>
      <c r="D70" s="624" t="s">
        <v>90</v>
      </c>
      <c r="E70" s="624"/>
      <c r="F70" s="624"/>
      <c r="G70" s="625" t="s">
        <v>475</v>
      </c>
      <c r="J70" s="648">
        <v>246350</v>
      </c>
      <c r="O70" s="624"/>
      <c r="P70" s="624"/>
    </row>
    <row r="71" spans="1:16" s="623" customFormat="1" ht="24.95" customHeight="1" x14ac:dyDescent="0.35">
      <c r="A71" s="647">
        <v>45728</v>
      </c>
      <c r="B71" s="645" t="s">
        <v>436</v>
      </c>
      <c r="D71" s="624" t="s">
        <v>476</v>
      </c>
      <c r="E71" s="624"/>
      <c r="F71" s="624"/>
      <c r="G71" s="625">
        <v>5995</v>
      </c>
      <c r="J71" s="648">
        <v>241000</v>
      </c>
      <c r="O71" s="624"/>
      <c r="P71" s="624"/>
    </row>
    <row r="72" spans="1:16" s="623" customFormat="1" ht="24.95" customHeight="1" x14ac:dyDescent="0.35">
      <c r="A72" s="647">
        <v>45728</v>
      </c>
      <c r="B72" s="645" t="s">
        <v>436</v>
      </c>
      <c r="D72" s="624" t="s">
        <v>476</v>
      </c>
      <c r="E72" s="624"/>
      <c r="F72" s="624"/>
      <c r="G72" s="625">
        <v>5996</v>
      </c>
      <c r="J72" s="648">
        <v>37100</v>
      </c>
      <c r="O72" s="624"/>
      <c r="P72" s="624"/>
    </row>
    <row r="73" spans="1:16" s="623" customFormat="1" ht="24.95" customHeight="1" x14ac:dyDescent="0.35">
      <c r="A73" s="647">
        <v>45731</v>
      </c>
      <c r="B73" s="645" t="s">
        <v>480</v>
      </c>
      <c r="D73" s="624" t="s">
        <v>90</v>
      </c>
      <c r="E73" s="624"/>
      <c r="F73" s="624"/>
      <c r="G73" s="625" t="s">
        <v>481</v>
      </c>
      <c r="J73" s="648" t="s">
        <v>419</v>
      </c>
      <c r="O73" s="624"/>
      <c r="P73" s="624"/>
    </row>
    <row r="74" spans="1:16" s="623" customFormat="1" ht="24.95" customHeight="1" x14ac:dyDescent="0.35">
      <c r="A74" s="647">
        <v>45733</v>
      </c>
      <c r="B74" s="645" t="s">
        <v>159</v>
      </c>
      <c r="D74" s="624" t="s">
        <v>90</v>
      </c>
      <c r="E74" s="624"/>
      <c r="F74" s="624"/>
      <c r="G74" s="625">
        <v>5997</v>
      </c>
      <c r="J74" s="648">
        <v>181350.39999999999</v>
      </c>
      <c r="O74" s="624"/>
      <c r="P74" s="624"/>
    </row>
    <row r="75" spans="1:16" s="623" customFormat="1" ht="24.95" customHeight="1" x14ac:dyDescent="0.35">
      <c r="A75" s="647">
        <v>45740</v>
      </c>
      <c r="B75" s="645" t="s">
        <v>483</v>
      </c>
      <c r="D75" s="624" t="s">
        <v>90</v>
      </c>
      <c r="E75" s="624"/>
      <c r="F75" s="624"/>
      <c r="G75" s="625" t="s">
        <v>484</v>
      </c>
      <c r="J75" s="648">
        <v>19590</v>
      </c>
      <c r="O75" s="624"/>
      <c r="P75" s="624"/>
    </row>
    <row r="76" spans="1:16" s="623" customFormat="1" ht="24.95" customHeight="1" x14ac:dyDescent="0.35">
      <c r="A76" s="647">
        <v>45740</v>
      </c>
      <c r="B76" s="645" t="s">
        <v>485</v>
      </c>
      <c r="D76" s="624" t="s">
        <v>282</v>
      </c>
      <c r="E76" s="624"/>
      <c r="F76" s="624"/>
      <c r="G76" s="625">
        <v>5988</v>
      </c>
      <c r="J76" s="648">
        <v>23800</v>
      </c>
      <c r="O76" s="624"/>
      <c r="P76" s="624"/>
    </row>
    <row r="77" spans="1:16" s="623" customFormat="1" ht="24.95" customHeight="1" x14ac:dyDescent="0.35">
      <c r="A77" s="647" t="s">
        <v>421</v>
      </c>
      <c r="B77" s="645" t="s">
        <v>409</v>
      </c>
      <c r="D77" s="624" t="s">
        <v>90</v>
      </c>
      <c r="E77" s="624"/>
      <c r="F77" s="624"/>
      <c r="G77" s="625">
        <v>5987</v>
      </c>
      <c r="J77" s="648" t="s">
        <v>419</v>
      </c>
      <c r="O77" s="624"/>
      <c r="P77" s="624"/>
    </row>
    <row r="78" spans="1:16" s="623" customFormat="1" ht="24.95" customHeight="1" x14ac:dyDescent="0.35">
      <c r="A78" s="647">
        <v>45748</v>
      </c>
      <c r="B78" s="645" t="s">
        <v>489</v>
      </c>
      <c r="D78" s="624" t="s">
        <v>90</v>
      </c>
      <c r="E78" s="624"/>
      <c r="F78" s="624"/>
      <c r="G78" s="625" t="s">
        <v>490</v>
      </c>
      <c r="J78" s="648" t="s">
        <v>419</v>
      </c>
      <c r="O78" s="624"/>
      <c r="P78" s="624"/>
    </row>
    <row r="79" spans="1:16" s="623" customFormat="1" ht="24.95" customHeight="1" x14ac:dyDescent="0.35">
      <c r="A79" s="647">
        <v>45749</v>
      </c>
      <c r="B79" s="645" t="s">
        <v>491</v>
      </c>
      <c r="D79" s="624" t="s">
        <v>90</v>
      </c>
      <c r="E79" s="624"/>
      <c r="F79" s="624"/>
      <c r="G79" s="625" t="s">
        <v>492</v>
      </c>
      <c r="J79" s="648">
        <v>152000</v>
      </c>
      <c r="O79" s="624"/>
      <c r="P79" s="624"/>
    </row>
    <row r="80" spans="1:16" s="623" customFormat="1" ht="24.95" customHeight="1" x14ac:dyDescent="0.35">
      <c r="A80" s="647">
        <v>45749</v>
      </c>
      <c r="B80" s="645" t="s">
        <v>431</v>
      </c>
      <c r="D80" s="624" t="s">
        <v>90</v>
      </c>
      <c r="E80" s="624"/>
      <c r="F80" s="624"/>
      <c r="G80" s="625" t="s">
        <v>493</v>
      </c>
      <c r="J80" s="648">
        <v>32500</v>
      </c>
      <c r="O80" s="624"/>
      <c r="P80" s="624"/>
    </row>
    <row r="81" spans="1:18" s="623" customFormat="1" ht="24.95" customHeight="1" x14ac:dyDescent="0.35">
      <c r="A81" s="647">
        <v>45749</v>
      </c>
      <c r="B81" s="645" t="s">
        <v>431</v>
      </c>
      <c r="D81" s="624" t="s">
        <v>90</v>
      </c>
      <c r="E81" s="624"/>
      <c r="F81" s="624"/>
      <c r="G81" s="625" t="s">
        <v>494</v>
      </c>
      <c r="J81" s="648">
        <v>7500</v>
      </c>
      <c r="O81" s="624"/>
      <c r="P81" s="624"/>
    </row>
    <row r="82" spans="1:18" s="623" customFormat="1" ht="24.95" customHeight="1" x14ac:dyDescent="0.35">
      <c r="A82" s="647">
        <v>45750</v>
      </c>
      <c r="B82" s="645" t="s">
        <v>446</v>
      </c>
      <c r="D82" s="624" t="s">
        <v>90</v>
      </c>
      <c r="E82" s="624"/>
      <c r="F82" s="624"/>
      <c r="G82" s="625" t="s">
        <v>495</v>
      </c>
      <c r="J82" s="648">
        <v>339500</v>
      </c>
      <c r="O82" s="624"/>
      <c r="P82" s="624"/>
    </row>
    <row r="83" spans="1:18" s="623" customFormat="1" ht="24.95" customHeight="1" x14ac:dyDescent="0.35">
      <c r="A83" s="647">
        <v>45750</v>
      </c>
      <c r="B83" s="645" t="s">
        <v>446</v>
      </c>
      <c r="D83" s="624" t="s">
        <v>90</v>
      </c>
      <c r="E83" s="624"/>
      <c r="F83" s="624"/>
      <c r="G83" s="625" t="s">
        <v>496</v>
      </c>
      <c r="J83" s="648" t="s">
        <v>419</v>
      </c>
      <c r="O83" s="624"/>
      <c r="P83" s="624"/>
    </row>
    <row r="84" spans="1:18" s="623" customFormat="1" ht="24.95" customHeight="1" x14ac:dyDescent="0.35">
      <c r="A84" s="647">
        <v>45750</v>
      </c>
      <c r="B84" s="645" t="s">
        <v>270</v>
      </c>
      <c r="D84" s="624" t="s">
        <v>90</v>
      </c>
      <c r="E84" s="624"/>
      <c r="F84" s="624"/>
      <c r="G84" s="625" t="s">
        <v>497</v>
      </c>
      <c r="J84" s="648">
        <v>281170</v>
      </c>
      <c r="O84" s="624"/>
      <c r="P84" s="624"/>
    </row>
    <row r="85" spans="1:18" s="623" customFormat="1" ht="24.95" customHeight="1" x14ac:dyDescent="0.35">
      <c r="A85" s="647" t="s">
        <v>421</v>
      </c>
      <c r="B85" s="645" t="s">
        <v>301</v>
      </c>
      <c r="D85" s="624" t="s">
        <v>90</v>
      </c>
      <c r="E85" s="624"/>
      <c r="F85" s="624"/>
      <c r="G85" s="625" t="s">
        <v>498</v>
      </c>
      <c r="J85" s="648" t="s">
        <v>419</v>
      </c>
      <c r="O85" s="624"/>
      <c r="P85" s="624"/>
    </row>
    <row r="86" spans="1:18" s="623" customFormat="1" ht="24.95" customHeight="1" x14ac:dyDescent="0.35">
      <c r="A86" s="647">
        <v>45751</v>
      </c>
      <c r="B86" s="645" t="s">
        <v>237</v>
      </c>
      <c r="D86" s="624" t="s">
        <v>90</v>
      </c>
      <c r="E86" s="624"/>
      <c r="F86" s="624"/>
      <c r="G86" s="625" t="s">
        <v>499</v>
      </c>
      <c r="J86" s="648" t="s">
        <v>419</v>
      </c>
      <c r="O86" s="624"/>
      <c r="P86" s="624"/>
    </row>
    <row r="87" spans="1:18" s="623" customFormat="1" ht="24.95" customHeight="1" x14ac:dyDescent="0.35">
      <c r="A87" s="647" t="s">
        <v>421</v>
      </c>
      <c r="B87" s="645" t="s">
        <v>500</v>
      </c>
      <c r="D87" s="624" t="s">
        <v>92</v>
      </c>
      <c r="E87" s="624"/>
      <c r="F87" s="624"/>
      <c r="G87" s="625" t="s">
        <v>501</v>
      </c>
      <c r="J87" s="648" t="s">
        <v>419</v>
      </c>
      <c r="O87" s="624"/>
      <c r="P87" s="624"/>
    </row>
    <row r="88" spans="1:18" s="623" customFormat="1" ht="24.95" customHeight="1" x14ac:dyDescent="0.35">
      <c r="A88" s="647" t="s">
        <v>421</v>
      </c>
      <c r="B88" s="645" t="s">
        <v>301</v>
      </c>
      <c r="D88" s="624" t="s">
        <v>90</v>
      </c>
      <c r="E88" s="624"/>
      <c r="F88" s="624"/>
      <c r="G88" s="625" t="s">
        <v>503</v>
      </c>
      <c r="J88" s="648" t="s">
        <v>419</v>
      </c>
      <c r="O88" s="624"/>
      <c r="P88" s="624"/>
    </row>
    <row r="89" spans="1:18" s="623" customFormat="1" ht="24.95" customHeight="1" x14ac:dyDescent="0.35">
      <c r="A89" s="647" t="s">
        <v>421</v>
      </c>
      <c r="B89" s="645" t="s">
        <v>505</v>
      </c>
      <c r="D89" s="624" t="s">
        <v>92</v>
      </c>
      <c r="E89" s="624"/>
      <c r="F89" s="624"/>
      <c r="G89" s="625" t="s">
        <v>506</v>
      </c>
      <c r="J89" s="648">
        <v>130450</v>
      </c>
      <c r="O89" s="624"/>
      <c r="P89" s="624"/>
    </row>
    <row r="90" spans="1:18" s="623" customFormat="1" ht="24.95" customHeight="1" x14ac:dyDescent="0.35">
      <c r="A90" s="647">
        <v>45775</v>
      </c>
      <c r="B90" s="645" t="s">
        <v>507</v>
      </c>
      <c r="D90" s="624" t="s">
        <v>90</v>
      </c>
      <c r="E90" s="624"/>
      <c r="F90" s="624"/>
      <c r="G90" s="625" t="s">
        <v>508</v>
      </c>
      <c r="J90" s="648">
        <v>324000</v>
      </c>
      <c r="O90" s="624"/>
      <c r="P90" s="624"/>
    </row>
    <row r="91" spans="1:18" s="623" customFormat="1" ht="24.95" customHeight="1" x14ac:dyDescent="0.35">
      <c r="A91" s="647" t="s">
        <v>421</v>
      </c>
      <c r="B91" s="645" t="s">
        <v>454</v>
      </c>
      <c r="D91" s="624" t="s">
        <v>282</v>
      </c>
      <c r="E91" s="624"/>
      <c r="F91" s="624"/>
      <c r="G91" s="625" t="s">
        <v>509</v>
      </c>
      <c r="J91" s="648" t="s">
        <v>419</v>
      </c>
      <c r="O91" s="624"/>
      <c r="P91" s="624"/>
    </row>
    <row r="92" spans="1:18" s="623" customFormat="1" ht="24.95" customHeight="1" x14ac:dyDescent="0.35">
      <c r="A92" s="647" t="s">
        <v>421</v>
      </c>
      <c r="B92" s="645" t="s">
        <v>510</v>
      </c>
      <c r="D92" s="624" t="s">
        <v>476</v>
      </c>
      <c r="E92" s="624"/>
      <c r="F92" s="624"/>
      <c r="G92" s="625" t="s">
        <v>511</v>
      </c>
      <c r="J92" s="648" t="s">
        <v>419</v>
      </c>
      <c r="O92" s="624"/>
      <c r="P92" s="624"/>
    </row>
    <row r="93" spans="1:18" s="623" customFormat="1" ht="24.95" customHeight="1" x14ac:dyDescent="0.35">
      <c r="A93" s="647" t="s">
        <v>421</v>
      </c>
      <c r="B93" s="645" t="s">
        <v>512</v>
      </c>
      <c r="D93" s="624" t="s">
        <v>476</v>
      </c>
      <c r="E93" s="624"/>
      <c r="F93" s="624"/>
      <c r="G93" s="625" t="s">
        <v>513</v>
      </c>
      <c r="J93" s="648" t="s">
        <v>419</v>
      </c>
      <c r="O93" s="624"/>
      <c r="P93" s="624"/>
    </row>
    <row r="94" spans="1:18" s="623" customFormat="1" ht="24.95" customHeight="1" x14ac:dyDescent="0.35">
      <c r="A94" s="647" t="s">
        <v>421</v>
      </c>
      <c r="B94" s="645" t="s">
        <v>237</v>
      </c>
      <c r="D94" s="624" t="s">
        <v>90</v>
      </c>
      <c r="E94" s="624"/>
      <c r="F94" s="624"/>
      <c r="G94" s="625" t="s">
        <v>514</v>
      </c>
      <c r="J94" s="648" t="s">
        <v>419</v>
      </c>
      <c r="O94" s="624"/>
      <c r="P94" s="624"/>
    </row>
    <row r="95" spans="1:18" s="623" customFormat="1" ht="24.95" customHeight="1" x14ac:dyDescent="0.35">
      <c r="A95" s="647">
        <v>45776</v>
      </c>
      <c r="B95" s="645" t="s">
        <v>321</v>
      </c>
      <c r="D95" s="624" t="s">
        <v>90</v>
      </c>
      <c r="E95" s="624"/>
      <c r="F95" s="624"/>
      <c r="G95" s="625" t="s">
        <v>515</v>
      </c>
      <c r="J95" s="648">
        <v>3450000</v>
      </c>
      <c r="O95" s="624"/>
      <c r="P95" s="624"/>
    </row>
    <row r="96" spans="1:18" s="708" customFormat="1" ht="24.95" customHeight="1" x14ac:dyDescent="0.35">
      <c r="A96" s="698"/>
      <c r="B96" s="699" t="s">
        <v>7</v>
      </c>
      <c r="C96" s="700"/>
      <c r="D96" s="612" t="s">
        <v>140</v>
      </c>
      <c r="E96" s="700"/>
      <c r="F96" s="700"/>
      <c r="G96" s="614"/>
      <c r="H96" s="701"/>
      <c r="I96" s="702"/>
      <c r="J96" s="703">
        <f>SUM(J58:J95)</f>
        <v>10080036.850000001</v>
      </c>
      <c r="K96" s="703">
        <f>SUM(K52:K72)</f>
        <v>210500</v>
      </c>
      <c r="L96" s="704">
        <f>SUM(L48:L55)</f>
        <v>1246400</v>
      </c>
      <c r="M96" s="703">
        <f>SUM(M45:M55)</f>
        <v>631059.82000000007</v>
      </c>
      <c r="N96" s="703"/>
      <c r="O96" s="703">
        <f>SUM(O7:O72)</f>
        <v>7194580.21</v>
      </c>
      <c r="P96" s="705"/>
      <c r="Q96" s="706">
        <f>SUM(J96:P96)</f>
        <v>19362576.880000003</v>
      </c>
      <c r="R96" s="707"/>
    </row>
    <row r="97" spans="1:17" ht="24.95" customHeight="1" x14ac:dyDescent="0.35">
      <c r="A97" s="656" t="s">
        <v>64</v>
      </c>
      <c r="F97" s="658" t="s">
        <v>64</v>
      </c>
      <c r="H97" s="660"/>
    </row>
    <row r="98" spans="1:17" ht="24.95" customHeight="1" x14ac:dyDescent="0.35">
      <c r="H98" s="660"/>
    </row>
    <row r="99" spans="1:17" ht="24.95" customHeight="1" x14ac:dyDescent="0.35">
      <c r="E99" s="524" t="s">
        <v>486</v>
      </c>
      <c r="O99" s="662"/>
    </row>
    <row r="100" spans="1:17" ht="24.95" customHeight="1" x14ac:dyDescent="0.35">
      <c r="F100" s="658" t="s">
        <v>64</v>
      </c>
      <c r="O100" s="662"/>
    </row>
    <row r="101" spans="1:17" ht="24.95" customHeight="1" x14ac:dyDescent="0.35">
      <c r="G101" s="524"/>
      <c r="H101" s="524"/>
      <c r="I101" s="524"/>
      <c r="J101" s="524" t="s">
        <v>64</v>
      </c>
      <c r="K101" s="524"/>
      <c r="O101" s="662"/>
      <c r="P101" s="524"/>
    </row>
    <row r="102" spans="1:17" ht="24.95" customHeight="1" x14ac:dyDescent="0.35">
      <c r="O102" s="662"/>
      <c r="Q102" s="662"/>
    </row>
    <row r="103" spans="1:17" ht="24.95" customHeight="1" x14ac:dyDescent="0.35">
      <c r="O103" s="662"/>
    </row>
    <row r="104" spans="1:17" ht="24.95" customHeight="1" x14ac:dyDescent="0.35">
      <c r="O104" s="662"/>
    </row>
    <row r="105" spans="1:17" ht="24.95" customHeight="1" x14ac:dyDescent="0.35">
      <c r="O105" s="662"/>
    </row>
    <row r="106" spans="1:17" ht="24.95" customHeight="1" x14ac:dyDescent="0.35">
      <c r="O106" s="662"/>
    </row>
    <row r="107" spans="1:17" ht="24.95" customHeight="1" x14ac:dyDescent="0.35">
      <c r="O107" s="662"/>
    </row>
    <row r="108" spans="1:17" ht="24.95" customHeight="1" x14ac:dyDescent="0.35">
      <c r="O108" s="662"/>
    </row>
    <row r="109" spans="1:17" ht="24.95" customHeight="1" x14ac:dyDescent="0.35">
      <c r="O109" s="662"/>
    </row>
    <row r="110" spans="1:17" ht="24.95" customHeight="1" x14ac:dyDescent="0.35">
      <c r="O110" s="665"/>
    </row>
    <row r="111" spans="1:17" ht="24.95" customHeight="1" x14ac:dyDescent="0.35">
      <c r="O111" s="666"/>
    </row>
    <row r="112" spans="1:17" ht="24.95" customHeight="1" x14ac:dyDescent="0.35">
      <c r="O112" s="667"/>
    </row>
    <row r="113" spans="15:15" ht="24.95" customHeight="1" x14ac:dyDescent="0.35">
      <c r="O113" s="666"/>
    </row>
    <row r="114" spans="15:15" ht="24.95" customHeight="1" x14ac:dyDescent="0.35">
      <c r="O114" s="66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3"/>
  <sheetViews>
    <sheetView view="pageBreakPreview" topLeftCell="A28" zoomScale="60" zoomScaleNormal="100" workbookViewId="0">
      <selection activeCell="G28" sqref="G1:G1048576"/>
    </sheetView>
  </sheetViews>
  <sheetFormatPr defaultColWidth="23.85546875" defaultRowHeight="23.25" x14ac:dyDescent="0.35"/>
  <cols>
    <col min="1" max="1" width="23.85546875" style="656"/>
    <col min="2" max="2" width="42.85546875" style="623" customWidth="1"/>
    <col min="3" max="3" width="15.85546875" style="524" customWidth="1"/>
    <col min="4" max="4" width="13" style="657" customWidth="1"/>
    <col min="5" max="5" width="14.28515625" style="524" customWidth="1"/>
    <col min="6" max="6" width="12.28515625" style="658" customWidth="1"/>
    <col min="7" max="7" width="23.85546875" style="659"/>
    <col min="8" max="8" width="13.85546875" style="664" customWidth="1"/>
    <col min="9" max="9" width="17.7109375"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18" ht="24.95" customHeight="1" x14ac:dyDescent="0.35">
      <c r="A1" s="514" t="s">
        <v>8</v>
      </c>
      <c r="B1" s="515"/>
      <c r="C1" s="516"/>
      <c r="D1" s="517"/>
      <c r="E1" s="516"/>
      <c r="F1" s="516"/>
      <c r="G1" s="518"/>
      <c r="H1" s="519"/>
      <c r="I1" s="520"/>
      <c r="J1" s="521"/>
      <c r="K1" s="521"/>
      <c r="L1" s="521"/>
      <c r="M1" s="521"/>
      <c r="N1" s="521"/>
      <c r="O1" s="522"/>
      <c r="P1" s="523"/>
    </row>
    <row r="2" spans="1:18" ht="24.95" customHeight="1" x14ac:dyDescent="0.35">
      <c r="A2" s="525" t="s">
        <v>9</v>
      </c>
      <c r="B2" s="526"/>
      <c r="C2" s="527"/>
      <c r="D2" s="528"/>
      <c r="E2" s="527"/>
      <c r="F2" s="527"/>
      <c r="G2" s="529"/>
      <c r="H2" s="530"/>
      <c r="I2" s="531"/>
      <c r="J2" s="532"/>
      <c r="K2" s="532"/>
      <c r="L2" s="532"/>
      <c r="M2" s="532"/>
      <c r="N2" s="532"/>
      <c r="O2" s="533"/>
      <c r="P2" s="534"/>
    </row>
    <row r="3" spans="1:18" ht="24.95" customHeight="1" x14ac:dyDescent="0.35">
      <c r="A3" s="525" t="s">
        <v>10</v>
      </c>
      <c r="B3" s="526"/>
      <c r="C3" s="527"/>
      <c r="D3" s="528"/>
      <c r="E3" s="527"/>
      <c r="F3" s="527"/>
      <c r="G3" s="529"/>
      <c r="H3" s="530"/>
      <c r="I3" s="535"/>
      <c r="J3" s="536"/>
      <c r="K3" s="536"/>
      <c r="L3" s="536"/>
      <c r="M3" s="536"/>
      <c r="N3" s="536"/>
      <c r="O3" s="537"/>
      <c r="P3" s="538"/>
    </row>
    <row r="4" spans="1:18" ht="24.95" customHeight="1" x14ac:dyDescent="0.35">
      <c r="A4" s="525" t="s">
        <v>521</v>
      </c>
      <c r="B4" s="526"/>
      <c r="C4" s="527"/>
      <c r="D4" s="528"/>
      <c r="E4" s="527"/>
      <c r="F4" s="527"/>
      <c r="G4" s="529"/>
      <c r="H4" s="530"/>
      <c r="I4" s="535"/>
      <c r="J4" s="536"/>
      <c r="K4" s="536"/>
      <c r="L4" s="536"/>
      <c r="M4" s="536"/>
      <c r="N4" s="536"/>
      <c r="O4" s="537"/>
      <c r="P4" s="538"/>
    </row>
    <row r="5" spans="1:18" ht="24.95" customHeight="1" x14ac:dyDescent="0.35">
      <c r="A5" s="539"/>
      <c r="B5" s="526"/>
      <c r="C5" s="527"/>
      <c r="D5" s="528"/>
      <c r="E5" s="527"/>
      <c r="F5" s="527"/>
      <c r="G5" s="529"/>
      <c r="H5" s="540"/>
      <c r="I5" s="541"/>
      <c r="J5" s="542"/>
      <c r="K5" s="542"/>
      <c r="L5" s="542"/>
      <c r="M5" s="542"/>
      <c r="N5" s="542"/>
      <c r="O5" s="542"/>
      <c r="P5" s="543"/>
    </row>
    <row r="6" spans="1:18" s="565" customFormat="1"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18" s="565" customFormat="1" ht="24.95" customHeight="1" x14ac:dyDescent="0.35">
      <c r="A7" s="555">
        <v>43878</v>
      </c>
      <c r="B7" s="556" t="s">
        <v>63</v>
      </c>
      <c r="C7" s="557"/>
      <c r="D7" s="558" t="s">
        <v>90</v>
      </c>
      <c r="E7" s="557"/>
      <c r="F7" s="557"/>
      <c r="G7" s="559" t="s">
        <v>102</v>
      </c>
      <c r="H7" s="560"/>
      <c r="I7" s="865"/>
      <c r="J7" s="559"/>
      <c r="K7" s="562"/>
      <c r="L7" s="551"/>
      <c r="M7" s="551"/>
      <c r="N7" s="551"/>
      <c r="O7" s="865">
        <v>33421.01</v>
      </c>
      <c r="P7" s="866" t="s">
        <v>22</v>
      </c>
    </row>
    <row r="8" spans="1:18" s="576" customFormat="1" ht="24.95" customHeight="1" x14ac:dyDescent="0.35">
      <c r="A8" s="867">
        <v>44092</v>
      </c>
      <c r="B8" s="558" t="s">
        <v>78</v>
      </c>
      <c r="C8" s="557"/>
      <c r="D8" s="568" t="s">
        <v>92</v>
      </c>
      <c r="E8" s="557"/>
      <c r="F8" s="868"/>
      <c r="G8" s="869" t="s">
        <v>77</v>
      </c>
      <c r="H8" s="560"/>
      <c r="I8" s="870"/>
      <c r="J8" s="871"/>
      <c r="K8" s="871"/>
      <c r="L8" s="871"/>
      <c r="M8" s="871"/>
      <c r="N8" s="871"/>
      <c r="O8" s="574">
        <v>108000</v>
      </c>
      <c r="P8" s="866"/>
    </row>
    <row r="9" spans="1:18" s="587" customFormat="1" ht="24.95" customHeight="1" x14ac:dyDescent="0.35">
      <c r="A9" s="589">
        <v>44352</v>
      </c>
      <c r="B9" s="558" t="s">
        <v>107</v>
      </c>
      <c r="C9" s="579"/>
      <c r="D9" s="580" t="s">
        <v>90</v>
      </c>
      <c r="E9" s="581"/>
      <c r="F9" s="581">
        <v>1918</v>
      </c>
      <c r="G9" s="586">
        <v>4457</v>
      </c>
      <c r="H9" s="583"/>
      <c r="I9" s="584"/>
      <c r="J9" s="584"/>
      <c r="K9" s="584"/>
      <c r="L9" s="584"/>
      <c r="M9" s="584"/>
      <c r="N9" s="584"/>
      <c r="O9" s="585">
        <v>36289.599999999999</v>
      </c>
      <c r="P9" s="586"/>
    </row>
    <row r="10" spans="1:18" s="587" customFormat="1" ht="24.95" customHeight="1" x14ac:dyDescent="0.35">
      <c r="A10" s="589">
        <v>44413</v>
      </c>
      <c r="B10" s="558" t="s">
        <v>107</v>
      </c>
      <c r="C10" s="579"/>
      <c r="D10" s="580" t="s">
        <v>90</v>
      </c>
      <c r="E10" s="581"/>
      <c r="F10" s="581"/>
      <c r="G10" s="586">
        <v>4457</v>
      </c>
      <c r="H10" s="583"/>
      <c r="I10" s="584"/>
      <c r="J10" s="584"/>
      <c r="K10" s="584"/>
      <c r="L10" s="584"/>
      <c r="M10" s="584"/>
      <c r="N10" s="584"/>
      <c r="O10" s="585">
        <v>176976.8</v>
      </c>
      <c r="P10" s="586"/>
    </row>
    <row r="11" spans="1:18" s="587" customFormat="1" ht="24.95" customHeight="1" x14ac:dyDescent="0.35">
      <c r="A11" s="589">
        <v>44420</v>
      </c>
      <c r="B11" s="556" t="s">
        <v>108</v>
      </c>
      <c r="C11" s="579"/>
      <c r="D11" s="558" t="s">
        <v>90</v>
      </c>
      <c r="E11" s="581"/>
      <c r="F11" s="581"/>
      <c r="G11" s="586" t="s">
        <v>120</v>
      </c>
      <c r="H11" s="583"/>
      <c r="I11" s="584"/>
      <c r="J11" s="584"/>
      <c r="K11" s="584"/>
      <c r="L11" s="584"/>
      <c r="M11" s="584"/>
      <c r="N11" s="584"/>
      <c r="O11" s="584">
        <v>470000</v>
      </c>
      <c r="P11" s="586"/>
      <c r="R11" s="587" t="s">
        <v>121</v>
      </c>
    </row>
    <row r="12" spans="1:18" s="587" customFormat="1" ht="24.95" customHeight="1" x14ac:dyDescent="0.35">
      <c r="A12" s="589">
        <v>44474</v>
      </c>
      <c r="B12" s="556" t="s">
        <v>110</v>
      </c>
      <c r="C12" s="579"/>
      <c r="D12" s="558" t="s">
        <v>92</v>
      </c>
      <c r="E12" s="581"/>
      <c r="F12" s="590"/>
      <c r="G12" s="586" t="s">
        <v>111</v>
      </c>
      <c r="H12" s="583"/>
      <c r="I12" s="591"/>
      <c r="J12" s="591"/>
      <c r="K12" s="592"/>
      <c r="L12" s="592"/>
      <c r="M12" s="592"/>
      <c r="N12" s="592"/>
      <c r="O12" s="592">
        <v>70000</v>
      </c>
      <c r="P12" s="586" t="s">
        <v>22</v>
      </c>
      <c r="R12" s="593" t="s">
        <v>112</v>
      </c>
    </row>
    <row r="13" spans="1:18" s="580" customFormat="1" ht="24.95" customHeight="1" x14ac:dyDescent="0.35">
      <c r="A13" s="589">
        <v>44480</v>
      </c>
      <c r="B13" s="556" t="s">
        <v>43</v>
      </c>
      <c r="C13" s="579"/>
      <c r="D13" s="586" t="s">
        <v>90</v>
      </c>
      <c r="E13" s="581"/>
      <c r="F13" s="590">
        <v>2019</v>
      </c>
      <c r="G13" s="586" t="s">
        <v>132</v>
      </c>
      <c r="H13" s="583"/>
      <c r="I13" s="591"/>
      <c r="J13" s="591"/>
      <c r="K13" s="594"/>
      <c r="L13" s="594"/>
      <c r="M13" s="594"/>
      <c r="N13" s="594"/>
      <c r="O13" s="594">
        <v>147281.20000000001</v>
      </c>
      <c r="P13" s="586"/>
      <c r="R13" s="593" t="s">
        <v>133</v>
      </c>
    </row>
    <row r="14" spans="1:18" s="587"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R14" s="587" t="s">
        <v>126</v>
      </c>
    </row>
    <row r="15" spans="1:18" s="587" customFormat="1" ht="24.95" customHeight="1" x14ac:dyDescent="0.35">
      <c r="A15" s="589">
        <v>44607</v>
      </c>
      <c r="B15" s="596" t="s">
        <v>59</v>
      </c>
      <c r="C15" s="579"/>
      <c r="D15" s="558" t="s">
        <v>90</v>
      </c>
      <c r="E15" s="581" t="s">
        <v>135</v>
      </c>
      <c r="F15" s="581"/>
      <c r="G15" s="586" t="s">
        <v>131</v>
      </c>
      <c r="H15" s="583"/>
      <c r="I15" s="591"/>
      <c r="J15" s="591"/>
      <c r="K15" s="591"/>
      <c r="L15" s="591"/>
      <c r="M15" s="591"/>
      <c r="N15" s="591"/>
      <c r="O15" s="591">
        <v>16076.04</v>
      </c>
      <c r="P15" s="591" t="s">
        <v>22</v>
      </c>
      <c r="R15" s="593" t="s">
        <v>134</v>
      </c>
    </row>
    <row r="16" spans="1:18" s="605" customFormat="1" ht="24.95" customHeight="1" x14ac:dyDescent="0.35">
      <c r="A16" s="597">
        <v>44609</v>
      </c>
      <c r="B16" s="598" t="s">
        <v>59</v>
      </c>
      <c r="C16" s="599"/>
      <c r="D16" s="600" t="s">
        <v>90</v>
      </c>
      <c r="E16" s="601" t="s">
        <v>129</v>
      </c>
      <c r="F16" s="601"/>
      <c r="G16" s="602" t="s">
        <v>118</v>
      </c>
      <c r="H16" s="603"/>
      <c r="I16" s="604"/>
      <c r="J16" s="604"/>
      <c r="K16" s="604"/>
      <c r="L16" s="604"/>
      <c r="M16" s="604"/>
      <c r="N16" s="604"/>
      <c r="O16" s="604">
        <v>7186.99</v>
      </c>
      <c r="P16" s="604" t="s">
        <v>22</v>
      </c>
      <c r="R16" s="605" t="s">
        <v>130</v>
      </c>
    </row>
    <row r="17" spans="1:18" s="587" customFormat="1" ht="24.95" customHeight="1" x14ac:dyDescent="0.35">
      <c r="A17" s="589">
        <v>44614</v>
      </c>
      <c r="B17" s="556" t="s">
        <v>136</v>
      </c>
      <c r="C17" s="579"/>
      <c r="D17" s="558" t="s">
        <v>92</v>
      </c>
      <c r="E17" s="581"/>
      <c r="F17" s="581"/>
      <c r="G17" s="586" t="s">
        <v>376</v>
      </c>
      <c r="H17" s="583"/>
      <c r="I17" s="591"/>
      <c r="J17" s="591"/>
      <c r="K17" s="591"/>
      <c r="L17" s="591"/>
      <c r="M17" s="591"/>
      <c r="N17" s="591"/>
      <c r="O17" s="591">
        <v>526625</v>
      </c>
      <c r="P17" s="591"/>
      <c r="R17" s="587" t="s">
        <v>193</v>
      </c>
    </row>
    <row r="18" spans="1:18" s="587"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R18" s="587" t="s">
        <v>138</v>
      </c>
    </row>
    <row r="19" spans="1:18" s="587"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R19" s="587" t="s">
        <v>139</v>
      </c>
    </row>
    <row r="20" spans="1:18" s="587" customFormat="1" ht="24.95" customHeight="1" x14ac:dyDescent="0.35">
      <c r="A20" s="589">
        <v>44711</v>
      </c>
      <c r="B20" s="556" t="s">
        <v>153</v>
      </c>
      <c r="C20" s="579"/>
      <c r="D20" s="558" t="s">
        <v>92</v>
      </c>
      <c r="E20" s="581"/>
      <c r="F20" s="581"/>
      <c r="G20" s="586" t="s">
        <v>181</v>
      </c>
      <c r="H20" s="583"/>
      <c r="I20" s="591"/>
      <c r="J20" s="591"/>
      <c r="K20" s="591"/>
      <c r="L20" s="591"/>
      <c r="M20" s="591"/>
      <c r="N20" s="591"/>
      <c r="O20" s="591">
        <v>164667</v>
      </c>
      <c r="P20" s="592"/>
      <c r="R20" s="593" t="s">
        <v>182</v>
      </c>
    </row>
    <row r="21" spans="1:18" s="605" customFormat="1" ht="24.95" customHeight="1" x14ac:dyDescent="0.35">
      <c r="A21" s="597">
        <v>44714</v>
      </c>
      <c r="B21" s="598" t="s">
        <v>59</v>
      </c>
      <c r="C21" s="599"/>
      <c r="D21" s="600" t="s">
        <v>90</v>
      </c>
      <c r="E21" s="601"/>
      <c r="F21" s="601">
        <v>2062</v>
      </c>
      <c r="G21" s="602" t="s">
        <v>118</v>
      </c>
      <c r="H21" s="603"/>
      <c r="I21" s="604"/>
      <c r="J21" s="604"/>
      <c r="K21" s="604"/>
      <c r="L21" s="604"/>
      <c r="M21" s="604"/>
      <c r="N21" s="604"/>
      <c r="O21" s="604">
        <v>77456</v>
      </c>
      <c r="P21" s="604" t="s">
        <v>22</v>
      </c>
      <c r="R21" s="598" t="s">
        <v>142</v>
      </c>
    </row>
    <row r="22" spans="1:18" s="605" customFormat="1" ht="24.95" customHeight="1" x14ac:dyDescent="0.35">
      <c r="A22" s="597">
        <v>44714</v>
      </c>
      <c r="B22" s="598" t="s">
        <v>59</v>
      </c>
      <c r="C22" s="599"/>
      <c r="D22" s="600" t="s">
        <v>90</v>
      </c>
      <c r="E22" s="601" t="s">
        <v>143</v>
      </c>
      <c r="F22" s="601"/>
      <c r="G22" s="602" t="s">
        <v>118</v>
      </c>
      <c r="H22" s="603"/>
      <c r="I22" s="604"/>
      <c r="J22" s="604"/>
      <c r="K22" s="604"/>
      <c r="L22" s="604"/>
      <c r="M22" s="604"/>
      <c r="N22" s="604"/>
      <c r="O22" s="604">
        <v>72499.08</v>
      </c>
      <c r="P22" s="604" t="s">
        <v>22</v>
      </c>
      <c r="R22" s="598" t="s">
        <v>144</v>
      </c>
    </row>
    <row r="23" spans="1:18" s="605" customFormat="1" ht="24.95" customHeight="1" x14ac:dyDescent="0.35">
      <c r="A23" s="597">
        <v>44741</v>
      </c>
      <c r="B23" s="598" t="s">
        <v>59</v>
      </c>
      <c r="C23" s="599"/>
      <c r="D23" s="600" t="s">
        <v>90</v>
      </c>
      <c r="E23" s="601" t="s">
        <v>166</v>
      </c>
      <c r="F23" s="601"/>
      <c r="G23" s="602">
        <v>5908</v>
      </c>
      <c r="H23" s="603"/>
      <c r="I23" s="604"/>
      <c r="J23" s="604"/>
      <c r="K23" s="604"/>
      <c r="L23" s="604"/>
      <c r="M23" s="607"/>
      <c r="N23" s="607"/>
      <c r="O23" s="607">
        <v>510</v>
      </c>
      <c r="P23" s="607" t="s">
        <v>22</v>
      </c>
      <c r="R23" s="598" t="s">
        <v>167</v>
      </c>
    </row>
    <row r="24" spans="1:18" s="587" customFormat="1" ht="24.95" customHeight="1" x14ac:dyDescent="0.35">
      <c r="A24" s="589">
        <v>44768</v>
      </c>
      <c r="B24" s="556" t="s">
        <v>159</v>
      </c>
      <c r="C24" s="579"/>
      <c r="D24" s="558" t="s">
        <v>90</v>
      </c>
      <c r="E24" s="581"/>
      <c r="F24" s="581"/>
      <c r="G24" s="586" t="s">
        <v>151</v>
      </c>
      <c r="H24" s="583"/>
      <c r="I24" s="591"/>
      <c r="J24" s="591"/>
      <c r="K24" s="591"/>
      <c r="L24" s="591"/>
      <c r="M24" s="591"/>
      <c r="N24" s="591"/>
      <c r="O24" s="629" t="s">
        <v>479</v>
      </c>
      <c r="P24" s="591" t="s">
        <v>22</v>
      </c>
      <c r="R24" s="608" t="s">
        <v>199</v>
      </c>
    </row>
    <row r="25" spans="1:18" s="587" customFormat="1" ht="24.95" customHeight="1" x14ac:dyDescent="0.35">
      <c r="A25" s="589">
        <v>44786</v>
      </c>
      <c r="B25" s="556" t="s">
        <v>150</v>
      </c>
      <c r="C25" s="579"/>
      <c r="D25" s="558" t="s">
        <v>94</v>
      </c>
      <c r="E25" s="581"/>
      <c r="F25" s="581">
        <v>2136</v>
      </c>
      <c r="G25" s="586" t="s">
        <v>170</v>
      </c>
      <c r="H25" s="583"/>
      <c r="I25" s="591"/>
      <c r="J25" s="591"/>
      <c r="K25" s="591"/>
      <c r="L25" s="591"/>
      <c r="M25" s="592"/>
      <c r="N25" s="591"/>
      <c r="O25" s="591">
        <v>193400</v>
      </c>
      <c r="P25" s="586" t="s">
        <v>22</v>
      </c>
      <c r="R25" s="593" t="s">
        <v>171</v>
      </c>
    </row>
    <row r="26" spans="1:18" s="587"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R26" s="593" t="s">
        <v>174</v>
      </c>
    </row>
    <row r="27" spans="1:18" s="587"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R27" s="593" t="s">
        <v>160</v>
      </c>
    </row>
    <row r="28" spans="1:18" s="605" customFormat="1" ht="24.95" customHeight="1" x14ac:dyDescent="0.35">
      <c r="A28" s="597">
        <v>44855</v>
      </c>
      <c r="B28" s="598" t="s">
        <v>59</v>
      </c>
      <c r="C28" s="599"/>
      <c r="D28" s="600" t="s">
        <v>90</v>
      </c>
      <c r="E28" s="601" t="s">
        <v>164</v>
      </c>
      <c r="F28" s="601"/>
      <c r="G28" s="602"/>
      <c r="H28" s="603"/>
      <c r="I28" s="604"/>
      <c r="J28" s="604"/>
      <c r="K28" s="604"/>
      <c r="L28" s="604"/>
      <c r="M28" s="604"/>
      <c r="N28" s="604"/>
      <c r="O28" s="604">
        <v>6650</v>
      </c>
      <c r="P28" s="604" t="s">
        <v>22</v>
      </c>
      <c r="R28" s="598" t="s">
        <v>165</v>
      </c>
    </row>
    <row r="29" spans="1:18" s="605" customFormat="1" ht="24.95" customHeight="1" x14ac:dyDescent="0.35">
      <c r="A29" s="597">
        <v>44855</v>
      </c>
      <c r="B29" s="598" t="s">
        <v>59</v>
      </c>
      <c r="C29" s="599"/>
      <c r="D29" s="600" t="s">
        <v>90</v>
      </c>
      <c r="E29" s="601" t="s">
        <v>168</v>
      </c>
      <c r="F29" s="601"/>
      <c r="G29" s="602" t="s">
        <v>118</v>
      </c>
      <c r="H29" s="603"/>
      <c r="I29" s="604"/>
      <c r="J29" s="604"/>
      <c r="K29" s="604"/>
      <c r="L29" s="604"/>
      <c r="M29" s="604"/>
      <c r="N29" s="604"/>
      <c r="O29" s="604">
        <v>3000</v>
      </c>
      <c r="P29" s="604" t="s">
        <v>22</v>
      </c>
      <c r="R29" s="598" t="s">
        <v>169</v>
      </c>
    </row>
    <row r="30" spans="1:18" s="605" customFormat="1" ht="24.95" customHeight="1" x14ac:dyDescent="0.35">
      <c r="A30" s="597">
        <v>44916</v>
      </c>
      <c r="B30" s="598" t="s">
        <v>59</v>
      </c>
      <c r="C30" s="599"/>
      <c r="D30" s="600" t="s">
        <v>90</v>
      </c>
      <c r="E30" s="601"/>
      <c r="F30" s="601">
        <v>2176</v>
      </c>
      <c r="G30" s="602" t="s">
        <v>118</v>
      </c>
      <c r="H30" s="603"/>
      <c r="I30" s="604"/>
      <c r="J30" s="604"/>
      <c r="K30" s="604"/>
      <c r="L30" s="604"/>
      <c r="M30" s="604"/>
      <c r="N30" s="607"/>
      <c r="O30" s="604">
        <v>186146</v>
      </c>
      <c r="P30" s="602"/>
      <c r="R30" s="598" t="s">
        <v>179</v>
      </c>
    </row>
    <row r="31" spans="1:18" s="617" customFormat="1" ht="24.95" customHeight="1" x14ac:dyDescent="0.35">
      <c r="A31" s="609">
        <v>44954</v>
      </c>
      <c r="B31" s="610" t="s">
        <v>145</v>
      </c>
      <c r="C31" s="611"/>
      <c r="D31" s="612" t="s">
        <v>92</v>
      </c>
      <c r="E31" s="613" t="s">
        <v>260</v>
      </c>
      <c r="F31" s="613"/>
      <c r="G31" s="614" t="s">
        <v>262</v>
      </c>
      <c r="H31" s="615"/>
      <c r="I31" s="616"/>
      <c r="J31" s="616"/>
      <c r="K31" s="616"/>
      <c r="L31" s="616"/>
      <c r="M31" s="616"/>
      <c r="N31" s="616"/>
      <c r="O31" s="616">
        <v>666000</v>
      </c>
      <c r="P31" s="616"/>
      <c r="R31" s="618" t="s">
        <v>264</v>
      </c>
    </row>
    <row r="32" spans="1:18" s="617" customFormat="1" ht="24.95" customHeight="1" x14ac:dyDescent="0.35">
      <c r="A32" s="609">
        <v>44954</v>
      </c>
      <c r="B32" s="610" t="s">
        <v>145</v>
      </c>
      <c r="C32" s="611"/>
      <c r="D32" s="612" t="s">
        <v>92</v>
      </c>
      <c r="E32" s="613" t="s">
        <v>261</v>
      </c>
      <c r="F32" s="613"/>
      <c r="G32" s="614" t="s">
        <v>263</v>
      </c>
      <c r="H32" s="615"/>
      <c r="I32" s="616"/>
      <c r="J32" s="616"/>
      <c r="K32" s="616"/>
      <c r="L32" s="616"/>
      <c r="M32" s="616"/>
      <c r="N32" s="616"/>
      <c r="O32" s="616">
        <v>657658.5</v>
      </c>
      <c r="P32" s="616"/>
      <c r="R32" s="618" t="s">
        <v>265</v>
      </c>
    </row>
    <row r="33" spans="1:18" s="587"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R33" s="593" t="s">
        <v>185</v>
      </c>
    </row>
    <row r="34" spans="1:18" s="587" customFormat="1" ht="24.95" customHeight="1" x14ac:dyDescent="0.35">
      <c r="A34" s="589" t="s">
        <v>190</v>
      </c>
      <c r="B34" s="620" t="s">
        <v>191</v>
      </c>
      <c r="C34" s="579"/>
      <c r="D34" s="558" t="s">
        <v>92</v>
      </c>
      <c r="E34" s="581"/>
      <c r="F34" s="581"/>
      <c r="G34" s="586" t="s">
        <v>118</v>
      </c>
      <c r="H34" s="583"/>
      <c r="I34" s="591"/>
      <c r="J34" s="591"/>
      <c r="K34" s="591"/>
      <c r="L34" s="591"/>
      <c r="M34" s="591"/>
      <c r="N34" s="591"/>
      <c r="O34" s="591">
        <v>67000</v>
      </c>
      <c r="P34" s="591" t="s">
        <v>22</v>
      </c>
      <c r="R34" s="593"/>
    </row>
    <row r="35" spans="1:18" s="617" customFormat="1" ht="24.95" customHeight="1" x14ac:dyDescent="0.35">
      <c r="A35" s="609">
        <v>45017</v>
      </c>
      <c r="B35" s="610" t="s">
        <v>145</v>
      </c>
      <c r="C35" s="611"/>
      <c r="D35" s="612" t="s">
        <v>92</v>
      </c>
      <c r="E35" s="613"/>
      <c r="F35" s="613"/>
      <c r="G35" s="614">
        <v>5460</v>
      </c>
      <c r="H35" s="615" t="s">
        <v>257</v>
      </c>
      <c r="I35" s="616"/>
      <c r="J35" s="616"/>
      <c r="K35" s="616"/>
      <c r="L35" s="616"/>
      <c r="M35" s="616"/>
      <c r="N35" s="616"/>
      <c r="O35" s="872">
        <v>413995.98</v>
      </c>
      <c r="P35" s="614"/>
      <c r="R35" s="618" t="s">
        <v>276</v>
      </c>
    </row>
    <row r="36" spans="1:18" s="554" customFormat="1" ht="24.95" customHeight="1" x14ac:dyDescent="0.35">
      <c r="A36" s="873">
        <v>45147</v>
      </c>
      <c r="B36" s="554" t="s">
        <v>205</v>
      </c>
      <c r="D36" s="554" t="s">
        <v>92</v>
      </c>
      <c r="E36" s="874"/>
      <c r="F36" s="874"/>
      <c r="G36" s="875">
        <v>5568</v>
      </c>
      <c r="O36" s="554">
        <v>10000</v>
      </c>
      <c r="P36" s="554" t="s">
        <v>210</v>
      </c>
      <c r="R36" s="554" t="s">
        <v>206</v>
      </c>
    </row>
    <row r="37" spans="1:18" s="617" customFormat="1" ht="24.95" customHeight="1" x14ac:dyDescent="0.35">
      <c r="A37" s="609">
        <v>45181</v>
      </c>
      <c r="B37" s="610" t="s">
        <v>145</v>
      </c>
      <c r="C37" s="611"/>
      <c r="D37" s="612" t="s">
        <v>90</v>
      </c>
      <c r="E37" s="613" t="s">
        <v>277</v>
      </c>
      <c r="F37" s="613"/>
      <c r="G37" s="614">
        <v>5606</v>
      </c>
      <c r="H37" s="615"/>
      <c r="I37" s="626"/>
      <c r="J37" s="626"/>
      <c r="K37" s="626"/>
      <c r="L37" s="626"/>
      <c r="M37" s="626"/>
      <c r="N37" s="626"/>
      <c r="O37" s="626">
        <v>676930.8</v>
      </c>
      <c r="P37" s="614"/>
      <c r="R37" s="618" t="s">
        <v>278</v>
      </c>
    </row>
    <row r="38" spans="1:18" s="587" customFormat="1" ht="24.95" customHeight="1" x14ac:dyDescent="0.35">
      <c r="A38" s="589">
        <v>45195</v>
      </c>
      <c r="B38" s="556" t="s">
        <v>271</v>
      </c>
      <c r="C38" s="579"/>
      <c r="D38" s="558" t="s">
        <v>92</v>
      </c>
      <c r="E38" s="581"/>
      <c r="F38" s="581"/>
      <c r="G38" s="586" t="s">
        <v>272</v>
      </c>
      <c r="H38" s="583"/>
      <c r="I38" s="592"/>
      <c r="J38" s="592"/>
      <c r="K38" s="592"/>
      <c r="L38" s="592"/>
      <c r="M38" s="592"/>
      <c r="N38" s="592"/>
      <c r="O38" s="592">
        <v>2339.29</v>
      </c>
      <c r="P38" s="586" t="s">
        <v>22</v>
      </c>
      <c r="R38" s="586" t="s">
        <v>273</v>
      </c>
    </row>
    <row r="39" spans="1:18" s="587" customFormat="1" ht="24.95" customHeight="1" x14ac:dyDescent="0.35">
      <c r="A39" s="589">
        <v>45310</v>
      </c>
      <c r="B39" s="627" t="s">
        <v>109</v>
      </c>
      <c r="C39" s="579"/>
      <c r="D39" s="586" t="s">
        <v>90</v>
      </c>
      <c r="E39" s="581"/>
      <c r="F39" s="581"/>
      <c r="G39" s="586" t="s">
        <v>327</v>
      </c>
      <c r="H39" s="583"/>
      <c r="I39" s="592"/>
      <c r="J39" s="592"/>
      <c r="K39" s="592"/>
      <c r="L39" s="592"/>
      <c r="M39" s="592"/>
      <c r="N39" s="592"/>
      <c r="O39" s="592">
        <v>16550</v>
      </c>
      <c r="P39" s="586" t="s">
        <v>22</v>
      </c>
      <c r="R39" s="593" t="s">
        <v>328</v>
      </c>
    </row>
    <row r="40" spans="1:18" s="617" customFormat="1" ht="24.95" customHeight="1" x14ac:dyDescent="0.35">
      <c r="A40" s="609">
        <v>45313</v>
      </c>
      <c r="B40" s="628" t="s">
        <v>37</v>
      </c>
      <c r="C40" s="611"/>
      <c r="D40" s="614" t="s">
        <v>90</v>
      </c>
      <c r="E40" s="613" t="s">
        <v>233</v>
      </c>
      <c r="F40" s="613"/>
      <c r="G40" s="614">
        <v>5714</v>
      </c>
      <c r="H40" s="615"/>
      <c r="I40" s="626"/>
      <c r="J40" s="626"/>
      <c r="K40" s="626"/>
      <c r="L40" s="626"/>
      <c r="M40" s="626"/>
      <c r="N40" s="626"/>
      <c r="O40" s="626">
        <v>150000</v>
      </c>
      <c r="P40" s="614"/>
      <c r="R40" s="618" t="s">
        <v>234</v>
      </c>
    </row>
    <row r="41" spans="1:18" s="587"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R41" s="593" t="s">
        <v>231</v>
      </c>
    </row>
    <row r="42" spans="1:18" s="605" customFormat="1" ht="24.95" customHeight="1" x14ac:dyDescent="0.35">
      <c r="A42" s="597">
        <v>45343</v>
      </c>
      <c r="B42" s="598" t="s">
        <v>59</v>
      </c>
      <c r="C42" s="599"/>
      <c r="D42" s="598" t="s">
        <v>90</v>
      </c>
      <c r="E42" s="601" t="s">
        <v>238</v>
      </c>
      <c r="F42" s="601"/>
      <c r="G42" s="602" t="s">
        <v>118</v>
      </c>
      <c r="H42" s="603"/>
      <c r="I42" s="607"/>
      <c r="J42" s="607"/>
      <c r="K42" s="607"/>
      <c r="L42" s="607"/>
      <c r="M42" s="607"/>
      <c r="N42" s="607"/>
      <c r="O42" s="607">
        <v>22500</v>
      </c>
      <c r="P42" s="604" t="s">
        <v>22</v>
      </c>
      <c r="R42" s="598" t="s">
        <v>239</v>
      </c>
    </row>
    <row r="43" spans="1:18" s="587"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R43" s="593" t="s">
        <v>251</v>
      </c>
    </row>
    <row r="44" spans="1:18" s="617" customFormat="1" ht="24.95" customHeight="1" x14ac:dyDescent="0.35">
      <c r="A44" s="609">
        <v>45386</v>
      </c>
      <c r="B44" s="610" t="s">
        <v>145</v>
      </c>
      <c r="C44" s="611"/>
      <c r="D44" s="614" t="s">
        <v>90</v>
      </c>
      <c r="E44" s="613"/>
      <c r="F44" s="613"/>
      <c r="G44" s="614">
        <v>5776</v>
      </c>
      <c r="H44" s="615"/>
      <c r="I44" s="626"/>
      <c r="J44" s="626"/>
      <c r="K44" s="626" t="s">
        <v>64</v>
      </c>
      <c r="L44" s="626"/>
      <c r="M44" s="626"/>
      <c r="N44" s="626"/>
      <c r="O44" s="626">
        <v>455997.92</v>
      </c>
      <c r="P44" s="616" t="s">
        <v>22</v>
      </c>
      <c r="R44" s="618" t="s">
        <v>256</v>
      </c>
    </row>
    <row r="45" spans="1:18" s="587" customFormat="1" ht="24.95" customHeight="1" x14ac:dyDescent="0.35">
      <c r="A45" s="589">
        <v>45458</v>
      </c>
      <c r="B45" s="556" t="s">
        <v>43</v>
      </c>
      <c r="C45" s="579"/>
      <c r="D45" s="586" t="s">
        <v>90</v>
      </c>
      <c r="E45" s="581"/>
      <c r="F45" s="581">
        <v>2355</v>
      </c>
      <c r="G45" s="586" t="s">
        <v>290</v>
      </c>
      <c r="H45" s="583"/>
      <c r="I45" s="592"/>
      <c r="J45" s="592"/>
      <c r="K45" s="592"/>
      <c r="L45" s="592"/>
      <c r="M45" s="592">
        <v>11059.82</v>
      </c>
      <c r="N45" s="592"/>
      <c r="O45" s="586"/>
      <c r="P45" s="586" t="s">
        <v>22</v>
      </c>
      <c r="R45" s="587" t="s">
        <v>350</v>
      </c>
    </row>
    <row r="46" spans="1:18" s="587" customFormat="1" ht="24.95" customHeight="1" x14ac:dyDescent="0.35">
      <c r="A46" s="589">
        <v>45539</v>
      </c>
      <c r="B46" s="556" t="s">
        <v>301</v>
      </c>
      <c r="C46" s="579"/>
      <c r="D46" s="586" t="s">
        <v>90</v>
      </c>
      <c r="E46" s="581"/>
      <c r="F46" s="581">
        <v>2387</v>
      </c>
      <c r="G46" s="586">
        <v>5879</v>
      </c>
      <c r="H46" s="583"/>
      <c r="I46" s="592"/>
      <c r="J46" s="592"/>
      <c r="K46" s="592"/>
      <c r="L46" s="592"/>
      <c r="M46" s="592"/>
      <c r="N46" s="592"/>
      <c r="O46" s="630">
        <v>1238500</v>
      </c>
      <c r="P46" s="586"/>
    </row>
    <row r="47" spans="1:18" s="587" customFormat="1" ht="24.95" customHeight="1" x14ac:dyDescent="0.35">
      <c r="A47" s="589">
        <v>45582</v>
      </c>
      <c r="B47" s="556" t="s">
        <v>417</v>
      </c>
      <c r="C47" s="579"/>
      <c r="D47" s="586"/>
      <c r="E47" s="581"/>
      <c r="F47" s="581"/>
      <c r="G47" s="586" t="s">
        <v>451</v>
      </c>
      <c r="H47" s="583"/>
      <c r="I47" s="592"/>
      <c r="J47" s="629"/>
      <c r="K47" s="591"/>
      <c r="L47" s="592"/>
      <c r="M47" s="592"/>
      <c r="N47" s="592"/>
      <c r="O47" s="629">
        <v>273520</v>
      </c>
      <c r="P47" s="586" t="s">
        <v>478</v>
      </c>
      <c r="R47" s="587" t="s">
        <v>412</v>
      </c>
    </row>
    <row r="48" spans="1:18" s="617" customFormat="1" ht="24.95" customHeight="1" x14ac:dyDescent="0.35">
      <c r="A48" s="609">
        <v>45601</v>
      </c>
      <c r="B48" s="610" t="s">
        <v>145</v>
      </c>
      <c r="C48" s="611"/>
      <c r="D48" s="614" t="s">
        <v>90</v>
      </c>
      <c r="E48" s="613"/>
      <c r="F48" s="613"/>
      <c r="G48" s="614">
        <v>5920</v>
      </c>
      <c r="H48" s="615"/>
      <c r="I48" s="626"/>
      <c r="J48" s="616" t="s">
        <v>354</v>
      </c>
      <c r="K48" s="626"/>
      <c r="L48" s="626"/>
      <c r="M48" s="626">
        <v>310000</v>
      </c>
      <c r="N48" s="626"/>
      <c r="O48" s="614"/>
      <c r="P48" s="614"/>
      <c r="R48" s="617" t="s">
        <v>355</v>
      </c>
    </row>
    <row r="49" spans="1:19" s="617" customFormat="1" ht="24.95" customHeight="1" x14ac:dyDescent="0.35">
      <c r="A49" s="609">
        <v>45601</v>
      </c>
      <c r="B49" s="610" t="s">
        <v>145</v>
      </c>
      <c r="C49" s="611"/>
      <c r="D49" s="614" t="s">
        <v>90</v>
      </c>
      <c r="E49" s="613"/>
      <c r="F49" s="613"/>
      <c r="G49" s="614">
        <v>5920</v>
      </c>
      <c r="H49" s="615"/>
      <c r="I49" s="626"/>
      <c r="J49" s="616" t="s">
        <v>354</v>
      </c>
      <c r="K49" s="626"/>
      <c r="L49" s="626"/>
      <c r="M49" s="626">
        <v>310000</v>
      </c>
      <c r="N49" s="626"/>
      <c r="O49" s="614"/>
      <c r="P49" s="614"/>
      <c r="R49" s="617" t="s">
        <v>355</v>
      </c>
    </row>
    <row r="50" spans="1:19" s="587" customFormat="1" ht="24.95" customHeight="1" x14ac:dyDescent="0.35">
      <c r="A50" s="589">
        <v>45630</v>
      </c>
      <c r="B50" s="556" t="s">
        <v>411</v>
      </c>
      <c r="C50" s="579"/>
      <c r="D50" s="586" t="s">
        <v>92</v>
      </c>
      <c r="E50" s="581"/>
      <c r="F50" s="581"/>
      <c r="G50" s="586">
        <v>5939</v>
      </c>
      <c r="H50" s="583"/>
      <c r="I50" s="592"/>
      <c r="J50" s="592"/>
      <c r="K50" s="592"/>
      <c r="L50" s="592">
        <v>297900</v>
      </c>
      <c r="M50" s="592"/>
      <c r="N50" s="592"/>
      <c r="O50" s="586"/>
      <c r="P50" s="586"/>
      <c r="R50" s="587" t="s">
        <v>399</v>
      </c>
    </row>
    <row r="51" spans="1:19" s="617" customFormat="1" ht="24.95" customHeight="1" x14ac:dyDescent="0.35">
      <c r="A51" s="609">
        <v>45680</v>
      </c>
      <c r="B51" s="632" t="s">
        <v>429</v>
      </c>
      <c r="C51" s="633"/>
      <c r="D51" s="614" t="s">
        <v>90</v>
      </c>
      <c r="E51" s="613"/>
      <c r="F51" s="613">
        <v>2343</v>
      </c>
      <c r="G51" s="614">
        <v>5979</v>
      </c>
      <c r="H51" s="615"/>
      <c r="I51" s="626"/>
      <c r="J51" s="626"/>
      <c r="K51" s="626">
        <v>45000</v>
      </c>
      <c r="L51" s="626"/>
      <c r="M51" s="626"/>
      <c r="N51" s="626"/>
      <c r="O51" s="614"/>
      <c r="P51" s="614"/>
    </row>
    <row r="52" spans="1:19" s="587" customFormat="1" ht="24.95" customHeight="1" x14ac:dyDescent="0.35">
      <c r="A52" s="589">
        <v>45682</v>
      </c>
      <c r="B52" s="620" t="s">
        <v>431</v>
      </c>
      <c r="C52" s="631"/>
      <c r="D52" s="586"/>
      <c r="E52" s="581"/>
      <c r="F52" s="581"/>
      <c r="G52" s="586">
        <v>5980</v>
      </c>
      <c r="H52" s="583"/>
      <c r="I52" s="592"/>
      <c r="J52" s="592"/>
      <c r="K52" s="592">
        <v>76000</v>
      </c>
      <c r="L52" s="592"/>
      <c r="M52" s="592"/>
      <c r="N52" s="592"/>
      <c r="O52" s="586"/>
      <c r="P52" s="586" t="s">
        <v>478</v>
      </c>
    </row>
    <row r="53" spans="1:19" s="587" customFormat="1" ht="24.95" customHeight="1" x14ac:dyDescent="0.35">
      <c r="A53" s="589"/>
      <c r="B53" s="620" t="s">
        <v>270</v>
      </c>
      <c r="C53" s="631"/>
      <c r="D53" s="586" t="s">
        <v>90</v>
      </c>
      <c r="E53" s="581"/>
      <c r="F53" s="581"/>
      <c r="G53" s="586">
        <v>5950</v>
      </c>
      <c r="H53" s="583"/>
      <c r="I53" s="592"/>
      <c r="J53" s="634"/>
      <c r="K53" s="634" t="s">
        <v>419</v>
      </c>
      <c r="L53" s="592"/>
      <c r="M53" s="592"/>
      <c r="N53" s="592"/>
      <c r="O53" s="586"/>
      <c r="P53" s="586"/>
    </row>
    <row r="54" spans="1:19" s="883" customFormat="1" ht="24.95" customHeight="1" x14ac:dyDescent="0.35">
      <c r="A54" s="876">
        <v>45685</v>
      </c>
      <c r="B54" s="877" t="s">
        <v>473</v>
      </c>
      <c r="C54" s="878"/>
      <c r="D54" s="879" t="s">
        <v>90</v>
      </c>
      <c r="E54" s="880"/>
      <c r="F54" s="880"/>
      <c r="G54" s="879">
        <v>5982</v>
      </c>
      <c r="H54" s="881"/>
      <c r="I54" s="882"/>
      <c r="J54" s="882"/>
      <c r="K54" s="882">
        <v>133000</v>
      </c>
      <c r="L54" s="882"/>
      <c r="M54" s="882"/>
      <c r="N54" s="882"/>
      <c r="O54" s="879"/>
      <c r="P54" s="879"/>
    </row>
    <row r="55" spans="1:19" s="554" customFormat="1" ht="24.95" customHeight="1" x14ac:dyDescent="0.35">
      <c r="A55" s="884" t="s">
        <v>421</v>
      </c>
      <c r="B55" s="556" t="s">
        <v>301</v>
      </c>
      <c r="D55" s="874" t="s">
        <v>90</v>
      </c>
      <c r="E55" s="874"/>
      <c r="F55" s="874"/>
      <c r="G55" s="875">
        <v>5984</v>
      </c>
      <c r="J55" s="885" t="s">
        <v>419</v>
      </c>
      <c r="O55" s="874"/>
      <c r="P55" s="874"/>
      <c r="S55" s="554" t="s">
        <v>435</v>
      </c>
    </row>
    <row r="56" spans="1:19" s="554" customFormat="1" ht="24.95" customHeight="1" x14ac:dyDescent="0.35">
      <c r="A56" s="884" t="s">
        <v>421</v>
      </c>
      <c r="B56" s="556" t="s">
        <v>301</v>
      </c>
      <c r="D56" s="874" t="s">
        <v>90</v>
      </c>
      <c r="E56" s="874"/>
      <c r="F56" s="874"/>
      <c r="G56" s="875">
        <v>5985</v>
      </c>
      <c r="J56" s="885" t="s">
        <v>419</v>
      </c>
      <c r="O56" s="874"/>
      <c r="P56" s="874"/>
      <c r="S56" s="554" t="s">
        <v>435</v>
      </c>
    </row>
    <row r="57" spans="1:19" s="554" customFormat="1" ht="24.95" customHeight="1" x14ac:dyDescent="0.35">
      <c r="A57" s="886">
        <v>45693</v>
      </c>
      <c r="B57" s="556" t="s">
        <v>428</v>
      </c>
      <c r="D57" s="874" t="s">
        <v>92</v>
      </c>
      <c r="E57" s="874"/>
      <c r="F57" s="874"/>
      <c r="G57" s="875">
        <v>5983</v>
      </c>
      <c r="J57" s="887">
        <v>327000</v>
      </c>
      <c r="O57" s="874"/>
      <c r="P57" s="874"/>
    </row>
    <row r="58" spans="1:19" s="554" customFormat="1" ht="24.95" customHeight="1" x14ac:dyDescent="0.35">
      <c r="A58" s="886">
        <v>45700</v>
      </c>
      <c r="B58" s="556" t="s">
        <v>439</v>
      </c>
      <c r="D58" s="874" t="s">
        <v>90</v>
      </c>
      <c r="E58" s="874" t="s">
        <v>519</v>
      </c>
      <c r="F58" s="874"/>
      <c r="G58" s="875">
        <v>5990</v>
      </c>
      <c r="J58" s="887" t="s">
        <v>440</v>
      </c>
      <c r="O58" s="874"/>
      <c r="P58" s="874"/>
    </row>
    <row r="59" spans="1:19" s="554" customFormat="1" ht="24.95" customHeight="1" x14ac:dyDescent="0.35">
      <c r="A59" s="886" t="s">
        <v>421</v>
      </c>
      <c r="B59" s="556" t="s">
        <v>301</v>
      </c>
      <c r="D59" s="874" t="s">
        <v>90</v>
      </c>
      <c r="E59" s="874"/>
      <c r="F59" s="874"/>
      <c r="G59" s="875">
        <v>5992</v>
      </c>
      <c r="J59" s="887" t="s">
        <v>419</v>
      </c>
      <c r="O59" s="874"/>
      <c r="P59" s="874"/>
    </row>
    <row r="60" spans="1:19" s="554" customFormat="1" ht="24.95" customHeight="1" x14ac:dyDescent="0.35">
      <c r="A60" s="886">
        <v>45708</v>
      </c>
      <c r="B60" s="556" t="s">
        <v>436</v>
      </c>
      <c r="D60" s="874"/>
      <c r="E60" s="874"/>
      <c r="F60" s="874"/>
      <c r="G60" s="875" t="s">
        <v>443</v>
      </c>
      <c r="J60" s="887" t="s">
        <v>419</v>
      </c>
      <c r="O60" s="874"/>
      <c r="P60" s="874"/>
    </row>
    <row r="61" spans="1:19" s="554" customFormat="1" ht="24.95" customHeight="1" x14ac:dyDescent="0.35">
      <c r="A61" s="886">
        <v>45708</v>
      </c>
      <c r="B61" s="556" t="s">
        <v>237</v>
      </c>
      <c r="D61" s="874" t="s">
        <v>90</v>
      </c>
      <c r="E61" s="874"/>
      <c r="F61" s="874"/>
      <c r="G61" s="875" t="s">
        <v>516</v>
      </c>
      <c r="J61" s="887">
        <v>1139726.45</v>
      </c>
      <c r="K61" s="554" t="s">
        <v>478</v>
      </c>
      <c r="O61" s="874"/>
      <c r="P61" s="874"/>
    </row>
    <row r="62" spans="1:19" s="554" customFormat="1" ht="24.95" customHeight="1" x14ac:dyDescent="0.35">
      <c r="A62" s="886" t="s">
        <v>421</v>
      </c>
      <c r="B62" s="556" t="s">
        <v>321</v>
      </c>
      <c r="D62" s="874" t="s">
        <v>90</v>
      </c>
      <c r="E62" s="874"/>
      <c r="F62" s="874"/>
      <c r="G62" s="875" t="s">
        <v>452</v>
      </c>
      <c r="J62" s="888">
        <v>263066.96999999997</v>
      </c>
      <c r="K62" s="554" t="s">
        <v>22</v>
      </c>
      <c r="O62" s="874"/>
      <c r="P62" s="874"/>
    </row>
    <row r="63" spans="1:19" s="554" customFormat="1" ht="24.95" customHeight="1" x14ac:dyDescent="0.35">
      <c r="A63" s="886" t="s">
        <v>421</v>
      </c>
      <c r="B63" s="556" t="s">
        <v>417</v>
      </c>
      <c r="D63" s="874" t="s">
        <v>90</v>
      </c>
      <c r="E63" s="874"/>
      <c r="F63" s="874"/>
      <c r="G63" s="875" t="s">
        <v>456</v>
      </c>
      <c r="J63" s="887" t="s">
        <v>419</v>
      </c>
      <c r="O63" s="874"/>
      <c r="P63" s="874"/>
    </row>
    <row r="64" spans="1:19" s="554" customFormat="1" ht="24.95" customHeight="1" x14ac:dyDescent="0.35">
      <c r="A64" s="886" t="s">
        <v>421</v>
      </c>
      <c r="B64" s="556" t="s">
        <v>43</v>
      </c>
      <c r="D64" s="874" t="s">
        <v>90</v>
      </c>
      <c r="E64" s="874"/>
      <c r="F64" s="874"/>
      <c r="G64" s="875" t="s">
        <v>457</v>
      </c>
      <c r="J64" s="887" t="s">
        <v>419</v>
      </c>
      <c r="O64" s="874"/>
      <c r="P64" s="874"/>
    </row>
    <row r="65" spans="1:16" s="554" customFormat="1" ht="24.95" customHeight="1" x14ac:dyDescent="0.35">
      <c r="A65" s="886">
        <v>45720</v>
      </c>
      <c r="B65" s="556" t="s">
        <v>472</v>
      </c>
      <c r="D65" s="874" t="s">
        <v>92</v>
      </c>
      <c r="E65" s="874"/>
      <c r="F65" s="874"/>
      <c r="G65" s="875" t="s">
        <v>471</v>
      </c>
      <c r="J65" s="887">
        <v>26000</v>
      </c>
      <c r="O65" s="874"/>
      <c r="P65" s="874"/>
    </row>
    <row r="66" spans="1:16" s="554" customFormat="1" ht="24.95" customHeight="1" x14ac:dyDescent="0.35">
      <c r="A66" s="886">
        <v>45723</v>
      </c>
      <c r="B66" s="556" t="s">
        <v>474</v>
      </c>
      <c r="D66" s="874" t="s">
        <v>92</v>
      </c>
      <c r="E66" s="874"/>
      <c r="F66" s="874"/>
      <c r="G66" s="875">
        <v>5993</v>
      </c>
      <c r="J66" s="887" t="s">
        <v>419</v>
      </c>
      <c r="O66" s="874"/>
      <c r="P66" s="874"/>
    </row>
    <row r="67" spans="1:16" s="554" customFormat="1" ht="24.95" customHeight="1" x14ac:dyDescent="0.35">
      <c r="A67" s="886">
        <v>45727</v>
      </c>
      <c r="B67" s="556" t="s">
        <v>301</v>
      </c>
      <c r="D67" s="874" t="s">
        <v>90</v>
      </c>
      <c r="E67" s="874"/>
      <c r="F67" s="874"/>
      <c r="G67" s="875">
        <v>5948</v>
      </c>
      <c r="J67" s="887">
        <v>2198000</v>
      </c>
      <c r="O67" s="874"/>
      <c r="P67" s="874"/>
    </row>
    <row r="68" spans="1:16" s="554" customFormat="1" ht="24.95" customHeight="1" x14ac:dyDescent="0.35">
      <c r="A68" s="886">
        <v>45727</v>
      </c>
      <c r="B68" s="556" t="s">
        <v>477</v>
      </c>
      <c r="D68" s="874" t="s">
        <v>90</v>
      </c>
      <c r="E68" s="874"/>
      <c r="F68" s="874"/>
      <c r="G68" s="875" t="s">
        <v>475</v>
      </c>
      <c r="J68" s="887">
        <v>246350</v>
      </c>
      <c r="O68" s="874"/>
      <c r="P68" s="874"/>
    </row>
    <row r="69" spans="1:16" s="554" customFormat="1" ht="24.95" customHeight="1" x14ac:dyDescent="0.35">
      <c r="A69" s="886">
        <v>45731</v>
      </c>
      <c r="B69" s="556" t="s">
        <v>480</v>
      </c>
      <c r="D69" s="874" t="s">
        <v>90</v>
      </c>
      <c r="E69" s="874"/>
      <c r="F69" s="874"/>
      <c r="G69" s="875" t="s">
        <v>481</v>
      </c>
      <c r="J69" s="887" t="s">
        <v>419</v>
      </c>
      <c r="O69" s="874"/>
      <c r="P69" s="874"/>
    </row>
    <row r="70" spans="1:16" s="554" customFormat="1" ht="24.95" customHeight="1" x14ac:dyDescent="0.35">
      <c r="A70" s="886">
        <v>45740</v>
      </c>
      <c r="B70" s="556" t="s">
        <v>483</v>
      </c>
      <c r="D70" s="874" t="s">
        <v>90</v>
      </c>
      <c r="E70" s="874"/>
      <c r="F70" s="874"/>
      <c r="G70" s="875" t="s">
        <v>484</v>
      </c>
      <c r="J70" s="887">
        <v>19590</v>
      </c>
      <c r="O70" s="874"/>
      <c r="P70" s="874"/>
    </row>
    <row r="71" spans="1:16" s="554" customFormat="1" ht="24.95" customHeight="1" x14ac:dyDescent="0.35">
      <c r="A71" s="886" t="s">
        <v>421</v>
      </c>
      <c r="B71" s="556" t="s">
        <v>409</v>
      </c>
      <c r="D71" s="874" t="s">
        <v>90</v>
      </c>
      <c r="E71" s="874"/>
      <c r="F71" s="874"/>
      <c r="G71" s="875">
        <v>5987</v>
      </c>
      <c r="J71" s="887" t="s">
        <v>419</v>
      </c>
      <c r="O71" s="874"/>
      <c r="P71" s="874"/>
    </row>
    <row r="72" spans="1:16" s="554" customFormat="1" ht="24.95" customHeight="1" x14ac:dyDescent="0.35">
      <c r="A72" s="886">
        <v>45748</v>
      </c>
      <c r="B72" s="556" t="s">
        <v>489</v>
      </c>
      <c r="D72" s="874" t="s">
        <v>90</v>
      </c>
      <c r="E72" s="874"/>
      <c r="F72" s="874"/>
      <c r="G72" s="875" t="s">
        <v>490</v>
      </c>
      <c r="J72" s="887" t="s">
        <v>419</v>
      </c>
      <c r="O72" s="874"/>
      <c r="P72" s="874"/>
    </row>
    <row r="73" spans="1:16" s="554" customFormat="1" ht="24.95" customHeight="1" x14ac:dyDescent="0.35">
      <c r="A73" s="886">
        <v>45749</v>
      </c>
      <c r="B73" s="556" t="s">
        <v>491</v>
      </c>
      <c r="D73" s="874" t="s">
        <v>90</v>
      </c>
      <c r="E73" s="874"/>
      <c r="F73" s="874"/>
      <c r="G73" s="875" t="s">
        <v>492</v>
      </c>
      <c r="J73" s="887">
        <v>152000</v>
      </c>
      <c r="O73" s="874"/>
      <c r="P73" s="874"/>
    </row>
    <row r="74" spans="1:16" s="554" customFormat="1" ht="24.95" customHeight="1" x14ac:dyDescent="0.35">
      <c r="A74" s="886">
        <v>45749</v>
      </c>
      <c r="B74" s="556" t="s">
        <v>431</v>
      </c>
      <c r="D74" s="874" t="s">
        <v>90</v>
      </c>
      <c r="E74" s="874"/>
      <c r="F74" s="874"/>
      <c r="G74" s="875" t="s">
        <v>494</v>
      </c>
      <c r="J74" s="887">
        <v>7500</v>
      </c>
      <c r="O74" s="874"/>
      <c r="P74" s="874"/>
    </row>
    <row r="75" spans="1:16" s="554" customFormat="1" ht="24.95" customHeight="1" x14ac:dyDescent="0.35">
      <c r="A75" s="886">
        <v>45750</v>
      </c>
      <c r="B75" s="556" t="s">
        <v>446</v>
      </c>
      <c r="D75" s="874" t="s">
        <v>90</v>
      </c>
      <c r="E75" s="874"/>
      <c r="F75" s="874"/>
      <c r="G75" s="875" t="s">
        <v>495</v>
      </c>
      <c r="J75" s="887">
        <v>339500</v>
      </c>
      <c r="O75" s="874"/>
      <c r="P75" s="874"/>
    </row>
    <row r="76" spans="1:16" s="554" customFormat="1" ht="24.95" customHeight="1" x14ac:dyDescent="0.35">
      <c r="A76" s="886">
        <v>45750</v>
      </c>
      <c r="B76" s="556" t="s">
        <v>446</v>
      </c>
      <c r="D76" s="874" t="s">
        <v>90</v>
      </c>
      <c r="E76" s="874"/>
      <c r="F76" s="874"/>
      <c r="G76" s="875" t="s">
        <v>496</v>
      </c>
      <c r="J76" s="887" t="s">
        <v>419</v>
      </c>
      <c r="O76" s="874"/>
      <c r="P76" s="874"/>
    </row>
    <row r="77" spans="1:16" s="554" customFormat="1" ht="24.95" customHeight="1" x14ac:dyDescent="0.35">
      <c r="A77" s="886">
        <v>45750</v>
      </c>
      <c r="B77" s="556" t="s">
        <v>270</v>
      </c>
      <c r="D77" s="874" t="s">
        <v>90</v>
      </c>
      <c r="E77" s="874"/>
      <c r="F77" s="874"/>
      <c r="G77" s="875" t="s">
        <v>497</v>
      </c>
      <c r="J77" s="887">
        <v>281170</v>
      </c>
      <c r="O77" s="874"/>
      <c r="P77" s="874"/>
    </row>
    <row r="78" spans="1:16" s="554" customFormat="1" ht="24.95" customHeight="1" x14ac:dyDescent="0.35">
      <c r="A78" s="886" t="s">
        <v>421</v>
      </c>
      <c r="B78" s="556" t="s">
        <v>301</v>
      </c>
      <c r="D78" s="874" t="s">
        <v>90</v>
      </c>
      <c r="E78" s="874"/>
      <c r="F78" s="874"/>
      <c r="G78" s="875" t="s">
        <v>498</v>
      </c>
      <c r="J78" s="887" t="s">
        <v>419</v>
      </c>
      <c r="O78" s="874"/>
      <c r="P78" s="874"/>
    </row>
    <row r="79" spans="1:16" s="554" customFormat="1" ht="24.95" customHeight="1" x14ac:dyDescent="0.35">
      <c r="A79" s="886">
        <v>45751</v>
      </c>
      <c r="B79" s="556" t="s">
        <v>237</v>
      </c>
      <c r="D79" s="874" t="s">
        <v>90</v>
      </c>
      <c r="E79" s="874"/>
      <c r="F79" s="874"/>
      <c r="G79" s="875" t="s">
        <v>499</v>
      </c>
      <c r="J79" s="887" t="s">
        <v>419</v>
      </c>
      <c r="O79" s="874"/>
      <c r="P79" s="874"/>
    </row>
    <row r="80" spans="1:16" s="554" customFormat="1" ht="24.95" customHeight="1" x14ac:dyDescent="0.35">
      <c r="A80" s="886" t="s">
        <v>421</v>
      </c>
      <c r="B80" s="556" t="s">
        <v>500</v>
      </c>
      <c r="D80" s="874" t="s">
        <v>92</v>
      </c>
      <c r="E80" s="874"/>
      <c r="F80" s="874"/>
      <c r="G80" s="875" t="s">
        <v>501</v>
      </c>
      <c r="J80" s="887" t="s">
        <v>419</v>
      </c>
      <c r="O80" s="874"/>
      <c r="P80" s="874"/>
    </row>
    <row r="81" spans="1:16" s="554" customFormat="1" ht="24.95" customHeight="1" x14ac:dyDescent="0.35">
      <c r="A81" s="886" t="s">
        <v>421</v>
      </c>
      <c r="B81" s="556" t="s">
        <v>301</v>
      </c>
      <c r="D81" s="874" t="s">
        <v>90</v>
      </c>
      <c r="E81" s="874"/>
      <c r="F81" s="874"/>
      <c r="G81" s="875" t="s">
        <v>503</v>
      </c>
      <c r="J81" s="887" t="s">
        <v>419</v>
      </c>
      <c r="O81" s="874"/>
      <c r="P81" s="874"/>
    </row>
    <row r="82" spans="1:16" s="554" customFormat="1" ht="24.95" customHeight="1" x14ac:dyDescent="0.35">
      <c r="A82" s="886" t="s">
        <v>421</v>
      </c>
      <c r="B82" s="556" t="s">
        <v>505</v>
      </c>
      <c r="D82" s="874" t="s">
        <v>92</v>
      </c>
      <c r="E82" s="874"/>
      <c r="F82" s="874"/>
      <c r="G82" s="875" t="s">
        <v>506</v>
      </c>
      <c r="J82" s="887">
        <v>130450</v>
      </c>
      <c r="O82" s="874"/>
      <c r="P82" s="874"/>
    </row>
    <row r="83" spans="1:16" s="554" customFormat="1" ht="24.95" customHeight="1" x14ac:dyDescent="0.35">
      <c r="A83" s="886">
        <v>45775</v>
      </c>
      <c r="B83" s="556" t="s">
        <v>507</v>
      </c>
      <c r="D83" s="874" t="s">
        <v>90</v>
      </c>
      <c r="E83" s="874"/>
      <c r="F83" s="874"/>
      <c r="G83" s="875" t="s">
        <v>522</v>
      </c>
      <c r="J83" s="887">
        <v>427000</v>
      </c>
      <c r="O83" s="874"/>
      <c r="P83" s="874"/>
    </row>
    <row r="84" spans="1:16" s="554" customFormat="1" ht="24.95" customHeight="1" x14ac:dyDescent="0.35">
      <c r="A84" s="886" t="s">
        <v>421</v>
      </c>
      <c r="B84" s="556" t="s">
        <v>454</v>
      </c>
      <c r="D84" s="874" t="s">
        <v>282</v>
      </c>
      <c r="E84" s="874"/>
      <c r="F84" s="874"/>
      <c r="G84" s="875" t="s">
        <v>509</v>
      </c>
      <c r="J84" s="887" t="s">
        <v>419</v>
      </c>
      <c r="O84" s="874"/>
      <c r="P84" s="874"/>
    </row>
    <row r="85" spans="1:16" s="554" customFormat="1" ht="24.95" customHeight="1" x14ac:dyDescent="0.35">
      <c r="A85" s="886" t="s">
        <v>421</v>
      </c>
      <c r="B85" s="556" t="s">
        <v>510</v>
      </c>
      <c r="D85" s="874" t="s">
        <v>476</v>
      </c>
      <c r="E85" s="874"/>
      <c r="F85" s="874"/>
      <c r="G85" s="875" t="s">
        <v>511</v>
      </c>
      <c r="J85" s="887">
        <v>89000</v>
      </c>
      <c r="O85" s="874"/>
      <c r="P85" s="874"/>
    </row>
    <row r="86" spans="1:16" s="554" customFormat="1" ht="24.95" customHeight="1" x14ac:dyDescent="0.35">
      <c r="A86" s="886" t="s">
        <v>421</v>
      </c>
      <c r="B86" s="556" t="s">
        <v>512</v>
      </c>
      <c r="D86" s="874" t="s">
        <v>476</v>
      </c>
      <c r="E86" s="874"/>
      <c r="F86" s="874"/>
      <c r="G86" s="875" t="s">
        <v>513</v>
      </c>
      <c r="J86" s="887" t="s">
        <v>419</v>
      </c>
      <c r="O86" s="874"/>
      <c r="P86" s="874"/>
    </row>
    <row r="87" spans="1:16" s="554" customFormat="1" ht="24.95" customHeight="1" x14ac:dyDescent="0.35">
      <c r="A87" s="886" t="s">
        <v>421</v>
      </c>
      <c r="B87" s="556" t="s">
        <v>237</v>
      </c>
      <c r="D87" s="874" t="s">
        <v>90</v>
      </c>
      <c r="E87" s="874"/>
      <c r="F87" s="874"/>
      <c r="G87" s="875" t="s">
        <v>514</v>
      </c>
      <c r="J87" s="887" t="s">
        <v>419</v>
      </c>
      <c r="O87" s="874"/>
      <c r="P87" s="874"/>
    </row>
    <row r="88" spans="1:16" s="554" customFormat="1" ht="24.95" customHeight="1" x14ac:dyDescent="0.35">
      <c r="A88" s="886">
        <v>45776</v>
      </c>
      <c r="B88" s="556" t="s">
        <v>321</v>
      </c>
      <c r="D88" s="874" t="s">
        <v>90</v>
      </c>
      <c r="E88" s="874"/>
      <c r="F88" s="874"/>
      <c r="G88" s="875" t="s">
        <v>515</v>
      </c>
      <c r="J88" s="887">
        <v>517500</v>
      </c>
      <c r="O88" s="874"/>
      <c r="P88" s="874"/>
    </row>
    <row r="89" spans="1:16" s="554" customFormat="1" ht="24.95" customHeight="1" x14ac:dyDescent="0.35">
      <c r="A89" s="886" t="s">
        <v>421</v>
      </c>
      <c r="B89" s="556" t="s">
        <v>281</v>
      </c>
      <c r="D89" s="874" t="s">
        <v>282</v>
      </c>
      <c r="E89" s="874"/>
      <c r="F89" s="874"/>
      <c r="G89" s="875" t="s">
        <v>517</v>
      </c>
      <c r="J89" s="888">
        <v>21271.4</v>
      </c>
      <c r="O89" s="874"/>
      <c r="P89" s="874"/>
    </row>
    <row r="90" spans="1:16" s="554" customFormat="1" ht="24.95" customHeight="1" x14ac:dyDescent="0.35">
      <c r="A90" s="886" t="s">
        <v>421</v>
      </c>
      <c r="B90" s="556" t="s">
        <v>281</v>
      </c>
      <c r="D90" s="874" t="s">
        <v>282</v>
      </c>
      <c r="E90" s="874"/>
      <c r="F90" s="874"/>
      <c r="G90" s="875" t="s">
        <v>518</v>
      </c>
      <c r="J90" s="888">
        <v>71587.199999999997</v>
      </c>
      <c r="O90" s="874"/>
      <c r="P90" s="874"/>
    </row>
    <row r="91" spans="1:16" s="554" customFormat="1" ht="24.95" customHeight="1" x14ac:dyDescent="0.35">
      <c r="A91" s="886">
        <v>45790</v>
      </c>
      <c r="B91" s="556" t="s">
        <v>483</v>
      </c>
      <c r="D91" s="874" t="s">
        <v>90</v>
      </c>
      <c r="E91" s="874"/>
      <c r="F91" s="874"/>
      <c r="G91" s="875" t="s">
        <v>520</v>
      </c>
      <c r="J91" s="888">
        <v>487467.5</v>
      </c>
      <c r="O91" s="874"/>
      <c r="P91" s="874"/>
    </row>
    <row r="92" spans="1:16" s="554" customFormat="1" ht="24.95" customHeight="1" x14ac:dyDescent="0.35">
      <c r="A92" s="886" t="s">
        <v>421</v>
      </c>
      <c r="B92" s="556" t="s">
        <v>281</v>
      </c>
      <c r="D92" s="874" t="s">
        <v>282</v>
      </c>
      <c r="E92" s="874"/>
      <c r="F92" s="874"/>
      <c r="G92" s="875" t="s">
        <v>523</v>
      </c>
      <c r="J92" s="888" t="s">
        <v>419</v>
      </c>
      <c r="O92" s="874"/>
      <c r="P92" s="874"/>
    </row>
    <row r="93" spans="1:16" s="554" customFormat="1" ht="24.95" customHeight="1" x14ac:dyDescent="0.35">
      <c r="A93" s="886" t="s">
        <v>421</v>
      </c>
      <c r="B93" s="556" t="s">
        <v>524</v>
      </c>
      <c r="D93" s="874" t="s">
        <v>92</v>
      </c>
      <c r="E93" s="874"/>
      <c r="F93" s="874"/>
      <c r="G93" s="875" t="s">
        <v>525</v>
      </c>
      <c r="J93" s="888">
        <v>116950</v>
      </c>
      <c r="O93" s="874"/>
      <c r="P93" s="874"/>
    </row>
    <row r="94" spans="1:16" s="554" customFormat="1" ht="24.95" customHeight="1" x14ac:dyDescent="0.35">
      <c r="A94" s="886" t="s">
        <v>421</v>
      </c>
      <c r="B94" s="556" t="s">
        <v>526</v>
      </c>
      <c r="D94" s="874" t="s">
        <v>532</v>
      </c>
      <c r="E94" s="874"/>
      <c r="F94" s="874"/>
      <c r="G94" s="875" t="s">
        <v>527</v>
      </c>
      <c r="J94" s="888">
        <v>105500</v>
      </c>
      <c r="O94" s="874"/>
      <c r="P94" s="874"/>
    </row>
    <row r="95" spans="1:16" s="554" customFormat="1" ht="24.95" customHeight="1" x14ac:dyDescent="0.35">
      <c r="A95" s="886" t="s">
        <v>421</v>
      </c>
      <c r="B95" s="556" t="s">
        <v>528</v>
      </c>
      <c r="D95" s="874" t="s">
        <v>90</v>
      </c>
      <c r="E95" s="874"/>
      <c r="F95" s="874"/>
      <c r="G95" s="875" t="s">
        <v>529</v>
      </c>
      <c r="J95" s="888" t="s">
        <v>419</v>
      </c>
      <c r="O95" s="874"/>
      <c r="P95" s="874"/>
    </row>
    <row r="96" spans="1:16" s="554" customFormat="1" ht="24.95" customHeight="1" x14ac:dyDescent="0.35">
      <c r="A96" s="886">
        <v>45801</v>
      </c>
      <c r="B96" s="556" t="s">
        <v>115</v>
      </c>
      <c r="D96" s="874" t="s">
        <v>90</v>
      </c>
      <c r="E96" s="874"/>
      <c r="F96" s="874"/>
      <c r="G96" s="875" t="s">
        <v>530</v>
      </c>
      <c r="J96" s="888" t="s">
        <v>419</v>
      </c>
      <c r="O96" s="874"/>
      <c r="P96" s="874"/>
    </row>
    <row r="97" spans="1:18" s="554" customFormat="1" ht="24.95" customHeight="1" x14ac:dyDescent="0.35">
      <c r="A97" s="886" t="s">
        <v>421</v>
      </c>
      <c r="B97" s="556" t="s">
        <v>115</v>
      </c>
      <c r="D97" s="874" t="s">
        <v>90</v>
      </c>
      <c r="E97" s="874"/>
      <c r="F97" s="874"/>
      <c r="G97" s="875" t="s">
        <v>531</v>
      </c>
      <c r="J97" s="888" t="s">
        <v>419</v>
      </c>
      <c r="O97" s="874"/>
      <c r="P97" s="874"/>
    </row>
    <row r="98" spans="1:18" s="554" customFormat="1" ht="24.95" customHeight="1" x14ac:dyDescent="0.35">
      <c r="A98" s="886">
        <v>45804</v>
      </c>
      <c r="B98" s="556" t="s">
        <v>533</v>
      </c>
      <c r="D98" s="874" t="s">
        <v>92</v>
      </c>
      <c r="E98" s="874"/>
      <c r="F98" s="874"/>
      <c r="G98" s="875" t="s">
        <v>534</v>
      </c>
      <c r="J98" s="888" t="s">
        <v>419</v>
      </c>
      <c r="O98" s="874"/>
      <c r="P98" s="874"/>
    </row>
    <row r="99" spans="1:18" s="554" customFormat="1" ht="24.95" customHeight="1" x14ac:dyDescent="0.35">
      <c r="A99" s="886" t="s">
        <v>421</v>
      </c>
      <c r="B99" s="556" t="s">
        <v>535</v>
      </c>
      <c r="D99" s="874" t="s">
        <v>282</v>
      </c>
      <c r="E99" s="874"/>
      <c r="F99" s="874"/>
      <c r="G99" s="875" t="s">
        <v>536</v>
      </c>
      <c r="J99" s="888">
        <v>35800</v>
      </c>
      <c r="O99" s="874"/>
      <c r="P99" s="874"/>
    </row>
    <row r="100" spans="1:18" s="554" customFormat="1" ht="24.95" customHeight="1" x14ac:dyDescent="0.35">
      <c r="A100" s="886" t="s">
        <v>421</v>
      </c>
      <c r="B100" s="556" t="s">
        <v>115</v>
      </c>
      <c r="D100" s="874" t="s">
        <v>90</v>
      </c>
      <c r="E100" s="874"/>
      <c r="F100" s="874"/>
      <c r="G100" s="875" t="s">
        <v>537</v>
      </c>
      <c r="J100" s="888" t="s">
        <v>538</v>
      </c>
      <c r="O100" s="874"/>
      <c r="P100" s="874"/>
    </row>
    <row r="101" spans="1:18" s="554" customFormat="1" ht="24.95" customHeight="1" x14ac:dyDescent="0.35">
      <c r="A101" s="886">
        <v>45806</v>
      </c>
      <c r="B101" s="556" t="s">
        <v>446</v>
      </c>
      <c r="D101" s="874" t="s">
        <v>90</v>
      </c>
      <c r="E101" s="874"/>
      <c r="F101" s="874"/>
      <c r="G101" s="875" t="s">
        <v>539</v>
      </c>
      <c r="J101" s="888">
        <v>399500</v>
      </c>
      <c r="O101" s="874"/>
      <c r="P101" s="874"/>
    </row>
    <row r="102" spans="1:18" s="554" customFormat="1" ht="24.95" customHeight="1" x14ac:dyDescent="0.35">
      <c r="A102" s="886" t="s">
        <v>421</v>
      </c>
      <c r="B102" s="556" t="s">
        <v>446</v>
      </c>
      <c r="D102" s="874" t="s">
        <v>90</v>
      </c>
      <c r="E102" s="874"/>
      <c r="F102" s="874"/>
      <c r="G102" s="875" t="s">
        <v>540</v>
      </c>
      <c r="J102" s="888" t="s">
        <v>419</v>
      </c>
      <c r="O102" s="874"/>
      <c r="P102" s="874"/>
    </row>
    <row r="103" spans="1:18" s="554" customFormat="1" ht="24.95" customHeight="1" x14ac:dyDescent="0.35">
      <c r="A103" s="886" t="s">
        <v>421</v>
      </c>
      <c r="B103" s="556" t="s">
        <v>541</v>
      </c>
      <c r="D103" s="874" t="s">
        <v>94</v>
      </c>
      <c r="E103" s="874"/>
      <c r="F103" s="874"/>
      <c r="G103" s="875" t="s">
        <v>542</v>
      </c>
      <c r="J103" s="888" t="s">
        <v>419</v>
      </c>
      <c r="O103" s="874"/>
      <c r="P103" s="874"/>
    </row>
    <row r="104" spans="1:18" s="554" customFormat="1" ht="24.95" customHeight="1" x14ac:dyDescent="0.35">
      <c r="A104" s="886">
        <v>45807</v>
      </c>
      <c r="B104" s="556" t="s">
        <v>428</v>
      </c>
      <c r="D104" s="874" t="s">
        <v>92</v>
      </c>
      <c r="E104" s="874"/>
      <c r="F104" s="874"/>
      <c r="G104" s="875" t="s">
        <v>543</v>
      </c>
      <c r="J104" s="888">
        <v>192500</v>
      </c>
      <c r="O104" s="874"/>
      <c r="P104" s="874"/>
    </row>
    <row r="105" spans="1:18" s="889" customFormat="1" ht="24.95" customHeight="1" x14ac:dyDescent="0.35">
      <c r="A105" s="698"/>
      <c r="B105" s="699" t="s">
        <v>7</v>
      </c>
      <c r="C105" s="700"/>
      <c r="D105" s="612" t="s">
        <v>140</v>
      </c>
      <c r="E105" s="700"/>
      <c r="F105" s="700"/>
      <c r="G105" s="614"/>
      <c r="H105" s="701"/>
      <c r="I105" s="702"/>
      <c r="J105" s="703">
        <f>SUM(J57:J104)</f>
        <v>7594429.5200000005</v>
      </c>
      <c r="K105" s="703">
        <f>SUM(K51:K68)</f>
        <v>254000</v>
      </c>
      <c r="L105" s="704">
        <f>SUM(L48:L54)</f>
        <v>297900</v>
      </c>
      <c r="M105" s="703">
        <f>SUM(M45:M54)</f>
        <v>631059.82000000007</v>
      </c>
      <c r="N105" s="703"/>
      <c r="O105" s="703">
        <f>SUM(O7:O91)</f>
        <v>7164580.21</v>
      </c>
      <c r="P105" s="705"/>
      <c r="Q105" s="706">
        <f>SUM(J105:P105)</f>
        <v>15941969.550000001</v>
      </c>
      <c r="R105" s="707"/>
    </row>
    <row r="106" spans="1:18" ht="24.95" customHeight="1" x14ac:dyDescent="0.35">
      <c r="A106" s="656" t="s">
        <v>64</v>
      </c>
      <c r="F106" s="658" t="s">
        <v>64</v>
      </c>
      <c r="H106" s="660"/>
    </row>
    <row r="107" spans="1:18" ht="24.95" customHeight="1" x14ac:dyDescent="0.35">
      <c r="H107" s="660"/>
    </row>
    <row r="108" spans="1:18" ht="24.95" customHeight="1" x14ac:dyDescent="0.35">
      <c r="E108" s="524" t="s">
        <v>486</v>
      </c>
      <c r="O108" s="662"/>
    </row>
    <row r="109" spans="1:18" ht="24.95" customHeight="1" x14ac:dyDescent="0.35">
      <c r="F109" s="658" t="s">
        <v>64</v>
      </c>
      <c r="O109" s="662"/>
    </row>
    <row r="110" spans="1:18" ht="23.25" customHeight="1" x14ac:dyDescent="0.35">
      <c r="G110" s="524"/>
      <c r="H110" s="524"/>
      <c r="I110" s="524"/>
      <c r="J110" s="524" t="s">
        <v>64</v>
      </c>
      <c r="K110" s="524"/>
      <c r="O110" s="662"/>
      <c r="P110" s="524"/>
    </row>
    <row r="111" spans="1:18" ht="24.95" customHeight="1" x14ac:dyDescent="0.35">
      <c r="O111" s="662"/>
      <c r="Q111" s="662"/>
    </row>
    <row r="112" spans="1:18" ht="24.95" customHeight="1" x14ac:dyDescent="0.35">
      <c r="O112" s="662"/>
    </row>
    <row r="113" spans="15:15" ht="24.95" customHeight="1" x14ac:dyDescent="0.35">
      <c r="O113" s="662"/>
    </row>
    <row r="114" spans="15:15" ht="24.95" customHeight="1" x14ac:dyDescent="0.35">
      <c r="O114" s="662"/>
    </row>
    <row r="115" spans="15:15" ht="24.95" customHeight="1" x14ac:dyDescent="0.35">
      <c r="O115" s="662"/>
    </row>
    <row r="116" spans="15:15" ht="24.95" customHeight="1" x14ac:dyDescent="0.35">
      <c r="O116" s="662"/>
    </row>
    <row r="117" spans="15:15" ht="24.95" customHeight="1" x14ac:dyDescent="0.35">
      <c r="O117" s="662"/>
    </row>
    <row r="118" spans="15:15" ht="24.95" customHeight="1" x14ac:dyDescent="0.35">
      <c r="O118" s="662"/>
    </row>
    <row r="119" spans="15:15" ht="24.95" customHeight="1" x14ac:dyDescent="0.35">
      <c r="O119" s="665"/>
    </row>
    <row r="120" spans="15:15" ht="24.95" customHeight="1" x14ac:dyDescent="0.35">
      <c r="O120" s="666"/>
    </row>
    <row r="121" spans="15:15" ht="24.95" customHeight="1" x14ac:dyDescent="0.35">
      <c r="O121" s="667"/>
    </row>
    <row r="122" spans="15:15" ht="24.95" customHeight="1" x14ac:dyDescent="0.35">
      <c r="O122" s="666"/>
    </row>
    <row r="123" spans="15:15" ht="24.95" customHeight="1" x14ac:dyDescent="0.35">
      <c r="O123" s="667"/>
    </row>
  </sheetData>
  <pageMargins left="0.70866141732283472" right="0.70866141732283472" top="0.74803149606299213" bottom="0.74803149606299213" header="0.31496062992125984" footer="0.31496062992125984"/>
  <pageSetup paperSize="9" scale="35"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9"/>
  <sheetViews>
    <sheetView topLeftCell="A95" workbookViewId="0">
      <selection activeCell="K84" sqref="K84"/>
    </sheetView>
  </sheetViews>
  <sheetFormatPr defaultColWidth="23.85546875" defaultRowHeight="23.25" x14ac:dyDescent="0.35"/>
  <cols>
    <col min="1" max="1" width="23.85546875" style="923"/>
    <col min="2" max="2" width="42.85546875" style="554" customWidth="1"/>
    <col min="3" max="3" width="15.85546875" style="565" customWidth="1"/>
    <col min="4" max="4" width="13" style="924" customWidth="1"/>
    <col min="5" max="5" width="14.28515625" style="565" customWidth="1"/>
    <col min="6" max="6" width="12.28515625" style="925" customWidth="1"/>
    <col min="7" max="7" width="23.85546875" style="926"/>
    <col min="8" max="8" width="13.85546875" style="930" customWidth="1"/>
    <col min="9" max="9" width="23.7109375" style="928" customWidth="1"/>
    <col min="10" max="10" width="21.28515625" style="562" customWidth="1"/>
    <col min="11" max="11" width="25.5703125" style="562" customWidth="1"/>
    <col min="12" max="12" width="23.42578125" style="562" customWidth="1"/>
    <col min="13" max="13" width="26.42578125" style="562" customWidth="1"/>
    <col min="14" max="14" width="23.85546875" style="562"/>
    <col min="15" max="15" width="23.85546875" style="565"/>
    <col min="16" max="16" width="23.85546875" style="929"/>
    <col min="17" max="16384" width="23.85546875" style="565"/>
  </cols>
  <sheetData>
    <row r="1" spans="1:25" ht="24.95" customHeight="1" x14ac:dyDescent="0.35">
      <c r="A1" s="901" t="s">
        <v>8</v>
      </c>
      <c r="B1" s="902"/>
      <c r="C1" s="903"/>
      <c r="D1" s="904"/>
      <c r="E1" s="903"/>
      <c r="F1" s="903"/>
      <c r="G1" s="905"/>
      <c r="H1" s="906"/>
      <c r="I1" s="907"/>
      <c r="J1" s="908"/>
      <c r="K1" s="908"/>
      <c r="L1" s="908"/>
      <c r="M1" s="908"/>
      <c r="N1" s="908"/>
      <c r="O1" s="909"/>
      <c r="P1" s="910"/>
    </row>
    <row r="2" spans="1:25" ht="24.95" customHeight="1" x14ac:dyDescent="0.35">
      <c r="A2" s="911" t="s">
        <v>9</v>
      </c>
      <c r="B2" s="608"/>
      <c r="C2" s="557"/>
      <c r="D2" s="558"/>
      <c r="E2" s="557"/>
      <c r="F2" s="557"/>
      <c r="G2" s="559"/>
      <c r="H2" s="912"/>
      <c r="I2" s="651"/>
      <c r="J2" s="652"/>
      <c r="K2" s="652"/>
      <c r="L2" s="652"/>
      <c r="M2" s="652"/>
      <c r="N2" s="652"/>
      <c r="O2" s="913"/>
      <c r="P2" s="914"/>
    </row>
    <row r="3" spans="1:25" ht="24.95" customHeight="1" x14ac:dyDescent="0.35">
      <c r="A3" s="911" t="s">
        <v>10</v>
      </c>
      <c r="B3" s="608"/>
      <c r="C3" s="557"/>
      <c r="D3" s="558"/>
      <c r="E3" s="557"/>
      <c r="F3" s="557"/>
      <c r="G3" s="559"/>
      <c r="H3" s="912"/>
      <c r="I3" s="651"/>
      <c r="J3" s="652"/>
      <c r="K3" s="652"/>
      <c r="L3" s="652"/>
      <c r="M3" s="652"/>
      <c r="N3" s="652"/>
      <c r="O3" s="913"/>
      <c r="P3" s="914"/>
    </row>
    <row r="4" spans="1:25" ht="24.95" customHeight="1" x14ac:dyDescent="0.35">
      <c r="A4" s="911" t="s">
        <v>581</v>
      </c>
      <c r="B4" s="608"/>
      <c r="C4" s="557"/>
      <c r="D4" s="558"/>
      <c r="E4" s="557"/>
      <c r="F4" s="557"/>
      <c r="G4" s="559"/>
      <c r="H4" s="912"/>
      <c r="I4" s="651"/>
      <c r="J4" s="652"/>
      <c r="K4" s="652"/>
      <c r="L4" s="652"/>
      <c r="M4" s="652"/>
      <c r="N4" s="652"/>
      <c r="O4" s="913"/>
      <c r="P4" s="914"/>
    </row>
    <row r="5" spans="1:25" ht="24.95" customHeight="1" x14ac:dyDescent="0.35">
      <c r="A5" s="544"/>
      <c r="B5" s="608"/>
      <c r="C5" s="557"/>
      <c r="D5" s="558"/>
      <c r="E5" s="557"/>
      <c r="F5" s="557"/>
      <c r="G5" s="559"/>
      <c r="H5" s="560"/>
      <c r="I5" s="915"/>
      <c r="J5" s="916"/>
      <c r="K5" s="916"/>
      <c r="L5" s="916"/>
      <c r="M5" s="916"/>
      <c r="N5" s="916"/>
      <c r="O5" s="916"/>
      <c r="P5" s="866"/>
    </row>
    <row r="6" spans="1:25"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25" ht="24.95" customHeight="1" x14ac:dyDescent="0.35">
      <c r="A7" s="555">
        <v>43878</v>
      </c>
      <c r="B7" s="556" t="s">
        <v>63</v>
      </c>
      <c r="C7" s="557"/>
      <c r="D7" s="558" t="s">
        <v>90</v>
      </c>
      <c r="E7" s="557"/>
      <c r="F7" s="557"/>
      <c r="G7" s="897" t="s">
        <v>102</v>
      </c>
      <c r="H7" s="560"/>
      <c r="I7" s="865"/>
      <c r="J7" s="559"/>
      <c r="L7" s="551"/>
      <c r="M7" s="551"/>
      <c r="N7" s="551"/>
      <c r="O7" s="865">
        <v>33421.01</v>
      </c>
      <c r="P7" s="866" t="s">
        <v>22</v>
      </c>
    </row>
    <row r="8" spans="1:25" s="576" customFormat="1" ht="24.95" customHeight="1" x14ac:dyDescent="0.35">
      <c r="A8" s="867">
        <v>44092</v>
      </c>
      <c r="B8" s="558" t="s">
        <v>78</v>
      </c>
      <c r="C8" s="557"/>
      <c r="D8" s="568" t="s">
        <v>92</v>
      </c>
      <c r="E8" s="557"/>
      <c r="F8" s="868"/>
      <c r="G8" s="898" t="s">
        <v>77</v>
      </c>
      <c r="H8" s="560"/>
      <c r="I8" s="870"/>
      <c r="J8" s="871"/>
      <c r="K8" s="871"/>
      <c r="L8" s="871"/>
      <c r="M8" s="871"/>
      <c r="N8" s="871"/>
      <c r="O8" s="574">
        <v>108000</v>
      </c>
      <c r="P8" s="866"/>
    </row>
    <row r="9" spans="1:25" s="587" customFormat="1" ht="24.95" customHeight="1" x14ac:dyDescent="0.35">
      <c r="A9" s="589">
        <v>44352</v>
      </c>
      <c r="B9" s="558" t="s">
        <v>107</v>
      </c>
      <c r="C9" s="579"/>
      <c r="D9" s="580" t="s">
        <v>90</v>
      </c>
      <c r="E9" s="581"/>
      <c r="F9" s="581">
        <v>1918</v>
      </c>
      <c r="G9" s="586">
        <v>4457</v>
      </c>
      <c r="H9" s="583"/>
      <c r="I9" s="584"/>
      <c r="J9" s="584"/>
      <c r="K9" s="584"/>
      <c r="L9" s="584"/>
      <c r="M9" s="584"/>
      <c r="N9" s="584"/>
      <c r="O9" s="585">
        <v>36289.599999999999</v>
      </c>
      <c r="P9" s="586"/>
    </row>
    <row r="10" spans="1:25" s="587" customFormat="1" ht="24.95" customHeight="1" x14ac:dyDescent="0.35">
      <c r="A10" s="589">
        <v>44413</v>
      </c>
      <c r="B10" s="558" t="s">
        <v>107</v>
      </c>
      <c r="C10" s="579"/>
      <c r="D10" s="580" t="s">
        <v>90</v>
      </c>
      <c r="E10" s="581"/>
      <c r="F10" s="581"/>
      <c r="G10" s="586">
        <v>4457</v>
      </c>
      <c r="H10" s="583"/>
      <c r="I10" s="584"/>
      <c r="J10" s="584"/>
      <c r="K10" s="584"/>
      <c r="L10" s="584"/>
      <c r="M10" s="584"/>
      <c r="N10" s="584"/>
      <c r="O10" s="585">
        <v>176976.8</v>
      </c>
      <c r="P10" s="586"/>
    </row>
    <row r="11" spans="1:25" s="587" customFormat="1" ht="24.95" customHeight="1" x14ac:dyDescent="0.35">
      <c r="A11" s="589">
        <v>44420</v>
      </c>
      <c r="B11" s="556" t="s">
        <v>108</v>
      </c>
      <c r="C11" s="579"/>
      <c r="D11" s="558" t="s">
        <v>90</v>
      </c>
      <c r="E11" s="581"/>
      <c r="F11" s="581"/>
      <c r="G11" s="899" t="s">
        <v>120</v>
      </c>
      <c r="H11" s="583"/>
      <c r="I11" s="584"/>
      <c r="J11" s="584"/>
      <c r="K11" s="584"/>
      <c r="L11" s="584"/>
      <c r="M11" s="584"/>
      <c r="N11" s="584"/>
      <c r="O11" s="584">
        <v>470000</v>
      </c>
      <c r="P11" s="586"/>
      <c r="R11" s="587" t="s">
        <v>121</v>
      </c>
    </row>
    <row r="12" spans="1:25" s="587" customFormat="1" ht="24.95" customHeight="1" x14ac:dyDescent="0.35">
      <c r="A12" s="589">
        <v>44474</v>
      </c>
      <c r="B12" s="556" t="s">
        <v>110</v>
      </c>
      <c r="C12" s="579"/>
      <c r="D12" s="558" t="s">
        <v>92</v>
      </c>
      <c r="E12" s="581"/>
      <c r="F12" s="590"/>
      <c r="G12" s="899" t="s">
        <v>111</v>
      </c>
      <c r="H12" s="583"/>
      <c r="I12" s="591"/>
      <c r="J12" s="591"/>
      <c r="K12" s="592"/>
      <c r="L12" s="592"/>
      <c r="M12" s="592"/>
      <c r="N12" s="592"/>
      <c r="O12" s="592">
        <v>40000</v>
      </c>
      <c r="P12" s="586" t="s">
        <v>22</v>
      </c>
      <c r="R12" s="593" t="s">
        <v>112</v>
      </c>
    </row>
    <row r="13" spans="1:25" s="580" customFormat="1" ht="24.95" customHeight="1" x14ac:dyDescent="0.35">
      <c r="A13" s="589">
        <v>44480</v>
      </c>
      <c r="B13" s="556" t="s">
        <v>43</v>
      </c>
      <c r="C13" s="579"/>
      <c r="D13" s="586" t="s">
        <v>90</v>
      </c>
      <c r="E13" s="581"/>
      <c r="F13" s="590">
        <v>2019</v>
      </c>
      <c r="G13" s="899" t="s">
        <v>132</v>
      </c>
      <c r="H13" s="583"/>
      <c r="I13" s="591"/>
      <c r="J13" s="591"/>
      <c r="K13" s="594"/>
      <c r="L13" s="594"/>
      <c r="M13" s="594"/>
      <c r="N13" s="594"/>
      <c r="O13" s="594">
        <v>147281.20000000001</v>
      </c>
      <c r="P13" s="586"/>
      <c r="R13" s="593" t="s">
        <v>133</v>
      </c>
    </row>
    <row r="14" spans="1:25" s="587"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R14" s="587" t="s">
        <v>126</v>
      </c>
    </row>
    <row r="15" spans="1:25" s="587" customFormat="1" ht="24.95" customHeight="1" x14ac:dyDescent="0.35">
      <c r="A15" s="589">
        <v>44607</v>
      </c>
      <c r="B15" s="596" t="s">
        <v>59</v>
      </c>
      <c r="C15" s="579"/>
      <c r="D15" s="558" t="s">
        <v>90</v>
      </c>
      <c r="E15" s="581" t="s">
        <v>135</v>
      </c>
      <c r="F15" s="581"/>
      <c r="G15" s="899" t="s">
        <v>131</v>
      </c>
      <c r="H15" s="583"/>
      <c r="I15" s="591"/>
      <c r="J15" s="591"/>
      <c r="K15" s="591"/>
      <c r="L15" s="591"/>
      <c r="M15" s="591"/>
      <c r="N15" s="591"/>
      <c r="O15" s="591">
        <v>16076.04</v>
      </c>
      <c r="P15" s="591" t="s">
        <v>22</v>
      </c>
      <c r="R15" s="593" t="s">
        <v>134</v>
      </c>
    </row>
    <row r="16" spans="1:25" s="896" customFormat="1" ht="24.95" customHeight="1" x14ac:dyDescent="0.4">
      <c r="A16" s="895">
        <v>44609</v>
      </c>
      <c r="B16" s="917" t="s">
        <v>59</v>
      </c>
      <c r="C16" s="917"/>
      <c r="D16" s="917" t="s">
        <v>90</v>
      </c>
      <c r="E16" s="918" t="s">
        <v>129</v>
      </c>
      <c r="F16" s="918"/>
      <c r="G16" s="919" t="s">
        <v>118</v>
      </c>
      <c r="H16" s="917"/>
      <c r="I16" s="917"/>
      <c r="J16" s="917"/>
      <c r="K16" s="917"/>
      <c r="L16" s="917"/>
      <c r="M16" s="917"/>
      <c r="N16" s="917"/>
      <c r="O16" s="920">
        <v>7186.99</v>
      </c>
      <c r="P16" s="917" t="s">
        <v>22</v>
      </c>
      <c r="Q16" s="917"/>
      <c r="R16" s="917" t="s">
        <v>130</v>
      </c>
      <c r="S16" s="917"/>
      <c r="T16" s="917"/>
      <c r="U16" s="917"/>
      <c r="V16" s="917"/>
      <c r="W16" s="917"/>
      <c r="X16" s="917"/>
      <c r="Y16" s="917"/>
    </row>
    <row r="17" spans="1:27" s="587" customFormat="1" ht="24.95" customHeight="1" x14ac:dyDescent="0.35">
      <c r="A17" s="589">
        <v>44614</v>
      </c>
      <c r="B17" s="556" t="s">
        <v>136</v>
      </c>
      <c r="C17" s="579"/>
      <c r="D17" s="558" t="s">
        <v>92</v>
      </c>
      <c r="E17" s="581"/>
      <c r="F17" s="581"/>
      <c r="G17" s="899" t="s">
        <v>376</v>
      </c>
      <c r="H17" s="583"/>
      <c r="I17" s="591"/>
      <c r="J17" s="591"/>
      <c r="K17" s="591"/>
      <c r="L17" s="591"/>
      <c r="M17" s="591"/>
      <c r="N17" s="591"/>
      <c r="O17" s="591">
        <v>526625</v>
      </c>
      <c r="P17" s="591"/>
      <c r="R17" s="587" t="s">
        <v>193</v>
      </c>
    </row>
    <row r="18" spans="1:27" s="587"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R18" s="587" t="s">
        <v>138</v>
      </c>
    </row>
    <row r="19" spans="1:27" s="587"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R19" s="587" t="s">
        <v>139</v>
      </c>
    </row>
    <row r="20" spans="1:27" s="587" customFormat="1" ht="24.95" customHeight="1" x14ac:dyDescent="0.35">
      <c r="A20" s="589">
        <v>44711</v>
      </c>
      <c r="B20" s="556" t="s">
        <v>153</v>
      </c>
      <c r="C20" s="579"/>
      <c r="D20" s="558" t="s">
        <v>92</v>
      </c>
      <c r="E20" s="581"/>
      <c r="F20" s="581"/>
      <c r="G20" s="899" t="s">
        <v>181</v>
      </c>
      <c r="H20" s="583"/>
      <c r="I20" s="591"/>
      <c r="J20" s="591"/>
      <c r="K20" s="591"/>
      <c r="L20" s="591"/>
      <c r="M20" s="591"/>
      <c r="N20" s="591"/>
      <c r="O20" s="591">
        <v>164667</v>
      </c>
      <c r="P20" s="592"/>
      <c r="R20" s="593" t="s">
        <v>182</v>
      </c>
    </row>
    <row r="21" spans="1:27" s="605" customFormat="1" ht="24.95" customHeight="1" x14ac:dyDescent="0.4">
      <c r="A21" s="597">
        <v>44714</v>
      </c>
      <c r="B21" s="917" t="s">
        <v>59</v>
      </c>
      <c r="C21" s="917"/>
      <c r="D21" s="917" t="s">
        <v>90</v>
      </c>
      <c r="E21" s="918"/>
      <c r="F21" s="918">
        <v>2062</v>
      </c>
      <c r="G21" s="919" t="s">
        <v>118</v>
      </c>
      <c r="H21" s="917"/>
      <c r="I21" s="917"/>
      <c r="J21" s="917"/>
      <c r="K21" s="917"/>
      <c r="L21" s="917"/>
      <c r="M21" s="917"/>
      <c r="N21" s="917"/>
      <c r="O21" s="921">
        <v>77456</v>
      </c>
      <c r="P21" s="917" t="s">
        <v>22</v>
      </c>
      <c r="Q21" s="917"/>
      <c r="R21" s="917" t="s">
        <v>142</v>
      </c>
      <c r="S21" s="917"/>
      <c r="T21" s="917"/>
      <c r="U21" s="917"/>
      <c r="V21" s="917"/>
      <c r="W21" s="917"/>
      <c r="X21" s="917"/>
      <c r="Y21" s="917"/>
    </row>
    <row r="22" spans="1:27" s="605" customFormat="1" ht="24.95" customHeight="1" x14ac:dyDescent="0.4">
      <c r="A22" s="597">
        <v>44714</v>
      </c>
      <c r="B22" s="917" t="s">
        <v>59</v>
      </c>
      <c r="C22" s="917"/>
      <c r="D22" s="917" t="s">
        <v>90</v>
      </c>
      <c r="E22" s="918" t="s">
        <v>143</v>
      </c>
      <c r="F22" s="918"/>
      <c r="G22" s="919" t="s">
        <v>118</v>
      </c>
      <c r="H22" s="917"/>
      <c r="I22" s="917"/>
      <c r="J22" s="917"/>
      <c r="K22" s="917"/>
      <c r="L22" s="917"/>
      <c r="M22" s="917"/>
      <c r="N22" s="917"/>
      <c r="O22" s="920">
        <v>72499.08</v>
      </c>
      <c r="P22" s="917" t="s">
        <v>22</v>
      </c>
      <c r="Q22" s="917"/>
      <c r="R22" s="917" t="s">
        <v>144</v>
      </c>
      <c r="S22" s="917"/>
      <c r="T22" s="917"/>
      <c r="U22" s="917"/>
      <c r="V22" s="917"/>
      <c r="W22" s="917"/>
      <c r="X22" s="917"/>
      <c r="Y22" s="917"/>
    </row>
    <row r="23" spans="1:27" s="605" customFormat="1" ht="24.95" customHeight="1" x14ac:dyDescent="0.4">
      <c r="A23" s="597">
        <v>44741</v>
      </c>
      <c r="B23" s="917" t="s">
        <v>59</v>
      </c>
      <c r="C23" s="917"/>
      <c r="D23" s="917" t="s">
        <v>90</v>
      </c>
      <c r="E23" s="918" t="s">
        <v>166</v>
      </c>
      <c r="F23" s="918"/>
      <c r="G23" s="922">
        <v>5908</v>
      </c>
      <c r="H23" s="917"/>
      <c r="I23" s="917"/>
      <c r="J23" s="917"/>
      <c r="K23" s="917"/>
      <c r="L23" s="917"/>
      <c r="M23" s="917"/>
      <c r="N23" s="917"/>
      <c r="O23" s="917">
        <v>510</v>
      </c>
      <c r="P23" s="917" t="s">
        <v>22</v>
      </c>
      <c r="Q23" s="917"/>
      <c r="R23" s="917" t="s">
        <v>167</v>
      </c>
      <c r="S23" s="917"/>
      <c r="T23" s="917"/>
      <c r="U23" s="917"/>
      <c r="V23" s="917"/>
      <c r="W23" s="917"/>
      <c r="X23" s="917"/>
      <c r="Y23" s="917"/>
    </row>
    <row r="24" spans="1:27" s="587" customFormat="1" ht="24.95" customHeight="1" x14ac:dyDescent="0.35">
      <c r="A24" s="589">
        <v>44768</v>
      </c>
      <c r="B24" s="556" t="s">
        <v>159</v>
      </c>
      <c r="C24" s="579"/>
      <c r="D24" s="558" t="s">
        <v>90</v>
      </c>
      <c r="E24" s="581"/>
      <c r="F24" s="581"/>
      <c r="G24" s="899" t="s">
        <v>151</v>
      </c>
      <c r="H24" s="583"/>
      <c r="I24" s="591"/>
      <c r="J24" s="591"/>
      <c r="K24" s="591"/>
      <c r="L24" s="591"/>
      <c r="M24" s="591"/>
      <c r="N24" s="591"/>
      <c r="O24" s="629" t="s">
        <v>479</v>
      </c>
      <c r="P24" s="591" t="s">
        <v>22</v>
      </c>
      <c r="R24" s="608" t="s">
        <v>199</v>
      </c>
    </row>
    <row r="25" spans="1:27" s="587" customFormat="1" ht="24.95" customHeight="1" x14ac:dyDescent="0.35">
      <c r="A25" s="589">
        <v>44786</v>
      </c>
      <c r="B25" s="556" t="s">
        <v>150</v>
      </c>
      <c r="C25" s="579"/>
      <c r="D25" s="558" t="s">
        <v>94</v>
      </c>
      <c r="E25" s="581"/>
      <c r="F25" s="581">
        <v>2136</v>
      </c>
      <c r="G25" s="899" t="s">
        <v>170</v>
      </c>
      <c r="H25" s="583"/>
      <c r="I25" s="591"/>
      <c r="J25" s="591"/>
      <c r="K25" s="591"/>
      <c r="L25" s="591"/>
      <c r="M25" s="592"/>
      <c r="N25" s="591"/>
      <c r="O25" s="591">
        <v>193400</v>
      </c>
      <c r="P25" s="586" t="s">
        <v>22</v>
      </c>
      <c r="R25" s="593" t="s">
        <v>171</v>
      </c>
    </row>
    <row r="26" spans="1:27" s="587"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R26" s="593" t="s">
        <v>174</v>
      </c>
    </row>
    <row r="27" spans="1:27" s="587"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R27" s="593" t="s">
        <v>160</v>
      </c>
    </row>
    <row r="28" spans="1:27" s="605" customFormat="1" ht="24.95" customHeight="1" x14ac:dyDescent="0.4">
      <c r="A28" s="597">
        <v>44855</v>
      </c>
      <c r="B28" s="917" t="s">
        <v>59</v>
      </c>
      <c r="C28" s="917"/>
      <c r="D28" s="917" t="s">
        <v>90</v>
      </c>
      <c r="E28" s="918" t="s">
        <v>164</v>
      </c>
      <c r="F28" s="918"/>
      <c r="G28" s="922">
        <v>5739</v>
      </c>
      <c r="H28" s="917"/>
      <c r="I28" s="917"/>
      <c r="J28" s="917"/>
      <c r="K28" s="917"/>
      <c r="L28" s="917"/>
      <c r="M28" s="917"/>
      <c r="N28" s="917"/>
      <c r="O28" s="921">
        <v>6650</v>
      </c>
      <c r="P28" s="917" t="s">
        <v>22</v>
      </c>
      <c r="Q28" s="917"/>
      <c r="R28" s="917" t="s">
        <v>165</v>
      </c>
      <c r="S28" s="917"/>
      <c r="T28" s="917"/>
      <c r="U28" s="917"/>
      <c r="V28" s="917"/>
      <c r="W28" s="917"/>
      <c r="X28" s="917"/>
      <c r="Y28" s="917"/>
      <c r="Z28" s="917"/>
      <c r="AA28" s="917"/>
    </row>
    <row r="29" spans="1:27" s="605" customFormat="1" ht="24.95" customHeight="1" x14ac:dyDescent="0.4">
      <c r="A29" s="597">
        <v>44855</v>
      </c>
      <c r="B29" s="917" t="s">
        <v>59</v>
      </c>
      <c r="C29" s="917"/>
      <c r="D29" s="917" t="s">
        <v>90</v>
      </c>
      <c r="E29" s="918" t="s">
        <v>168</v>
      </c>
      <c r="F29" s="918"/>
      <c r="G29" s="919" t="s">
        <v>118</v>
      </c>
      <c r="H29" s="917"/>
      <c r="I29" s="917"/>
      <c r="J29" s="917"/>
      <c r="K29" s="917"/>
      <c r="L29" s="917"/>
      <c r="M29" s="917"/>
      <c r="N29" s="917"/>
      <c r="O29" s="921">
        <v>3000</v>
      </c>
      <c r="P29" s="917" t="s">
        <v>22</v>
      </c>
      <c r="Q29" s="917"/>
      <c r="R29" s="917" t="s">
        <v>169</v>
      </c>
      <c r="S29" s="917"/>
      <c r="T29" s="917"/>
      <c r="U29" s="917"/>
      <c r="V29" s="917"/>
      <c r="W29" s="917"/>
      <c r="X29" s="917"/>
      <c r="Y29" s="917"/>
      <c r="Z29" s="917"/>
      <c r="AA29" s="917"/>
    </row>
    <row r="30" spans="1:27" s="605" customFormat="1" ht="24.95" customHeight="1" x14ac:dyDescent="0.4">
      <c r="A30" s="597">
        <v>44916</v>
      </c>
      <c r="B30" s="917" t="s">
        <v>59</v>
      </c>
      <c r="C30" s="917"/>
      <c r="D30" s="917" t="s">
        <v>90</v>
      </c>
      <c r="E30" s="918"/>
      <c r="F30" s="918">
        <v>2176</v>
      </c>
      <c r="G30" s="919" t="s">
        <v>118</v>
      </c>
      <c r="H30" s="917"/>
      <c r="I30" s="917"/>
      <c r="J30" s="917"/>
      <c r="K30" s="917"/>
      <c r="L30" s="917"/>
      <c r="M30" s="917"/>
      <c r="N30" s="917"/>
      <c r="O30" s="921">
        <v>186146</v>
      </c>
      <c r="P30" s="918"/>
      <c r="Q30" s="917"/>
      <c r="R30" s="917" t="s">
        <v>179</v>
      </c>
      <c r="S30" s="917"/>
      <c r="T30" s="917"/>
      <c r="U30" s="917"/>
      <c r="V30" s="917"/>
      <c r="W30" s="917"/>
      <c r="X30" s="917"/>
      <c r="Y30" s="917"/>
      <c r="Z30" s="917"/>
      <c r="AA30" s="917"/>
    </row>
    <row r="31" spans="1:27" s="617" customFormat="1" ht="24.95" customHeight="1" x14ac:dyDescent="0.4">
      <c r="A31" s="609">
        <v>44954</v>
      </c>
      <c r="B31" s="917" t="s">
        <v>145</v>
      </c>
      <c r="C31" s="917"/>
      <c r="D31" s="917" t="s">
        <v>92</v>
      </c>
      <c r="E31" s="918" t="s">
        <v>260</v>
      </c>
      <c r="F31" s="918"/>
      <c r="G31" s="919" t="s">
        <v>262</v>
      </c>
      <c r="H31" s="917"/>
      <c r="I31" s="917"/>
      <c r="J31" s="917"/>
      <c r="K31" s="917"/>
      <c r="L31" s="917"/>
      <c r="M31" s="917"/>
      <c r="N31" s="917"/>
      <c r="O31" s="921">
        <v>666000</v>
      </c>
      <c r="P31" s="917"/>
      <c r="Q31" s="917"/>
      <c r="R31" s="917" t="s">
        <v>264</v>
      </c>
      <c r="S31" s="917"/>
      <c r="T31" s="917"/>
      <c r="U31" s="917"/>
      <c r="V31" s="917"/>
      <c r="W31" s="917"/>
      <c r="X31" s="917"/>
      <c r="Y31" s="917"/>
      <c r="Z31" s="917"/>
      <c r="AA31" s="917"/>
    </row>
    <row r="32" spans="1:27" s="617" customFormat="1" ht="24.95" customHeight="1" x14ac:dyDescent="0.4">
      <c r="A32" s="609">
        <v>44954</v>
      </c>
      <c r="B32" s="917" t="s">
        <v>145</v>
      </c>
      <c r="C32" s="917"/>
      <c r="D32" s="917" t="s">
        <v>92</v>
      </c>
      <c r="E32" s="918" t="s">
        <v>261</v>
      </c>
      <c r="F32" s="918"/>
      <c r="G32" s="919" t="s">
        <v>263</v>
      </c>
      <c r="H32" s="917"/>
      <c r="I32" s="917"/>
      <c r="J32" s="917"/>
      <c r="K32" s="917"/>
      <c r="L32" s="917"/>
      <c r="M32" s="917"/>
      <c r="N32" s="917"/>
      <c r="O32" s="920">
        <v>657658.5</v>
      </c>
      <c r="P32" s="917"/>
      <c r="Q32" s="917"/>
      <c r="R32" s="917" t="s">
        <v>265</v>
      </c>
      <c r="S32" s="917"/>
      <c r="T32" s="917"/>
      <c r="U32" s="917"/>
      <c r="V32" s="917"/>
      <c r="W32" s="917"/>
      <c r="X32" s="917"/>
      <c r="Y32" s="917"/>
      <c r="Z32" s="917"/>
      <c r="AA32" s="917"/>
    </row>
    <row r="33" spans="1:28" s="587"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R33" s="593" t="s">
        <v>185</v>
      </c>
    </row>
    <row r="34" spans="1:28" s="587" customFormat="1" ht="24.95" customHeight="1" x14ac:dyDescent="0.35">
      <c r="A34" s="589" t="s">
        <v>190</v>
      </c>
      <c r="B34" s="620" t="s">
        <v>191</v>
      </c>
      <c r="C34" s="579"/>
      <c r="D34" s="558" t="s">
        <v>92</v>
      </c>
      <c r="E34" s="581"/>
      <c r="F34" s="581"/>
      <c r="G34" s="899" t="s">
        <v>118</v>
      </c>
      <c r="H34" s="583"/>
      <c r="I34" s="591"/>
      <c r="J34" s="591"/>
      <c r="K34" s="591"/>
      <c r="L34" s="591"/>
      <c r="M34" s="591"/>
      <c r="N34" s="591"/>
      <c r="O34" s="591">
        <v>67000</v>
      </c>
      <c r="P34" s="591" t="s">
        <v>22</v>
      </c>
      <c r="R34" s="593"/>
    </row>
    <row r="35" spans="1:28" s="617" customFormat="1" ht="24.95" customHeight="1" x14ac:dyDescent="0.4">
      <c r="A35" s="609">
        <v>45017</v>
      </c>
      <c r="B35" s="917" t="s">
        <v>145</v>
      </c>
      <c r="C35" s="917"/>
      <c r="D35" s="917" t="s">
        <v>92</v>
      </c>
      <c r="E35" s="918"/>
      <c r="F35" s="918"/>
      <c r="G35" s="922">
        <v>5460</v>
      </c>
      <c r="H35" s="917" t="s">
        <v>257</v>
      </c>
      <c r="I35" s="917"/>
      <c r="J35" s="917"/>
      <c r="K35" s="917"/>
      <c r="L35" s="917"/>
      <c r="M35" s="917"/>
      <c r="N35" s="917"/>
      <c r="O35" s="920">
        <v>413995.98</v>
      </c>
      <c r="P35" s="918"/>
      <c r="Q35" s="917"/>
      <c r="R35" s="917" t="s">
        <v>276</v>
      </c>
      <c r="S35" s="917"/>
      <c r="T35" s="917"/>
      <c r="U35" s="917"/>
      <c r="V35" s="917"/>
      <c r="W35" s="917"/>
      <c r="X35" s="917"/>
      <c r="Y35" s="917"/>
    </row>
    <row r="36" spans="1:28" s="554" customFormat="1" ht="24.95" customHeight="1" x14ac:dyDescent="0.35">
      <c r="A36" s="873">
        <v>45147</v>
      </c>
      <c r="B36" s="554" t="s">
        <v>205</v>
      </c>
      <c r="D36" s="554" t="s">
        <v>92</v>
      </c>
      <c r="E36" s="874"/>
      <c r="F36" s="874"/>
      <c r="G36" s="875">
        <v>5568</v>
      </c>
      <c r="O36" s="934">
        <v>10000</v>
      </c>
      <c r="P36" s="554" t="s">
        <v>210</v>
      </c>
      <c r="R36" s="554" t="s">
        <v>206</v>
      </c>
    </row>
    <row r="37" spans="1:28" s="617" customFormat="1" ht="24.95" customHeight="1" x14ac:dyDescent="0.4">
      <c r="A37" s="609">
        <v>45181</v>
      </c>
      <c r="B37" s="917" t="s">
        <v>145</v>
      </c>
      <c r="C37" s="917"/>
      <c r="D37" s="917" t="s">
        <v>90</v>
      </c>
      <c r="E37" s="918" t="s">
        <v>277</v>
      </c>
      <c r="F37" s="918"/>
      <c r="G37" s="922">
        <v>5606</v>
      </c>
      <c r="H37" s="917"/>
      <c r="I37" s="917"/>
      <c r="J37" s="917"/>
      <c r="K37" s="917"/>
      <c r="L37" s="917"/>
      <c r="M37" s="917"/>
      <c r="N37" s="917"/>
      <c r="O37" s="920">
        <v>676930.8</v>
      </c>
      <c r="P37" s="918"/>
      <c r="Q37" s="917"/>
      <c r="R37" s="917" t="s">
        <v>278</v>
      </c>
      <c r="S37" s="917"/>
      <c r="T37" s="917"/>
      <c r="U37" s="917"/>
      <c r="V37" s="917"/>
      <c r="W37" s="917"/>
      <c r="X37" s="917"/>
      <c r="Y37" s="917"/>
      <c r="Z37" s="917"/>
    </row>
    <row r="38" spans="1:28" s="587" customFormat="1" ht="24.95" customHeight="1" x14ac:dyDescent="0.35">
      <c r="A38" s="589">
        <v>45195</v>
      </c>
      <c r="B38" s="556" t="s">
        <v>271</v>
      </c>
      <c r="C38" s="579"/>
      <c r="D38" s="558" t="s">
        <v>92</v>
      </c>
      <c r="E38" s="581"/>
      <c r="F38" s="581"/>
      <c r="G38" s="899" t="s">
        <v>272</v>
      </c>
      <c r="H38" s="583"/>
      <c r="I38" s="592"/>
      <c r="J38" s="592"/>
      <c r="K38" s="592"/>
      <c r="L38" s="592"/>
      <c r="M38" s="592"/>
      <c r="N38" s="592"/>
      <c r="O38" s="592">
        <v>2339.29</v>
      </c>
      <c r="P38" s="586" t="s">
        <v>22</v>
      </c>
      <c r="R38" s="586" t="s">
        <v>273</v>
      </c>
    </row>
    <row r="39" spans="1:28" s="587" customFormat="1" ht="24.95" customHeight="1" x14ac:dyDescent="0.35">
      <c r="A39" s="589">
        <v>45310</v>
      </c>
      <c r="B39" s="627" t="s">
        <v>109</v>
      </c>
      <c r="C39" s="579"/>
      <c r="D39" s="586" t="s">
        <v>90</v>
      </c>
      <c r="E39" s="581"/>
      <c r="F39" s="581"/>
      <c r="G39" s="899" t="s">
        <v>327</v>
      </c>
      <c r="H39" s="583"/>
      <c r="I39" s="592"/>
      <c r="J39" s="592"/>
      <c r="K39" s="592"/>
      <c r="L39" s="592"/>
      <c r="M39" s="592"/>
      <c r="N39" s="592"/>
      <c r="O39" s="592">
        <v>16550</v>
      </c>
      <c r="P39" s="586" t="s">
        <v>22</v>
      </c>
      <c r="R39" s="593" t="s">
        <v>328</v>
      </c>
    </row>
    <row r="40" spans="1:28" s="617" customFormat="1" ht="24.95" customHeight="1" x14ac:dyDescent="0.4">
      <c r="A40" s="609">
        <f>SUM(G118)</f>
        <v>0</v>
      </c>
      <c r="B40" s="918" t="s">
        <v>37</v>
      </c>
      <c r="C40" s="917"/>
      <c r="D40" s="918" t="s">
        <v>90</v>
      </c>
      <c r="E40" s="918" t="s">
        <v>233</v>
      </c>
      <c r="F40" s="918"/>
      <c r="G40" s="922">
        <v>5714</v>
      </c>
      <c r="H40" s="917"/>
      <c r="I40" s="917"/>
      <c r="J40" s="917"/>
      <c r="K40" s="917"/>
      <c r="L40" s="917"/>
      <c r="M40" s="917"/>
      <c r="N40" s="917"/>
      <c r="O40" s="921">
        <v>150000</v>
      </c>
      <c r="P40" s="918"/>
      <c r="Q40" s="917"/>
      <c r="R40" s="917" t="s">
        <v>234</v>
      </c>
      <c r="S40" s="917"/>
      <c r="T40" s="917"/>
      <c r="U40" s="917"/>
      <c r="V40" s="917"/>
      <c r="W40" s="917"/>
      <c r="X40" s="917"/>
      <c r="Y40" s="917"/>
      <c r="Z40" s="917"/>
      <c r="AA40" s="917"/>
    </row>
    <row r="41" spans="1:28" s="587"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R41" s="593" t="s">
        <v>231</v>
      </c>
    </row>
    <row r="42" spans="1:28" s="605" customFormat="1" ht="24.95" customHeight="1" x14ac:dyDescent="0.4">
      <c r="A42" s="597">
        <v>45343</v>
      </c>
      <c r="B42" s="917" t="s">
        <v>59</v>
      </c>
      <c r="C42" s="917"/>
      <c r="D42" s="917" t="s">
        <v>90</v>
      </c>
      <c r="E42" s="918" t="s">
        <v>238</v>
      </c>
      <c r="F42" s="918"/>
      <c r="G42" s="919" t="s">
        <v>118</v>
      </c>
      <c r="H42" s="917"/>
      <c r="I42" s="917"/>
      <c r="J42" s="917"/>
      <c r="K42" s="917"/>
      <c r="L42" s="917"/>
      <c r="M42" s="917"/>
      <c r="N42" s="917"/>
      <c r="O42" s="921">
        <v>22500</v>
      </c>
      <c r="P42" s="917" t="s">
        <v>22</v>
      </c>
      <c r="Q42" s="917"/>
      <c r="R42" s="917" t="s">
        <v>239</v>
      </c>
      <c r="S42" s="917"/>
      <c r="T42" s="917"/>
      <c r="U42" s="917"/>
      <c r="V42" s="917"/>
      <c r="W42" s="917"/>
      <c r="X42" s="917"/>
      <c r="Y42" s="917"/>
    </row>
    <row r="43" spans="1:28" s="587"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R43" s="593" t="s">
        <v>251</v>
      </c>
    </row>
    <row r="44" spans="1:28" s="617" customFormat="1" ht="24.95" customHeight="1" x14ac:dyDescent="0.4">
      <c r="A44" s="609">
        <v>45386</v>
      </c>
      <c r="B44" s="917" t="s">
        <v>145</v>
      </c>
      <c r="C44" s="917"/>
      <c r="D44" s="918" t="s">
        <v>90</v>
      </c>
      <c r="E44" s="918"/>
      <c r="F44" s="918"/>
      <c r="G44" s="922">
        <v>5776</v>
      </c>
      <c r="H44" s="917"/>
      <c r="I44" s="917"/>
      <c r="J44" s="917"/>
      <c r="K44" s="917" t="s">
        <v>64</v>
      </c>
      <c r="L44" s="917"/>
      <c r="M44" s="917"/>
      <c r="N44" s="917"/>
      <c r="O44" s="920">
        <v>455997.92</v>
      </c>
      <c r="P44" s="917" t="s">
        <v>22</v>
      </c>
      <c r="Q44" s="917"/>
      <c r="R44" s="917" t="s">
        <v>256</v>
      </c>
      <c r="S44" s="917"/>
      <c r="T44" s="917"/>
      <c r="U44" s="917"/>
      <c r="V44" s="917"/>
      <c r="W44" s="917"/>
      <c r="X44" s="917"/>
      <c r="Y44" s="917"/>
      <c r="Z44" s="917"/>
    </row>
    <row r="45" spans="1:28" s="587" customFormat="1" ht="24.95" customHeight="1" x14ac:dyDescent="0.35">
      <c r="A45" s="589">
        <v>45458</v>
      </c>
      <c r="B45" s="556" t="s">
        <v>43</v>
      </c>
      <c r="C45" s="579"/>
      <c r="D45" s="586" t="s">
        <v>90</v>
      </c>
      <c r="E45" s="581"/>
      <c r="F45" s="581">
        <v>2355</v>
      </c>
      <c r="G45" s="899" t="s">
        <v>290</v>
      </c>
      <c r="H45" s="583"/>
      <c r="I45" s="592"/>
      <c r="J45" s="592"/>
      <c r="K45" s="592"/>
      <c r="L45" s="592"/>
      <c r="M45" s="592">
        <v>11059.82</v>
      </c>
      <c r="N45" s="592"/>
      <c r="O45" s="586"/>
      <c r="P45" s="586" t="s">
        <v>22</v>
      </c>
      <c r="R45" s="587" t="s">
        <v>350</v>
      </c>
    </row>
    <row r="46" spans="1:28" s="587" customFormat="1" ht="24.95" customHeight="1" x14ac:dyDescent="0.35">
      <c r="A46" s="589">
        <v>45539</v>
      </c>
      <c r="B46" s="556" t="s">
        <v>301</v>
      </c>
      <c r="C46" s="579"/>
      <c r="D46" s="586" t="s">
        <v>90</v>
      </c>
      <c r="E46" s="581"/>
      <c r="F46" s="581">
        <v>2387</v>
      </c>
      <c r="G46" s="586">
        <v>5879</v>
      </c>
      <c r="H46" s="583"/>
      <c r="I46" s="592"/>
      <c r="J46" s="592"/>
      <c r="K46" s="592"/>
      <c r="L46" s="592"/>
      <c r="M46" s="592"/>
      <c r="N46" s="592"/>
      <c r="O46" s="630">
        <v>1238500</v>
      </c>
      <c r="P46" s="586"/>
    </row>
    <row r="47" spans="1:28" s="587" customFormat="1" ht="24.95" customHeight="1" x14ac:dyDescent="0.35">
      <c r="A47" s="589">
        <v>45582</v>
      </c>
      <c r="B47" s="556" t="s">
        <v>417</v>
      </c>
      <c r="C47" s="579"/>
      <c r="D47" s="586"/>
      <c r="E47" s="581"/>
      <c r="F47" s="581"/>
      <c r="G47" s="899" t="s">
        <v>451</v>
      </c>
      <c r="H47" s="583"/>
      <c r="I47" s="592"/>
      <c r="J47" s="629"/>
      <c r="K47" s="591"/>
      <c r="L47" s="592"/>
      <c r="M47" s="592"/>
      <c r="N47" s="592"/>
      <c r="O47" s="629">
        <v>273520</v>
      </c>
      <c r="P47" s="586" t="s">
        <v>478</v>
      </c>
      <c r="R47" s="587" t="s">
        <v>412</v>
      </c>
    </row>
    <row r="48" spans="1:28" s="617" customFormat="1" ht="24.95" customHeight="1" x14ac:dyDescent="0.4">
      <c r="A48" s="609">
        <v>45601</v>
      </c>
      <c r="B48" s="917" t="s">
        <v>145</v>
      </c>
      <c r="C48" s="917"/>
      <c r="D48" s="918" t="s">
        <v>90</v>
      </c>
      <c r="E48" s="918"/>
      <c r="F48" s="918"/>
      <c r="G48" s="922">
        <v>5920</v>
      </c>
      <c r="H48" s="917"/>
      <c r="I48" s="917"/>
      <c r="J48" s="917" t="s">
        <v>354</v>
      </c>
      <c r="K48" s="917"/>
      <c r="L48" s="917"/>
      <c r="M48" s="917">
        <v>310000</v>
      </c>
      <c r="N48" s="917"/>
      <c r="O48" s="918"/>
      <c r="P48" s="918"/>
      <c r="Q48" s="917"/>
      <c r="R48" s="917" t="s">
        <v>355</v>
      </c>
      <c r="S48" s="917"/>
      <c r="T48" s="917"/>
      <c r="U48" s="917"/>
      <c r="V48" s="917"/>
      <c r="W48" s="917"/>
      <c r="X48" s="917"/>
      <c r="Y48" s="917"/>
      <c r="Z48" s="917"/>
      <c r="AA48" s="917"/>
      <c r="AB48" s="917"/>
    </row>
    <row r="49" spans="1:28" s="617" customFormat="1" ht="24.95" customHeight="1" x14ac:dyDescent="0.4">
      <c r="A49" s="609">
        <v>45601</v>
      </c>
      <c r="B49" s="917" t="s">
        <v>145</v>
      </c>
      <c r="C49" s="917"/>
      <c r="D49" s="918" t="s">
        <v>90</v>
      </c>
      <c r="E49" s="918"/>
      <c r="F49" s="918"/>
      <c r="G49" s="922"/>
      <c r="H49" s="917"/>
      <c r="I49" s="917"/>
      <c r="J49" s="917" t="s">
        <v>354</v>
      </c>
      <c r="K49" s="917"/>
      <c r="L49" s="917"/>
      <c r="M49" s="917">
        <v>310000</v>
      </c>
      <c r="N49" s="917"/>
      <c r="O49" s="918"/>
      <c r="P49" s="918"/>
      <c r="Q49" s="917"/>
      <c r="R49" s="917" t="s">
        <v>355</v>
      </c>
      <c r="S49" s="917"/>
      <c r="T49" s="917"/>
      <c r="U49" s="917"/>
      <c r="V49" s="917"/>
      <c r="W49" s="917"/>
      <c r="X49" s="917"/>
      <c r="Y49" s="917"/>
      <c r="Z49" s="917"/>
      <c r="AA49" s="917"/>
      <c r="AB49" s="917"/>
    </row>
    <row r="50" spans="1:28" s="587" customFormat="1" ht="24.95" customHeight="1" x14ac:dyDescent="0.35">
      <c r="A50" s="589">
        <v>45630</v>
      </c>
      <c r="B50" s="556" t="s">
        <v>411</v>
      </c>
      <c r="C50" s="579"/>
      <c r="D50" s="586" t="s">
        <v>92</v>
      </c>
      <c r="E50" s="581"/>
      <c r="F50" s="581"/>
      <c r="G50" s="586">
        <v>5939</v>
      </c>
      <c r="H50" s="583"/>
      <c r="I50" s="592"/>
      <c r="J50" s="592"/>
      <c r="K50" s="592"/>
      <c r="L50" s="592">
        <v>297900</v>
      </c>
      <c r="M50" s="592"/>
      <c r="N50" s="592"/>
      <c r="O50" s="586"/>
      <c r="P50" s="586"/>
      <c r="R50" s="587" t="s">
        <v>399</v>
      </c>
    </row>
    <row r="51" spans="1:28" s="617" customFormat="1" ht="24.95" customHeight="1" x14ac:dyDescent="0.4">
      <c r="A51" s="609">
        <v>45680</v>
      </c>
      <c r="B51" s="917" t="s">
        <v>429</v>
      </c>
      <c r="C51" s="917"/>
      <c r="D51" s="918" t="s">
        <v>90</v>
      </c>
      <c r="E51" s="918"/>
      <c r="F51" s="918">
        <v>2343</v>
      </c>
      <c r="G51" s="922">
        <v>5979</v>
      </c>
      <c r="H51" s="917"/>
      <c r="I51" s="917"/>
      <c r="J51" s="917"/>
      <c r="K51" s="921">
        <v>45000</v>
      </c>
      <c r="L51" s="917"/>
      <c r="M51" s="917"/>
      <c r="N51" s="917"/>
      <c r="O51" s="918"/>
      <c r="P51" s="918"/>
      <c r="Q51" s="917"/>
      <c r="R51" s="917"/>
      <c r="S51" s="917"/>
      <c r="T51" s="917"/>
      <c r="U51" s="917"/>
      <c r="V51" s="917"/>
    </row>
    <row r="52" spans="1:28" s="587" customFormat="1" ht="24.95" customHeight="1" x14ac:dyDescent="0.35">
      <c r="A52" s="589">
        <v>45682</v>
      </c>
      <c r="B52" s="620" t="s">
        <v>431</v>
      </c>
      <c r="C52" s="631"/>
      <c r="D52" s="586"/>
      <c r="E52" s="581"/>
      <c r="F52" s="581"/>
      <c r="G52" s="586">
        <v>5980</v>
      </c>
      <c r="H52" s="583"/>
      <c r="I52" s="592"/>
      <c r="J52" s="592"/>
      <c r="K52" s="592">
        <v>32500</v>
      </c>
      <c r="L52" s="592"/>
      <c r="M52" s="592"/>
      <c r="N52" s="592"/>
      <c r="O52" s="586"/>
      <c r="P52" s="586"/>
    </row>
    <row r="53" spans="1:28" s="587" customFormat="1" ht="24.95" customHeight="1" x14ac:dyDescent="0.35">
      <c r="A53" s="589"/>
      <c r="B53" s="620" t="s">
        <v>270</v>
      </c>
      <c r="C53" s="631"/>
      <c r="D53" s="586" t="s">
        <v>90</v>
      </c>
      <c r="E53" s="581"/>
      <c r="F53" s="581"/>
      <c r="G53" s="586">
        <v>5950</v>
      </c>
      <c r="H53" s="583"/>
      <c r="I53" s="592"/>
      <c r="J53" s="634"/>
      <c r="K53" s="634" t="s">
        <v>419</v>
      </c>
      <c r="L53" s="592"/>
      <c r="M53" s="592"/>
      <c r="N53" s="592"/>
      <c r="O53" s="586"/>
      <c r="P53" s="586"/>
    </row>
    <row r="54" spans="1:28" s="883" customFormat="1" ht="24.95" customHeight="1" x14ac:dyDescent="0.4">
      <c r="A54" s="876">
        <v>45685</v>
      </c>
      <c r="B54" s="917" t="s">
        <v>473</v>
      </c>
      <c r="C54" s="917"/>
      <c r="D54" s="918" t="s">
        <v>90</v>
      </c>
      <c r="E54" s="918"/>
      <c r="F54" s="918"/>
      <c r="G54" s="922">
        <v>5982</v>
      </c>
      <c r="H54" s="917"/>
      <c r="I54" s="917"/>
      <c r="J54" s="917"/>
      <c r="K54" s="917">
        <v>133000</v>
      </c>
      <c r="L54" s="917"/>
      <c r="M54" s="917"/>
      <c r="N54" s="917"/>
      <c r="O54" s="918"/>
      <c r="P54" s="918"/>
      <c r="Q54" s="917"/>
      <c r="R54" s="917"/>
      <c r="S54" s="917"/>
      <c r="T54" s="917"/>
      <c r="U54" s="917"/>
    </row>
    <row r="55" spans="1:28" s="883" customFormat="1" ht="24.95" customHeight="1" x14ac:dyDescent="0.4">
      <c r="A55" s="876" t="s">
        <v>421</v>
      </c>
      <c r="B55" s="917" t="s">
        <v>584</v>
      </c>
      <c r="C55" s="917"/>
      <c r="D55" s="918" t="s">
        <v>90</v>
      </c>
      <c r="E55" s="918"/>
      <c r="F55" s="918"/>
      <c r="G55" s="922">
        <v>5984</v>
      </c>
      <c r="H55" s="917"/>
      <c r="I55" s="917"/>
      <c r="J55" s="917"/>
      <c r="K55" s="921">
        <v>698000</v>
      </c>
      <c r="L55" s="917"/>
      <c r="M55" s="917"/>
      <c r="N55" s="917"/>
      <c r="O55" s="918"/>
      <c r="P55" s="918"/>
      <c r="Q55" s="917"/>
      <c r="R55" s="917"/>
      <c r="S55" s="917"/>
      <c r="T55" s="917"/>
      <c r="U55" s="917"/>
    </row>
    <row r="56" spans="1:28" s="554" customFormat="1" ht="24.95" customHeight="1" x14ac:dyDescent="0.35">
      <c r="A56" s="884" t="s">
        <v>421</v>
      </c>
      <c r="B56" s="556" t="s">
        <v>301</v>
      </c>
      <c r="D56" s="874" t="s">
        <v>90</v>
      </c>
      <c r="E56" s="874"/>
      <c r="F56" s="874"/>
      <c r="G56" s="875">
        <v>5985</v>
      </c>
      <c r="J56" s="887"/>
      <c r="K56" s="887">
        <v>695000</v>
      </c>
      <c r="O56" s="874"/>
      <c r="P56" s="874"/>
      <c r="S56" s="554" t="s">
        <v>435</v>
      </c>
    </row>
    <row r="57" spans="1:28" s="554" customFormat="1" ht="24.95" customHeight="1" x14ac:dyDescent="0.35">
      <c r="A57" s="886">
        <v>45700</v>
      </c>
      <c r="B57" s="556" t="s">
        <v>439</v>
      </c>
      <c r="D57" s="874" t="s">
        <v>90</v>
      </c>
      <c r="E57" s="874" t="s">
        <v>519</v>
      </c>
      <c r="F57" s="874"/>
      <c r="G57" s="875">
        <v>5990</v>
      </c>
      <c r="J57" s="887"/>
      <c r="K57" s="887" t="s">
        <v>440</v>
      </c>
      <c r="O57" s="874"/>
      <c r="P57" s="874"/>
    </row>
    <row r="58" spans="1:28" s="554" customFormat="1" ht="24.95" customHeight="1" x14ac:dyDescent="0.35">
      <c r="A58" s="886" t="s">
        <v>421</v>
      </c>
      <c r="B58" s="556" t="s">
        <v>301</v>
      </c>
      <c r="D58" s="874" t="s">
        <v>90</v>
      </c>
      <c r="E58" s="874"/>
      <c r="F58" s="874"/>
      <c r="G58" s="875">
        <v>5992</v>
      </c>
      <c r="J58" s="887"/>
      <c r="K58" s="887">
        <v>54500</v>
      </c>
      <c r="O58" s="874"/>
      <c r="P58" s="874"/>
    </row>
    <row r="59" spans="1:28" s="554" customFormat="1" ht="24.95" customHeight="1" x14ac:dyDescent="0.35">
      <c r="A59" s="886">
        <v>45708</v>
      </c>
      <c r="B59" s="556" t="s">
        <v>436</v>
      </c>
      <c r="D59" s="874"/>
      <c r="E59" s="874"/>
      <c r="F59" s="874"/>
      <c r="G59" s="900" t="s">
        <v>443</v>
      </c>
      <c r="J59" s="887"/>
      <c r="K59" s="887"/>
      <c r="O59" s="874"/>
      <c r="P59" s="874"/>
    </row>
    <row r="60" spans="1:28" s="554" customFormat="1" ht="24.95" customHeight="1" x14ac:dyDescent="0.35">
      <c r="A60" s="886">
        <v>45708</v>
      </c>
      <c r="B60" s="556" t="s">
        <v>237</v>
      </c>
      <c r="D60" s="874" t="s">
        <v>90</v>
      </c>
      <c r="E60" s="874"/>
      <c r="F60" s="874"/>
      <c r="G60" s="900" t="s">
        <v>516</v>
      </c>
      <c r="J60" s="894"/>
      <c r="K60" s="894">
        <v>786477.45</v>
      </c>
      <c r="O60" s="874"/>
      <c r="P60" s="874"/>
    </row>
    <row r="61" spans="1:28" s="554" customFormat="1" ht="24.95" customHeight="1" x14ac:dyDescent="0.35">
      <c r="A61" s="886" t="s">
        <v>421</v>
      </c>
      <c r="B61" s="556" t="s">
        <v>321</v>
      </c>
      <c r="D61" s="874" t="s">
        <v>90</v>
      </c>
      <c r="E61" s="874"/>
      <c r="F61" s="874"/>
      <c r="G61" s="900" t="s">
        <v>452</v>
      </c>
      <c r="J61" s="888"/>
      <c r="K61" s="888">
        <v>263066.96999999997</v>
      </c>
      <c r="O61" s="874"/>
      <c r="P61" s="874"/>
    </row>
    <row r="62" spans="1:28" s="554" customFormat="1" ht="24.95" customHeight="1" x14ac:dyDescent="0.35">
      <c r="A62" s="886" t="s">
        <v>421</v>
      </c>
      <c r="B62" s="556" t="s">
        <v>417</v>
      </c>
      <c r="D62" s="874" t="s">
        <v>90</v>
      </c>
      <c r="E62" s="874"/>
      <c r="F62" s="874"/>
      <c r="G62" s="900" t="s">
        <v>456</v>
      </c>
      <c r="J62" s="887"/>
      <c r="K62" s="887" t="s">
        <v>419</v>
      </c>
      <c r="O62" s="874"/>
      <c r="P62" s="874"/>
    </row>
    <row r="63" spans="1:28" s="554" customFormat="1" ht="24.95" customHeight="1" x14ac:dyDescent="0.35">
      <c r="A63" s="886" t="s">
        <v>421</v>
      </c>
      <c r="B63" s="556" t="s">
        <v>43</v>
      </c>
      <c r="D63" s="874" t="s">
        <v>90</v>
      </c>
      <c r="E63" s="874"/>
      <c r="F63" s="874"/>
      <c r="G63" s="900" t="s">
        <v>457</v>
      </c>
      <c r="J63" s="887"/>
      <c r="K63" s="887">
        <v>43500</v>
      </c>
      <c r="O63" s="874"/>
      <c r="P63" s="874"/>
    </row>
    <row r="64" spans="1:28" s="554" customFormat="1" ht="24.95" customHeight="1" x14ac:dyDescent="0.35">
      <c r="A64" s="886">
        <v>45720</v>
      </c>
      <c r="B64" s="556" t="s">
        <v>472</v>
      </c>
      <c r="D64" s="874" t="s">
        <v>92</v>
      </c>
      <c r="E64" s="874"/>
      <c r="F64" s="874"/>
      <c r="G64" s="900" t="s">
        <v>471</v>
      </c>
      <c r="J64" s="887"/>
      <c r="K64" s="887">
        <v>26000</v>
      </c>
      <c r="O64" s="874"/>
      <c r="P64" s="874"/>
    </row>
    <row r="65" spans="1:16" s="554" customFormat="1" ht="24.95" customHeight="1" x14ac:dyDescent="0.35">
      <c r="A65" s="886">
        <v>45727</v>
      </c>
      <c r="B65" s="556" t="s">
        <v>301</v>
      </c>
      <c r="D65" s="874" t="s">
        <v>90</v>
      </c>
      <c r="E65" s="874"/>
      <c r="F65" s="874"/>
      <c r="G65" s="875">
        <v>5948</v>
      </c>
      <c r="J65" s="887"/>
      <c r="K65" s="887">
        <v>2198000</v>
      </c>
      <c r="O65" s="874"/>
      <c r="P65" s="874"/>
    </row>
    <row r="66" spans="1:16" s="554" customFormat="1" ht="24.95" customHeight="1" x14ac:dyDescent="0.35">
      <c r="A66" s="886">
        <v>45727</v>
      </c>
      <c r="B66" s="556" t="s">
        <v>477</v>
      </c>
      <c r="D66" s="874" t="s">
        <v>90</v>
      </c>
      <c r="E66" s="874"/>
      <c r="F66" s="874"/>
      <c r="G66" s="900" t="s">
        <v>475</v>
      </c>
      <c r="J66" s="887"/>
      <c r="K66" s="887">
        <v>246350</v>
      </c>
      <c r="O66" s="874"/>
      <c r="P66" s="874"/>
    </row>
    <row r="67" spans="1:16" s="554" customFormat="1" ht="24.95" customHeight="1" x14ac:dyDescent="0.35">
      <c r="A67" s="886">
        <v>45731</v>
      </c>
      <c r="B67" s="556" t="s">
        <v>480</v>
      </c>
      <c r="D67" s="874" t="s">
        <v>90</v>
      </c>
      <c r="E67" s="874"/>
      <c r="F67" s="874"/>
      <c r="G67" s="900" t="s">
        <v>481</v>
      </c>
      <c r="J67" s="887"/>
      <c r="K67" s="887" t="s">
        <v>419</v>
      </c>
      <c r="O67" s="874"/>
      <c r="P67" s="874"/>
    </row>
    <row r="68" spans="1:16" s="554" customFormat="1" ht="24.95" customHeight="1" x14ac:dyDescent="0.35">
      <c r="A68" s="886">
        <v>45740</v>
      </c>
      <c r="B68" s="556" t="s">
        <v>483</v>
      </c>
      <c r="D68" s="874" t="s">
        <v>90</v>
      </c>
      <c r="E68" s="874"/>
      <c r="F68" s="874"/>
      <c r="G68" s="900" t="s">
        <v>484</v>
      </c>
      <c r="J68" s="887"/>
      <c r="K68" s="887">
        <v>19590</v>
      </c>
      <c r="O68" s="874"/>
      <c r="P68" s="874"/>
    </row>
    <row r="69" spans="1:16" s="554" customFormat="1" ht="24.95" customHeight="1" x14ac:dyDescent="0.35">
      <c r="A69" s="886" t="s">
        <v>421</v>
      </c>
      <c r="B69" s="556" t="s">
        <v>409</v>
      </c>
      <c r="D69" s="874" t="s">
        <v>90</v>
      </c>
      <c r="E69" s="874"/>
      <c r="F69" s="874"/>
      <c r="G69" s="875">
        <v>5987</v>
      </c>
      <c r="J69" s="887"/>
      <c r="K69" s="887" t="s">
        <v>419</v>
      </c>
      <c r="O69" s="874"/>
      <c r="P69" s="874"/>
    </row>
    <row r="70" spans="1:16" s="554" customFormat="1" ht="24.95" customHeight="1" x14ac:dyDescent="0.35">
      <c r="A70" s="886">
        <v>45748</v>
      </c>
      <c r="B70" s="556" t="s">
        <v>489</v>
      </c>
      <c r="D70" s="874" t="s">
        <v>90</v>
      </c>
      <c r="E70" s="874"/>
      <c r="F70" s="874"/>
      <c r="G70" s="900" t="s">
        <v>490</v>
      </c>
      <c r="J70" s="887"/>
      <c r="K70" s="887">
        <v>244995</v>
      </c>
      <c r="O70" s="874"/>
      <c r="P70" s="874"/>
    </row>
    <row r="71" spans="1:16" s="554" customFormat="1" ht="24.95" customHeight="1" x14ac:dyDescent="0.35">
      <c r="A71" s="886">
        <v>45749</v>
      </c>
      <c r="B71" s="556" t="s">
        <v>431</v>
      </c>
      <c r="D71" s="874" t="s">
        <v>90</v>
      </c>
      <c r="E71" s="874"/>
      <c r="F71" s="874"/>
      <c r="G71" s="900" t="s">
        <v>493</v>
      </c>
      <c r="J71" s="887"/>
      <c r="K71" s="887">
        <v>32500</v>
      </c>
      <c r="O71" s="874"/>
      <c r="P71" s="874"/>
    </row>
    <row r="72" spans="1:16" s="554" customFormat="1" ht="24.95" customHeight="1" x14ac:dyDescent="0.35">
      <c r="A72" s="886">
        <v>45749</v>
      </c>
      <c r="B72" s="556" t="s">
        <v>431</v>
      </c>
      <c r="D72" s="874" t="s">
        <v>90</v>
      </c>
      <c r="E72" s="874"/>
      <c r="F72" s="874"/>
      <c r="G72" s="900" t="s">
        <v>494</v>
      </c>
      <c r="J72" s="887"/>
      <c r="K72" s="887">
        <v>7500</v>
      </c>
      <c r="O72" s="874"/>
      <c r="P72" s="874"/>
    </row>
    <row r="73" spans="1:16" s="554" customFormat="1" ht="24.95" customHeight="1" x14ac:dyDescent="0.35">
      <c r="A73" s="886">
        <v>45750</v>
      </c>
      <c r="B73" s="556" t="s">
        <v>446</v>
      </c>
      <c r="D73" s="874" t="s">
        <v>90</v>
      </c>
      <c r="E73" s="874"/>
      <c r="F73" s="874"/>
      <c r="G73" s="900" t="s">
        <v>495</v>
      </c>
      <c r="J73" s="887"/>
      <c r="K73" s="887">
        <v>339500</v>
      </c>
      <c r="O73" s="874"/>
      <c r="P73" s="874"/>
    </row>
    <row r="74" spans="1:16" s="554" customFormat="1" ht="24.95" customHeight="1" x14ac:dyDescent="0.35">
      <c r="A74" s="886">
        <v>45750</v>
      </c>
      <c r="B74" s="556" t="s">
        <v>446</v>
      </c>
      <c r="D74" s="874" t="s">
        <v>90</v>
      </c>
      <c r="E74" s="874"/>
      <c r="F74" s="874"/>
      <c r="G74" s="900" t="s">
        <v>496</v>
      </c>
      <c r="J74" s="887"/>
      <c r="K74" s="887">
        <v>339500</v>
      </c>
      <c r="O74" s="874"/>
      <c r="P74" s="874"/>
    </row>
    <row r="75" spans="1:16" s="554" customFormat="1" ht="24.95" customHeight="1" x14ac:dyDescent="0.35">
      <c r="A75" s="886" t="s">
        <v>421</v>
      </c>
      <c r="B75" s="556" t="s">
        <v>301</v>
      </c>
      <c r="D75" s="874" t="s">
        <v>90</v>
      </c>
      <c r="E75" s="874"/>
      <c r="F75" s="874"/>
      <c r="G75" s="900" t="s">
        <v>498</v>
      </c>
      <c r="J75" s="887"/>
      <c r="K75" s="887">
        <v>167500</v>
      </c>
      <c r="O75" s="874"/>
      <c r="P75" s="874"/>
    </row>
    <row r="76" spans="1:16" s="554" customFormat="1" ht="24.95" customHeight="1" x14ac:dyDescent="0.35">
      <c r="A76" s="886" t="s">
        <v>421</v>
      </c>
      <c r="B76" s="556" t="s">
        <v>500</v>
      </c>
      <c r="D76" s="874" t="s">
        <v>92</v>
      </c>
      <c r="E76" s="874"/>
      <c r="F76" s="874"/>
      <c r="G76" s="900" t="s">
        <v>501</v>
      </c>
      <c r="J76" s="887"/>
      <c r="K76" s="887">
        <v>627000</v>
      </c>
      <c r="O76" s="874"/>
      <c r="P76" s="874"/>
    </row>
    <row r="77" spans="1:16" s="554" customFormat="1" ht="24.95" customHeight="1" x14ac:dyDescent="0.35">
      <c r="A77" s="886" t="s">
        <v>421</v>
      </c>
      <c r="B77" s="556" t="s">
        <v>301</v>
      </c>
      <c r="D77" s="874" t="s">
        <v>90</v>
      </c>
      <c r="E77" s="874"/>
      <c r="F77" s="874"/>
      <c r="G77" s="900" t="s">
        <v>503</v>
      </c>
      <c r="J77" s="887"/>
      <c r="K77" s="887" t="s">
        <v>419</v>
      </c>
      <c r="O77" s="874"/>
      <c r="P77" s="874"/>
    </row>
    <row r="78" spans="1:16" s="554" customFormat="1" ht="24.95" customHeight="1" x14ac:dyDescent="0.35">
      <c r="A78" s="886" t="s">
        <v>421</v>
      </c>
      <c r="B78" s="556" t="s">
        <v>505</v>
      </c>
      <c r="D78" s="874" t="s">
        <v>92</v>
      </c>
      <c r="E78" s="874"/>
      <c r="F78" s="874"/>
      <c r="G78" s="900" t="s">
        <v>506</v>
      </c>
      <c r="J78" s="887"/>
      <c r="K78" s="887">
        <v>130450</v>
      </c>
      <c r="O78" s="874"/>
      <c r="P78" s="874"/>
    </row>
    <row r="79" spans="1:16" s="554" customFormat="1" ht="24.95" customHeight="1" x14ac:dyDescent="0.35">
      <c r="A79" s="886" t="s">
        <v>421</v>
      </c>
      <c r="B79" s="556" t="s">
        <v>512</v>
      </c>
      <c r="D79" s="874" t="s">
        <v>476</v>
      </c>
      <c r="E79" s="874"/>
      <c r="F79" s="874"/>
      <c r="G79" s="900" t="s">
        <v>513</v>
      </c>
      <c r="J79" s="887"/>
      <c r="K79" s="887">
        <v>26790</v>
      </c>
      <c r="O79" s="874"/>
      <c r="P79" s="874"/>
    </row>
    <row r="80" spans="1:16" s="554" customFormat="1" ht="24.95" customHeight="1" x14ac:dyDescent="0.35">
      <c r="A80" s="886">
        <v>45776</v>
      </c>
      <c r="B80" s="556" t="s">
        <v>321</v>
      </c>
      <c r="D80" s="874" t="s">
        <v>90</v>
      </c>
      <c r="E80" s="874"/>
      <c r="F80" s="874"/>
      <c r="G80" s="900" t="s">
        <v>515</v>
      </c>
      <c r="J80" s="887"/>
      <c r="K80" s="887">
        <v>517500</v>
      </c>
      <c r="O80" s="874"/>
      <c r="P80" s="874"/>
    </row>
    <row r="81" spans="1:16" s="554" customFormat="1" ht="24.95" customHeight="1" x14ac:dyDescent="0.35">
      <c r="A81" s="886" t="s">
        <v>421</v>
      </c>
      <c r="B81" s="556" t="s">
        <v>545</v>
      </c>
      <c r="D81" s="874" t="s">
        <v>90</v>
      </c>
      <c r="E81" s="874"/>
      <c r="F81" s="874"/>
      <c r="G81" s="900" t="s">
        <v>583</v>
      </c>
      <c r="J81" s="887"/>
      <c r="K81" s="887">
        <v>280000</v>
      </c>
      <c r="O81" s="874"/>
      <c r="P81" s="874"/>
    </row>
    <row r="82" spans="1:16" s="554" customFormat="1" ht="24.95" customHeight="1" x14ac:dyDescent="0.35">
      <c r="A82" s="886">
        <v>45751</v>
      </c>
      <c r="B82" s="556" t="s">
        <v>237</v>
      </c>
      <c r="D82" s="874" t="s">
        <v>90</v>
      </c>
      <c r="E82" s="874"/>
      <c r="F82" s="874"/>
      <c r="G82" s="900" t="s">
        <v>499</v>
      </c>
      <c r="J82" s="887"/>
      <c r="K82" s="887">
        <v>1492975</v>
      </c>
      <c r="O82" s="874"/>
      <c r="P82" s="874"/>
    </row>
    <row r="83" spans="1:16" s="554" customFormat="1" ht="24.95" customHeight="1" x14ac:dyDescent="0.35">
      <c r="A83" s="886" t="s">
        <v>421</v>
      </c>
      <c r="B83" s="556" t="s">
        <v>237</v>
      </c>
      <c r="D83" s="874" t="s">
        <v>90</v>
      </c>
      <c r="E83" s="874"/>
      <c r="F83" s="874"/>
      <c r="G83" s="900" t="s">
        <v>514</v>
      </c>
      <c r="J83" s="887"/>
      <c r="K83" s="887">
        <v>645000</v>
      </c>
      <c r="O83" s="874"/>
      <c r="P83" s="874"/>
    </row>
    <row r="84" spans="1:16" s="554" customFormat="1" ht="24.95" customHeight="1" x14ac:dyDescent="0.35">
      <c r="A84" s="886">
        <v>45790</v>
      </c>
      <c r="B84" s="556" t="s">
        <v>483</v>
      </c>
      <c r="D84" s="874" t="s">
        <v>90</v>
      </c>
      <c r="E84" s="874"/>
      <c r="F84" s="874"/>
      <c r="G84" s="900" t="s">
        <v>520</v>
      </c>
      <c r="J84" s="888"/>
      <c r="K84" s="888">
        <v>487467.5</v>
      </c>
      <c r="O84" s="874"/>
      <c r="P84" s="874"/>
    </row>
    <row r="85" spans="1:16" s="554" customFormat="1" ht="24.95" customHeight="1" x14ac:dyDescent="0.35">
      <c r="A85" s="886" t="s">
        <v>421</v>
      </c>
      <c r="B85" s="556" t="s">
        <v>524</v>
      </c>
      <c r="D85" s="874" t="s">
        <v>92</v>
      </c>
      <c r="E85" s="874"/>
      <c r="F85" s="874"/>
      <c r="G85" s="900" t="s">
        <v>525</v>
      </c>
      <c r="J85" s="888"/>
      <c r="K85" s="888">
        <v>77261.850000000006</v>
      </c>
      <c r="O85" s="874"/>
      <c r="P85" s="874"/>
    </row>
    <row r="86" spans="1:16" s="554" customFormat="1" ht="24.95" customHeight="1" x14ac:dyDescent="0.35">
      <c r="A86" s="886" t="s">
        <v>421</v>
      </c>
      <c r="B86" s="556" t="s">
        <v>528</v>
      </c>
      <c r="D86" s="874" t="s">
        <v>90</v>
      </c>
      <c r="E86" s="874"/>
      <c r="F86" s="874"/>
      <c r="G86" s="900" t="s">
        <v>529</v>
      </c>
      <c r="J86" s="888"/>
      <c r="K86" s="888" t="s">
        <v>419</v>
      </c>
      <c r="O86" s="874"/>
      <c r="P86" s="874"/>
    </row>
    <row r="87" spans="1:16" s="554" customFormat="1" ht="24.95" customHeight="1" x14ac:dyDescent="0.35">
      <c r="A87" s="886">
        <v>45801</v>
      </c>
      <c r="B87" s="556" t="s">
        <v>115</v>
      </c>
      <c r="D87" s="874" t="s">
        <v>90</v>
      </c>
      <c r="E87" s="874"/>
      <c r="F87" s="874"/>
      <c r="G87" s="900" t="s">
        <v>530</v>
      </c>
      <c r="J87" s="888"/>
      <c r="K87" s="888" t="s">
        <v>419</v>
      </c>
      <c r="O87" s="874"/>
      <c r="P87" s="874"/>
    </row>
    <row r="88" spans="1:16" s="554" customFormat="1" ht="24.95" customHeight="1" x14ac:dyDescent="0.35">
      <c r="A88" s="886" t="s">
        <v>421</v>
      </c>
      <c r="B88" s="556" t="s">
        <v>115</v>
      </c>
      <c r="D88" s="874" t="s">
        <v>90</v>
      </c>
      <c r="E88" s="874"/>
      <c r="F88" s="874"/>
      <c r="G88" s="900" t="s">
        <v>531</v>
      </c>
      <c r="J88" s="888"/>
      <c r="K88" s="888">
        <v>782600</v>
      </c>
      <c r="O88" s="874"/>
      <c r="P88" s="874"/>
    </row>
    <row r="89" spans="1:16" s="554" customFormat="1" ht="24.95" customHeight="1" x14ac:dyDescent="0.35">
      <c r="A89" s="886">
        <v>45804</v>
      </c>
      <c r="B89" s="556" t="s">
        <v>533</v>
      </c>
      <c r="D89" s="874" t="s">
        <v>92</v>
      </c>
      <c r="E89" s="874"/>
      <c r="F89" s="874"/>
      <c r="G89" s="900" t="s">
        <v>534</v>
      </c>
      <c r="J89" s="888"/>
      <c r="K89" s="888" t="s">
        <v>419</v>
      </c>
      <c r="O89" s="874"/>
      <c r="P89" s="874"/>
    </row>
    <row r="90" spans="1:16" s="554" customFormat="1" ht="24.95" customHeight="1" x14ac:dyDescent="0.35">
      <c r="A90" s="886">
        <v>45807</v>
      </c>
      <c r="B90" s="556" t="s">
        <v>428</v>
      </c>
      <c r="D90" s="874" t="s">
        <v>92</v>
      </c>
      <c r="E90" s="874"/>
      <c r="F90" s="874"/>
      <c r="G90" s="900" t="s">
        <v>543</v>
      </c>
      <c r="J90" s="888"/>
      <c r="K90" s="888">
        <v>192500</v>
      </c>
      <c r="O90" s="874"/>
      <c r="P90" s="874"/>
    </row>
    <row r="91" spans="1:16" s="554" customFormat="1" ht="24.95" customHeight="1" x14ac:dyDescent="0.35">
      <c r="A91" s="886" t="s">
        <v>421</v>
      </c>
      <c r="B91" s="556" t="s">
        <v>545</v>
      </c>
      <c r="D91" s="874" t="s">
        <v>90</v>
      </c>
      <c r="E91" s="874"/>
      <c r="F91" s="874"/>
      <c r="G91" s="900" t="s">
        <v>544</v>
      </c>
      <c r="J91" s="888"/>
      <c r="K91" s="888">
        <v>948000</v>
      </c>
      <c r="O91" s="874"/>
      <c r="P91" s="874"/>
    </row>
    <row r="92" spans="1:16" s="554" customFormat="1" ht="24.95" customHeight="1" x14ac:dyDescent="0.35">
      <c r="A92" s="886">
        <v>45817</v>
      </c>
      <c r="B92" s="556" t="s">
        <v>432</v>
      </c>
      <c r="D92" s="874" t="s">
        <v>90</v>
      </c>
      <c r="E92" s="874"/>
      <c r="F92" s="874"/>
      <c r="G92" s="900" t="s">
        <v>556</v>
      </c>
      <c r="J92" s="888"/>
      <c r="K92" s="888" t="s">
        <v>419</v>
      </c>
      <c r="O92" s="874"/>
      <c r="P92" s="874"/>
    </row>
    <row r="93" spans="1:16" s="554" customFormat="1" ht="24.95" customHeight="1" x14ac:dyDescent="0.35">
      <c r="A93" s="886">
        <v>45818</v>
      </c>
      <c r="B93" s="556" t="s">
        <v>546</v>
      </c>
      <c r="D93" s="874" t="s">
        <v>90</v>
      </c>
      <c r="E93" s="874"/>
      <c r="F93" s="874"/>
      <c r="G93" s="900" t="s">
        <v>547</v>
      </c>
      <c r="J93" s="888"/>
      <c r="K93" s="888">
        <v>173500</v>
      </c>
      <c r="O93" s="874"/>
      <c r="P93" s="874"/>
    </row>
    <row r="94" spans="1:16" s="554" customFormat="1" ht="24.95" customHeight="1" x14ac:dyDescent="0.35">
      <c r="A94" s="886">
        <v>45828</v>
      </c>
      <c r="B94" s="556" t="s">
        <v>428</v>
      </c>
      <c r="D94" s="874" t="s">
        <v>92</v>
      </c>
      <c r="E94" s="874"/>
      <c r="F94" s="874"/>
      <c r="G94" s="900" t="s">
        <v>559</v>
      </c>
      <c r="I94" s="890"/>
      <c r="J94" s="888"/>
      <c r="K94" s="888" t="s">
        <v>419</v>
      </c>
      <c r="O94" s="874"/>
      <c r="P94" s="874"/>
    </row>
    <row r="95" spans="1:16" s="554" customFormat="1" ht="24.95" customHeight="1" x14ac:dyDescent="0.35">
      <c r="A95" s="886">
        <v>45831</v>
      </c>
      <c r="B95" s="556" t="s">
        <v>409</v>
      </c>
      <c r="D95" s="874" t="s">
        <v>90</v>
      </c>
      <c r="E95" s="874"/>
      <c r="F95" s="874"/>
      <c r="G95" s="900" t="s">
        <v>548</v>
      </c>
      <c r="I95" s="890">
        <v>434750</v>
      </c>
      <c r="J95" s="888"/>
      <c r="K95" s="888"/>
      <c r="O95" s="874"/>
      <c r="P95" s="874"/>
    </row>
    <row r="96" spans="1:16" s="554" customFormat="1" ht="24.95" customHeight="1" x14ac:dyDescent="0.35">
      <c r="A96" s="886" t="s">
        <v>421</v>
      </c>
      <c r="B96" s="556" t="s">
        <v>549</v>
      </c>
      <c r="D96" s="874" t="s">
        <v>282</v>
      </c>
      <c r="E96" s="874"/>
      <c r="F96" s="874"/>
      <c r="G96" s="900" t="s">
        <v>552</v>
      </c>
      <c r="I96" s="890">
        <v>80696</v>
      </c>
      <c r="J96" s="888"/>
      <c r="K96" s="888"/>
      <c r="O96" s="874"/>
      <c r="P96" s="874"/>
    </row>
    <row r="97" spans="1:18" s="554" customFormat="1" ht="24.95" customHeight="1" x14ac:dyDescent="0.35">
      <c r="A97" s="886" t="s">
        <v>421</v>
      </c>
      <c r="B97" s="556" t="s">
        <v>301</v>
      </c>
      <c r="D97" s="874" t="s">
        <v>90</v>
      </c>
      <c r="E97" s="874"/>
      <c r="F97" s="874"/>
      <c r="G97" s="900" t="s">
        <v>550</v>
      </c>
      <c r="I97" s="890">
        <v>174800</v>
      </c>
      <c r="J97" s="888"/>
      <c r="K97" s="888"/>
      <c r="O97" s="874"/>
      <c r="P97" s="874"/>
    </row>
    <row r="98" spans="1:18" s="554" customFormat="1" ht="24.95" customHeight="1" x14ac:dyDescent="0.35">
      <c r="A98" s="886" t="s">
        <v>421</v>
      </c>
      <c r="B98" s="556" t="s">
        <v>301</v>
      </c>
      <c r="D98" s="874" t="s">
        <v>90</v>
      </c>
      <c r="E98" s="874"/>
      <c r="F98" s="874"/>
      <c r="G98" s="900" t="s">
        <v>582</v>
      </c>
      <c r="I98" s="890">
        <v>948000</v>
      </c>
      <c r="J98" s="888"/>
      <c r="K98" s="888"/>
      <c r="O98" s="874"/>
      <c r="P98" s="874"/>
    </row>
    <row r="99" spans="1:18" s="554" customFormat="1" ht="24.95" customHeight="1" x14ac:dyDescent="0.35">
      <c r="A99" s="886" t="s">
        <v>421</v>
      </c>
      <c r="B99" s="556" t="s">
        <v>549</v>
      </c>
      <c r="D99" s="874" t="s">
        <v>282</v>
      </c>
      <c r="E99" s="874"/>
      <c r="F99" s="874"/>
      <c r="G99" s="900" t="s">
        <v>551</v>
      </c>
      <c r="I99" s="890">
        <v>258000</v>
      </c>
      <c r="J99" s="888"/>
      <c r="K99" s="888"/>
      <c r="O99" s="874"/>
      <c r="P99" s="874"/>
    </row>
    <row r="100" spans="1:18" s="554" customFormat="1" ht="24.95" customHeight="1" x14ac:dyDescent="0.35">
      <c r="A100" s="886" t="s">
        <v>421</v>
      </c>
      <c r="B100" s="556" t="s">
        <v>554</v>
      </c>
      <c r="D100" s="874" t="s">
        <v>221</v>
      </c>
      <c r="E100" s="874"/>
      <c r="F100" s="874"/>
      <c r="G100" s="900" t="s">
        <v>555</v>
      </c>
      <c r="I100" s="890">
        <v>86400</v>
      </c>
      <c r="J100" s="888"/>
      <c r="K100" s="888"/>
      <c r="O100" s="874"/>
      <c r="P100" s="874"/>
    </row>
    <row r="101" spans="1:18" s="554" customFormat="1" ht="24.95" customHeight="1" x14ac:dyDescent="0.35">
      <c r="A101" s="886" t="s">
        <v>557</v>
      </c>
      <c r="B101" s="556" t="s">
        <v>446</v>
      </c>
      <c r="D101" s="874" t="s">
        <v>90</v>
      </c>
      <c r="E101" s="874"/>
      <c r="F101" s="874"/>
      <c r="G101" s="900" t="s">
        <v>558</v>
      </c>
      <c r="I101" s="890"/>
      <c r="J101" s="888">
        <v>363300</v>
      </c>
      <c r="K101" s="888">
        <v>363300</v>
      </c>
      <c r="O101" s="874"/>
      <c r="P101" s="874"/>
    </row>
    <row r="102" spans="1:18" s="554" customFormat="1" ht="24.95" customHeight="1" x14ac:dyDescent="0.35">
      <c r="A102" s="886" t="s">
        <v>421</v>
      </c>
      <c r="B102" s="556" t="s">
        <v>446</v>
      </c>
      <c r="D102" s="874" t="s">
        <v>90</v>
      </c>
      <c r="E102" s="874"/>
      <c r="F102" s="874"/>
      <c r="G102" s="900" t="s">
        <v>540</v>
      </c>
      <c r="I102" s="890"/>
      <c r="J102" s="888" t="s">
        <v>419</v>
      </c>
      <c r="K102" s="888" t="s">
        <v>419</v>
      </c>
      <c r="O102" s="874"/>
      <c r="P102" s="874"/>
    </row>
    <row r="103" spans="1:18" s="554" customFormat="1" ht="24.95" customHeight="1" x14ac:dyDescent="0.35">
      <c r="A103" s="886" t="s">
        <v>421</v>
      </c>
      <c r="B103" s="556" t="s">
        <v>115</v>
      </c>
      <c r="D103" s="874" t="s">
        <v>90</v>
      </c>
      <c r="E103" s="874"/>
      <c r="F103" s="874"/>
      <c r="G103" s="900" t="s">
        <v>537</v>
      </c>
      <c r="I103" s="890">
        <v>475000</v>
      </c>
      <c r="J103" s="888"/>
      <c r="K103" s="888"/>
      <c r="O103" s="874"/>
      <c r="P103" s="874"/>
    </row>
    <row r="104" spans="1:18" s="554" customFormat="1" ht="24.95" customHeight="1" x14ac:dyDescent="0.35">
      <c r="A104" s="886">
        <v>45854</v>
      </c>
      <c r="B104" s="556" t="s">
        <v>560</v>
      </c>
      <c r="D104" s="874" t="s">
        <v>90</v>
      </c>
      <c r="E104" s="874"/>
      <c r="F104" s="874"/>
      <c r="G104" s="900" t="s">
        <v>561</v>
      </c>
      <c r="H104" s="554" t="s">
        <v>64</v>
      </c>
      <c r="I104" s="890">
        <v>469985</v>
      </c>
      <c r="J104" s="888"/>
      <c r="O104" s="874"/>
      <c r="P104" s="874"/>
    </row>
    <row r="105" spans="1:18" s="554" customFormat="1" ht="24.95" customHeight="1" x14ac:dyDescent="0.35">
      <c r="A105" s="886">
        <v>45854</v>
      </c>
      <c r="B105" s="556" t="s">
        <v>560</v>
      </c>
      <c r="D105" s="874" t="s">
        <v>90</v>
      </c>
      <c r="E105" s="874"/>
      <c r="F105" s="874"/>
      <c r="G105" s="900" t="s">
        <v>562</v>
      </c>
      <c r="I105" s="890" t="s">
        <v>419</v>
      </c>
      <c r="J105" s="888"/>
      <c r="O105" s="874"/>
      <c r="P105" s="874"/>
    </row>
    <row r="106" spans="1:18" s="554" customFormat="1" ht="24.95" customHeight="1" x14ac:dyDescent="0.35">
      <c r="A106" s="886" t="s">
        <v>557</v>
      </c>
      <c r="B106" s="556" t="s">
        <v>563</v>
      </c>
      <c r="D106" s="874"/>
      <c r="E106" s="874"/>
      <c r="F106" s="874"/>
      <c r="G106" s="900" t="s">
        <v>564</v>
      </c>
      <c r="I106" s="890">
        <v>115000</v>
      </c>
      <c r="J106" s="888"/>
      <c r="O106" s="874"/>
      <c r="P106" s="874"/>
    </row>
    <row r="107" spans="1:18" s="554" customFormat="1" ht="24.95" customHeight="1" x14ac:dyDescent="0.35">
      <c r="A107" s="886" t="s">
        <v>421</v>
      </c>
      <c r="B107" s="556" t="s">
        <v>563</v>
      </c>
      <c r="D107" s="874"/>
      <c r="E107" s="874"/>
      <c r="F107" s="874"/>
      <c r="G107" s="900" t="s">
        <v>565</v>
      </c>
      <c r="I107" s="890">
        <v>25895</v>
      </c>
      <c r="J107" s="888"/>
      <c r="O107" s="874"/>
      <c r="P107" s="874"/>
    </row>
    <row r="108" spans="1:18" s="554" customFormat="1" ht="24.95" customHeight="1" x14ac:dyDescent="0.35">
      <c r="A108" s="886" t="s">
        <v>421</v>
      </c>
      <c r="B108" s="556" t="s">
        <v>446</v>
      </c>
      <c r="D108" s="874" t="s">
        <v>90</v>
      </c>
      <c r="E108" s="874"/>
      <c r="F108" s="874"/>
      <c r="G108" s="900" t="s">
        <v>566</v>
      </c>
      <c r="I108" s="890" t="s">
        <v>419</v>
      </c>
      <c r="J108" s="888"/>
      <c r="O108" s="874"/>
      <c r="P108" s="874"/>
    </row>
    <row r="109" spans="1:18" s="554" customFormat="1" ht="24.95" customHeight="1" x14ac:dyDescent="0.35">
      <c r="A109" s="886">
        <v>45857</v>
      </c>
      <c r="B109" s="556" t="s">
        <v>432</v>
      </c>
      <c r="D109" s="874" t="s">
        <v>90</v>
      </c>
      <c r="E109" s="874"/>
      <c r="F109" s="874"/>
      <c r="G109" s="900" t="s">
        <v>567</v>
      </c>
      <c r="I109" s="890">
        <v>438000</v>
      </c>
      <c r="J109" s="888"/>
      <c r="O109" s="874"/>
      <c r="P109" s="874"/>
    </row>
    <row r="110" spans="1:18" s="554" customFormat="1" ht="24.95" customHeight="1" x14ac:dyDescent="0.35">
      <c r="A110" s="886">
        <v>45859</v>
      </c>
      <c r="B110" s="556" t="s">
        <v>549</v>
      </c>
      <c r="D110" s="874" t="s">
        <v>282</v>
      </c>
      <c r="E110" s="874"/>
      <c r="F110" s="874"/>
      <c r="G110" s="900" t="s">
        <v>568</v>
      </c>
      <c r="I110" s="890">
        <v>9850</v>
      </c>
      <c r="J110" s="888"/>
      <c r="O110" s="874"/>
      <c r="P110" s="874"/>
    </row>
    <row r="111" spans="1:18" s="889" customFormat="1" ht="24.95" customHeight="1" x14ac:dyDescent="0.35">
      <c r="A111" s="698"/>
      <c r="B111" s="699" t="s">
        <v>7</v>
      </c>
      <c r="C111" s="700"/>
      <c r="D111" s="612" t="s">
        <v>140</v>
      </c>
      <c r="E111" s="700"/>
      <c r="F111" s="700"/>
      <c r="G111" s="614"/>
      <c r="H111" s="701"/>
      <c r="I111" s="891">
        <f>SUM(I95:I110)</f>
        <v>3516376</v>
      </c>
      <c r="J111" s="703">
        <f>SUM(J101:J110)</f>
        <v>363300</v>
      </c>
      <c r="K111" s="703">
        <f>SUM(K51:K110)</f>
        <v>13116823.77</v>
      </c>
      <c r="L111" s="704">
        <f>SUM(L48:L54)</f>
        <v>297900</v>
      </c>
      <c r="M111" s="703">
        <f>SUM(M45:M54)</f>
        <v>631059.82000000007</v>
      </c>
      <c r="N111" s="703"/>
      <c r="O111" s="703">
        <f>SUM(O7:O93)</f>
        <v>7134580.21</v>
      </c>
      <c r="P111" s="705"/>
      <c r="Q111" s="706">
        <f>SUM(I111:P111)</f>
        <v>25060039.800000001</v>
      </c>
      <c r="R111" s="707"/>
    </row>
    <row r="112" spans="1:18" ht="24.95" customHeight="1" x14ac:dyDescent="0.35">
      <c r="A112" s="923" t="s">
        <v>64</v>
      </c>
      <c r="F112" s="925" t="s">
        <v>64</v>
      </c>
      <c r="H112" s="927"/>
    </row>
    <row r="113" spans="5:17" ht="24.95" customHeight="1" x14ac:dyDescent="0.35">
      <c r="H113" s="927"/>
    </row>
    <row r="114" spans="5:17" ht="24.95" customHeight="1" x14ac:dyDescent="0.35">
      <c r="E114" s="565" t="s">
        <v>486</v>
      </c>
      <c r="O114" s="562"/>
    </row>
    <row r="115" spans="5:17" ht="24.95" customHeight="1" x14ac:dyDescent="0.35">
      <c r="F115" s="925" t="s">
        <v>64</v>
      </c>
      <c r="O115" s="562"/>
    </row>
    <row r="116" spans="5:17" ht="23.25" customHeight="1" x14ac:dyDescent="0.35">
      <c r="G116" s="565"/>
      <c r="H116" s="565"/>
      <c r="I116" s="565"/>
      <c r="J116" s="565" t="s">
        <v>64</v>
      </c>
      <c r="K116" s="565"/>
      <c r="O116" s="562"/>
      <c r="P116" s="565"/>
    </row>
    <row r="117" spans="5:17" ht="24.95" customHeight="1" x14ac:dyDescent="0.35">
      <c r="O117" s="562"/>
      <c r="Q117" s="562"/>
    </row>
    <row r="118" spans="5:17" ht="24.95" customHeight="1" x14ac:dyDescent="0.35">
      <c r="O118" s="562"/>
    </row>
    <row r="119" spans="5:17" ht="24.95" customHeight="1" x14ac:dyDescent="0.35">
      <c r="O119" s="562"/>
    </row>
    <row r="120" spans="5:17" ht="24.95" customHeight="1" x14ac:dyDescent="0.35">
      <c r="O120" s="562"/>
    </row>
    <row r="121" spans="5:17" ht="24.95" customHeight="1" x14ac:dyDescent="0.35">
      <c r="O121" s="562"/>
    </row>
    <row r="122" spans="5:17" ht="24.95" customHeight="1" x14ac:dyDescent="0.35">
      <c r="O122" s="562"/>
    </row>
    <row r="123" spans="5:17" ht="24.95" customHeight="1" x14ac:dyDescent="0.35">
      <c r="O123" s="562"/>
    </row>
    <row r="124" spans="5:17" ht="24.95" customHeight="1" x14ac:dyDescent="0.35">
      <c r="O124" s="562"/>
    </row>
    <row r="125" spans="5:17" ht="24.95" customHeight="1" x14ac:dyDescent="0.35">
      <c r="O125" s="931"/>
    </row>
    <row r="126" spans="5:17" ht="24.95" customHeight="1" x14ac:dyDescent="0.35">
      <c r="O126" s="932"/>
    </row>
    <row r="127" spans="5:17" ht="24.95" customHeight="1" x14ac:dyDescent="0.35">
      <c r="O127" s="933"/>
    </row>
    <row r="128" spans="5:17" ht="24.95" customHeight="1" x14ac:dyDescent="0.35">
      <c r="O128" s="932"/>
    </row>
    <row r="129" spans="15:15" ht="24.95" customHeight="1" x14ac:dyDescent="0.35">
      <c r="O129" s="933"/>
    </row>
  </sheetData>
  <pageMargins left="0.70866141732283472" right="0.70866141732283472" top="0.74803149606299213" bottom="0.74803149606299213" header="0.31496062992125984" footer="0.31496062992125984"/>
  <pageSetup scale="35" fitToWidth="0"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0"/>
  <sheetViews>
    <sheetView topLeftCell="B10" workbookViewId="0">
      <selection activeCell="H21" sqref="H21"/>
    </sheetView>
  </sheetViews>
  <sheetFormatPr defaultColWidth="23.85546875" defaultRowHeight="23.25" x14ac:dyDescent="0.35"/>
  <cols>
    <col min="1" max="1" width="23.85546875" style="656"/>
    <col min="2" max="2" width="42.85546875" style="623" customWidth="1"/>
    <col min="3" max="3" width="15.85546875" style="524" customWidth="1"/>
    <col min="4" max="4" width="13" style="657" customWidth="1"/>
    <col min="5" max="5" width="14.28515625" style="524" customWidth="1"/>
    <col min="6" max="6" width="12.28515625" style="658" customWidth="1"/>
    <col min="7" max="7" width="23.85546875" style="659"/>
    <col min="8" max="8" width="13.85546875" style="664" customWidth="1"/>
    <col min="9" max="9" width="24"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18" ht="24.95" customHeight="1" x14ac:dyDescent="0.35">
      <c r="A1" s="514" t="s">
        <v>8</v>
      </c>
      <c r="B1" s="515"/>
      <c r="C1" s="516"/>
      <c r="D1" s="517"/>
      <c r="E1" s="516"/>
      <c r="F1" s="516"/>
      <c r="G1" s="518"/>
      <c r="H1" s="519"/>
      <c r="I1" s="520"/>
      <c r="J1" s="521"/>
      <c r="K1" s="521"/>
      <c r="L1" s="521"/>
      <c r="M1" s="521"/>
      <c r="N1" s="521"/>
      <c r="O1" s="522"/>
      <c r="P1" s="523"/>
    </row>
    <row r="2" spans="1:18" ht="24.95" customHeight="1" x14ac:dyDescent="0.35">
      <c r="A2" s="525" t="s">
        <v>9</v>
      </c>
      <c r="B2" s="526"/>
      <c r="C2" s="527"/>
      <c r="D2" s="528"/>
      <c r="E2" s="527"/>
      <c r="F2" s="527"/>
      <c r="G2" s="529"/>
      <c r="H2" s="530"/>
      <c r="I2" s="531"/>
      <c r="J2" s="532"/>
      <c r="K2" s="532"/>
      <c r="L2" s="532"/>
      <c r="M2" s="532"/>
      <c r="N2" s="532"/>
      <c r="O2" s="533"/>
      <c r="P2" s="534"/>
    </row>
    <row r="3" spans="1:18" ht="24.95" customHeight="1" x14ac:dyDescent="0.35">
      <c r="A3" s="525" t="s">
        <v>10</v>
      </c>
      <c r="B3" s="526"/>
      <c r="C3" s="527"/>
      <c r="D3" s="528"/>
      <c r="E3" s="527"/>
      <c r="F3" s="527"/>
      <c r="G3" s="529"/>
      <c r="H3" s="530"/>
      <c r="I3" s="535"/>
      <c r="J3" s="536"/>
      <c r="K3" s="536"/>
      <c r="L3" s="536"/>
      <c r="M3" s="536"/>
      <c r="N3" s="536"/>
      <c r="O3" s="537"/>
      <c r="P3" s="538"/>
    </row>
    <row r="4" spans="1:18" ht="24.95" customHeight="1" x14ac:dyDescent="0.35">
      <c r="A4" s="525" t="s">
        <v>521</v>
      </c>
      <c r="B4" s="526"/>
      <c r="C4" s="527"/>
      <c r="D4" s="528"/>
      <c r="E4" s="527"/>
      <c r="F4" s="527"/>
      <c r="G4" s="529"/>
      <c r="H4" s="530"/>
      <c r="I4" s="535"/>
      <c r="J4" s="536"/>
      <c r="K4" s="536"/>
      <c r="L4" s="536"/>
      <c r="M4" s="536"/>
      <c r="N4" s="536"/>
      <c r="O4" s="537"/>
      <c r="P4" s="538"/>
    </row>
    <row r="5" spans="1:18" ht="24.95" customHeight="1" x14ac:dyDescent="0.35">
      <c r="A5" s="539"/>
      <c r="B5" s="526"/>
      <c r="C5" s="527"/>
      <c r="D5" s="528"/>
      <c r="E5" s="527"/>
      <c r="F5" s="527"/>
      <c r="G5" s="529"/>
      <c r="H5" s="540"/>
      <c r="I5" s="541"/>
      <c r="J5" s="542"/>
      <c r="K5" s="542"/>
      <c r="L5" s="542"/>
      <c r="M5" s="542"/>
      <c r="N5" s="542"/>
      <c r="O5" s="542"/>
      <c r="P5" s="543"/>
    </row>
    <row r="6" spans="1:18" s="565" customFormat="1"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18" s="565" customFormat="1" ht="24.95" customHeight="1" x14ac:dyDescent="0.35">
      <c r="A7" s="555">
        <v>43878</v>
      </c>
      <c r="B7" s="556" t="s">
        <v>63</v>
      </c>
      <c r="C7" s="557"/>
      <c r="D7" s="558" t="s">
        <v>90</v>
      </c>
      <c r="E7" s="557"/>
      <c r="F7" s="557"/>
      <c r="G7" s="559" t="s">
        <v>102</v>
      </c>
      <c r="H7" s="560"/>
      <c r="I7" s="865"/>
      <c r="J7" s="559"/>
      <c r="K7" s="562"/>
      <c r="L7" s="551"/>
      <c r="M7" s="551"/>
      <c r="N7" s="551"/>
      <c r="O7" s="865">
        <v>33421.01</v>
      </c>
      <c r="P7" s="866" t="s">
        <v>22</v>
      </c>
    </row>
    <row r="8" spans="1:18" s="576" customFormat="1" ht="24.95" customHeight="1" x14ac:dyDescent="0.35">
      <c r="A8" s="867">
        <v>44092</v>
      </c>
      <c r="B8" s="558" t="s">
        <v>78</v>
      </c>
      <c r="C8" s="557"/>
      <c r="D8" s="568" t="s">
        <v>92</v>
      </c>
      <c r="E8" s="557"/>
      <c r="F8" s="868"/>
      <c r="G8" s="869" t="s">
        <v>77</v>
      </c>
      <c r="H8" s="560"/>
      <c r="I8" s="870"/>
      <c r="J8" s="871"/>
      <c r="K8" s="871"/>
      <c r="L8" s="871"/>
      <c r="M8" s="871"/>
      <c r="N8" s="871"/>
      <c r="O8" s="574">
        <v>108000</v>
      </c>
      <c r="P8" s="866"/>
    </row>
    <row r="9" spans="1:18" s="587" customFormat="1" ht="24.95" customHeight="1" x14ac:dyDescent="0.35">
      <c r="A9" s="589">
        <v>44352</v>
      </c>
      <c r="B9" s="558" t="s">
        <v>107</v>
      </c>
      <c r="C9" s="579"/>
      <c r="D9" s="580" t="s">
        <v>90</v>
      </c>
      <c r="E9" s="581"/>
      <c r="F9" s="581">
        <v>1918</v>
      </c>
      <c r="G9" s="586">
        <v>4457</v>
      </c>
      <c r="H9" s="583"/>
      <c r="I9" s="584"/>
      <c r="J9" s="584"/>
      <c r="K9" s="584"/>
      <c r="L9" s="584"/>
      <c r="M9" s="584"/>
      <c r="N9" s="584"/>
      <c r="O9" s="585">
        <v>36289.599999999999</v>
      </c>
      <c r="P9" s="586"/>
    </row>
    <row r="10" spans="1:18" s="587" customFormat="1" ht="24.95" customHeight="1" x14ac:dyDescent="0.35">
      <c r="A10" s="589">
        <v>44413</v>
      </c>
      <c r="B10" s="558" t="s">
        <v>107</v>
      </c>
      <c r="C10" s="579"/>
      <c r="D10" s="580" t="s">
        <v>90</v>
      </c>
      <c r="E10" s="581"/>
      <c r="F10" s="581"/>
      <c r="G10" s="586">
        <v>4457</v>
      </c>
      <c r="H10" s="583"/>
      <c r="I10" s="584"/>
      <c r="J10" s="584"/>
      <c r="K10" s="584"/>
      <c r="L10" s="584"/>
      <c r="M10" s="584"/>
      <c r="N10" s="584"/>
      <c r="O10" s="585">
        <v>176976.8</v>
      </c>
      <c r="P10" s="586"/>
    </row>
    <row r="11" spans="1:18" s="587" customFormat="1" ht="24.95" customHeight="1" x14ac:dyDescent="0.35">
      <c r="A11" s="589">
        <v>44420</v>
      </c>
      <c r="B11" s="556" t="s">
        <v>108</v>
      </c>
      <c r="C11" s="579"/>
      <c r="D11" s="558" t="s">
        <v>90</v>
      </c>
      <c r="E11" s="581"/>
      <c r="F11" s="581"/>
      <c r="G11" s="586" t="s">
        <v>120</v>
      </c>
      <c r="H11" s="583"/>
      <c r="I11" s="584"/>
      <c r="J11" s="584"/>
      <c r="K11" s="584"/>
      <c r="L11" s="584"/>
      <c r="M11" s="584"/>
      <c r="N11" s="584"/>
      <c r="O11" s="584">
        <v>470000</v>
      </c>
      <c r="P11" s="586"/>
      <c r="R11" s="587" t="s">
        <v>121</v>
      </c>
    </row>
    <row r="12" spans="1:18" s="587" customFormat="1" ht="24.95" customHeight="1" x14ac:dyDescent="0.35">
      <c r="A12" s="589">
        <v>44474</v>
      </c>
      <c r="B12" s="556" t="s">
        <v>110</v>
      </c>
      <c r="C12" s="579"/>
      <c r="D12" s="558" t="s">
        <v>92</v>
      </c>
      <c r="E12" s="581"/>
      <c r="F12" s="590"/>
      <c r="G12" s="586" t="s">
        <v>111</v>
      </c>
      <c r="H12" s="583"/>
      <c r="I12" s="591"/>
      <c r="J12" s="591"/>
      <c r="K12" s="592"/>
      <c r="L12" s="592"/>
      <c r="M12" s="592"/>
      <c r="N12" s="592"/>
      <c r="O12" s="592">
        <v>40000</v>
      </c>
      <c r="P12" s="586" t="s">
        <v>22</v>
      </c>
      <c r="R12" s="593" t="s">
        <v>112</v>
      </c>
    </row>
    <row r="13" spans="1:18" s="580" customFormat="1" ht="24.95" customHeight="1" x14ac:dyDescent="0.35">
      <c r="A13" s="589">
        <v>44480</v>
      </c>
      <c r="B13" s="556" t="s">
        <v>43</v>
      </c>
      <c r="C13" s="579"/>
      <c r="D13" s="586" t="s">
        <v>90</v>
      </c>
      <c r="E13" s="581"/>
      <c r="F13" s="590">
        <v>2019</v>
      </c>
      <c r="G13" s="586" t="s">
        <v>132</v>
      </c>
      <c r="H13" s="583"/>
      <c r="I13" s="591"/>
      <c r="J13" s="591"/>
      <c r="K13" s="594"/>
      <c r="L13" s="594"/>
      <c r="M13" s="594"/>
      <c r="N13" s="594"/>
      <c r="O13" s="594">
        <v>147281.20000000001</v>
      </c>
      <c r="P13" s="586"/>
      <c r="R13" s="593" t="s">
        <v>133</v>
      </c>
    </row>
    <row r="14" spans="1:18" s="587"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R14" s="587" t="s">
        <v>126</v>
      </c>
    </row>
    <row r="15" spans="1:18" s="587" customFormat="1" ht="24.95" customHeight="1" x14ac:dyDescent="0.35">
      <c r="A15" s="589">
        <v>44607</v>
      </c>
      <c r="B15" s="596" t="s">
        <v>59</v>
      </c>
      <c r="C15" s="579"/>
      <c r="D15" s="558" t="s">
        <v>90</v>
      </c>
      <c r="E15" s="581" t="s">
        <v>135</v>
      </c>
      <c r="F15" s="581"/>
      <c r="G15" s="586" t="s">
        <v>131</v>
      </c>
      <c r="H15" s="583"/>
      <c r="I15" s="591"/>
      <c r="J15" s="591"/>
      <c r="K15" s="591"/>
      <c r="L15" s="591"/>
      <c r="M15" s="591"/>
      <c r="N15" s="591"/>
      <c r="O15" s="591">
        <v>16076.04</v>
      </c>
      <c r="P15" s="591" t="s">
        <v>22</v>
      </c>
      <c r="R15" s="593" t="s">
        <v>134</v>
      </c>
    </row>
    <row r="16" spans="1:18" s="605" customFormat="1" ht="24.95" customHeight="1" x14ac:dyDescent="0.35">
      <c r="A16" s="597">
        <v>44609</v>
      </c>
      <c r="B16" s="598" t="s">
        <v>59</v>
      </c>
      <c r="C16" s="599"/>
      <c r="D16" s="600" t="s">
        <v>90</v>
      </c>
      <c r="E16" s="601" t="s">
        <v>129</v>
      </c>
      <c r="F16" s="601"/>
      <c r="G16" s="602" t="s">
        <v>118</v>
      </c>
      <c r="H16" s="603"/>
      <c r="I16" s="604"/>
      <c r="J16" s="604"/>
      <c r="K16" s="604"/>
      <c r="L16" s="604"/>
      <c r="M16" s="604"/>
      <c r="N16" s="604"/>
      <c r="O16" s="604">
        <v>7186.99</v>
      </c>
      <c r="P16" s="604" t="s">
        <v>22</v>
      </c>
      <c r="R16" s="605" t="s">
        <v>130</v>
      </c>
    </row>
    <row r="17" spans="1:18" s="587" customFormat="1" ht="24.95" customHeight="1" x14ac:dyDescent="0.35">
      <c r="A17" s="589">
        <v>44614</v>
      </c>
      <c r="B17" s="556" t="s">
        <v>136</v>
      </c>
      <c r="C17" s="579"/>
      <c r="D17" s="558" t="s">
        <v>92</v>
      </c>
      <c r="E17" s="581"/>
      <c r="F17" s="581"/>
      <c r="G17" s="586" t="s">
        <v>376</v>
      </c>
      <c r="H17" s="583"/>
      <c r="I17" s="591"/>
      <c r="J17" s="591"/>
      <c r="K17" s="591"/>
      <c r="L17" s="591"/>
      <c r="M17" s="591"/>
      <c r="N17" s="591"/>
      <c r="O17" s="591">
        <v>526625</v>
      </c>
      <c r="P17" s="591"/>
      <c r="R17" s="587" t="s">
        <v>193</v>
      </c>
    </row>
    <row r="18" spans="1:18" s="587"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R18" s="587" t="s">
        <v>138</v>
      </c>
    </row>
    <row r="19" spans="1:18" s="587"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R19" s="587" t="s">
        <v>139</v>
      </c>
    </row>
    <row r="20" spans="1:18" s="587" customFormat="1" ht="24.95" customHeight="1" x14ac:dyDescent="0.35">
      <c r="A20" s="589">
        <v>44711</v>
      </c>
      <c r="B20" s="556" t="s">
        <v>153</v>
      </c>
      <c r="C20" s="579"/>
      <c r="D20" s="558" t="s">
        <v>92</v>
      </c>
      <c r="E20" s="581"/>
      <c r="F20" s="581"/>
      <c r="G20" s="586" t="s">
        <v>181</v>
      </c>
      <c r="H20" s="583"/>
      <c r="I20" s="591"/>
      <c r="J20" s="591"/>
      <c r="K20" s="591"/>
      <c r="L20" s="591"/>
      <c r="M20" s="591"/>
      <c r="N20" s="591"/>
      <c r="O20" s="591">
        <v>164667</v>
      </c>
      <c r="P20" s="592"/>
      <c r="R20" s="593" t="s">
        <v>182</v>
      </c>
    </row>
    <row r="21" spans="1:18" s="605" customFormat="1" ht="24.95" customHeight="1" x14ac:dyDescent="0.35">
      <c r="A21" s="597">
        <v>44714</v>
      </c>
      <c r="B21" s="598" t="s">
        <v>59</v>
      </c>
      <c r="C21" s="599"/>
      <c r="D21" s="600" t="s">
        <v>90</v>
      </c>
      <c r="E21" s="601"/>
      <c r="F21" s="601">
        <v>2062</v>
      </c>
      <c r="G21" s="602" t="s">
        <v>118</v>
      </c>
      <c r="H21" s="603"/>
      <c r="I21" s="604"/>
      <c r="J21" s="604"/>
      <c r="K21" s="604"/>
      <c r="L21" s="604"/>
      <c r="M21" s="604"/>
      <c r="N21" s="604"/>
      <c r="O21" s="604">
        <v>77456</v>
      </c>
      <c r="P21" s="604" t="s">
        <v>22</v>
      </c>
      <c r="R21" s="598" t="s">
        <v>142</v>
      </c>
    </row>
    <row r="22" spans="1:18" s="605" customFormat="1" ht="24.95" customHeight="1" x14ac:dyDescent="0.35">
      <c r="A22" s="597">
        <v>44714</v>
      </c>
      <c r="B22" s="598" t="s">
        <v>59</v>
      </c>
      <c r="C22" s="599"/>
      <c r="D22" s="600" t="s">
        <v>90</v>
      </c>
      <c r="E22" s="601" t="s">
        <v>143</v>
      </c>
      <c r="F22" s="601"/>
      <c r="G22" s="602" t="s">
        <v>118</v>
      </c>
      <c r="H22" s="603"/>
      <c r="I22" s="604"/>
      <c r="J22" s="604"/>
      <c r="K22" s="604"/>
      <c r="L22" s="604"/>
      <c r="M22" s="604"/>
      <c r="N22" s="604"/>
      <c r="O22" s="604">
        <v>72499.08</v>
      </c>
      <c r="P22" s="604" t="s">
        <v>22</v>
      </c>
      <c r="R22" s="598" t="s">
        <v>144</v>
      </c>
    </row>
    <row r="23" spans="1:18" s="605" customFormat="1" ht="24.95" customHeight="1" x14ac:dyDescent="0.35">
      <c r="A23" s="597">
        <v>44741</v>
      </c>
      <c r="B23" s="598" t="s">
        <v>59</v>
      </c>
      <c r="C23" s="599"/>
      <c r="D23" s="600" t="s">
        <v>90</v>
      </c>
      <c r="E23" s="601" t="s">
        <v>166</v>
      </c>
      <c r="F23" s="601"/>
      <c r="G23" s="602">
        <v>5908</v>
      </c>
      <c r="H23" s="603"/>
      <c r="I23" s="604"/>
      <c r="J23" s="604"/>
      <c r="K23" s="604"/>
      <c r="L23" s="604"/>
      <c r="M23" s="607"/>
      <c r="N23" s="607"/>
      <c r="O23" s="607">
        <v>510</v>
      </c>
      <c r="P23" s="607" t="s">
        <v>22</v>
      </c>
      <c r="R23" s="598" t="s">
        <v>167</v>
      </c>
    </row>
    <row r="24" spans="1:18" s="587" customFormat="1" ht="24.95" customHeight="1" x14ac:dyDescent="0.35">
      <c r="A24" s="589">
        <v>44768</v>
      </c>
      <c r="B24" s="556" t="s">
        <v>159</v>
      </c>
      <c r="C24" s="579"/>
      <c r="D24" s="558" t="s">
        <v>90</v>
      </c>
      <c r="E24" s="581"/>
      <c r="F24" s="581"/>
      <c r="G24" s="586" t="s">
        <v>151</v>
      </c>
      <c r="H24" s="583"/>
      <c r="I24" s="591"/>
      <c r="J24" s="591"/>
      <c r="K24" s="591"/>
      <c r="L24" s="591"/>
      <c r="M24" s="591"/>
      <c r="N24" s="591"/>
      <c r="O24" s="629" t="s">
        <v>479</v>
      </c>
      <c r="P24" s="591" t="s">
        <v>22</v>
      </c>
      <c r="R24" s="608" t="s">
        <v>199</v>
      </c>
    </row>
    <row r="25" spans="1:18" s="587" customFormat="1" ht="24.95" customHeight="1" x14ac:dyDescent="0.35">
      <c r="A25" s="589">
        <v>44786</v>
      </c>
      <c r="B25" s="556" t="s">
        <v>150</v>
      </c>
      <c r="C25" s="579"/>
      <c r="D25" s="558" t="s">
        <v>94</v>
      </c>
      <c r="E25" s="581"/>
      <c r="F25" s="581">
        <v>2136</v>
      </c>
      <c r="G25" s="586" t="s">
        <v>170</v>
      </c>
      <c r="H25" s="583"/>
      <c r="I25" s="591"/>
      <c r="J25" s="591"/>
      <c r="K25" s="591"/>
      <c r="L25" s="591"/>
      <c r="M25" s="592"/>
      <c r="N25" s="591"/>
      <c r="O25" s="591">
        <v>193400</v>
      </c>
      <c r="P25" s="586" t="s">
        <v>22</v>
      </c>
      <c r="R25" s="593" t="s">
        <v>171</v>
      </c>
    </row>
    <row r="26" spans="1:18" s="587"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R26" s="593" t="s">
        <v>174</v>
      </c>
    </row>
    <row r="27" spans="1:18" s="587"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R27" s="593" t="s">
        <v>160</v>
      </c>
    </row>
    <row r="28" spans="1:18" s="605" customFormat="1" ht="24.95" customHeight="1" x14ac:dyDescent="0.35">
      <c r="A28" s="597">
        <v>44855</v>
      </c>
      <c r="B28" s="598" t="s">
        <v>59</v>
      </c>
      <c r="C28" s="599"/>
      <c r="D28" s="600" t="s">
        <v>90</v>
      </c>
      <c r="E28" s="601" t="s">
        <v>164</v>
      </c>
      <c r="F28" s="601"/>
      <c r="G28" s="602">
        <v>5739</v>
      </c>
      <c r="H28" s="603"/>
      <c r="I28" s="604"/>
      <c r="J28" s="604"/>
      <c r="K28" s="604"/>
      <c r="L28" s="604"/>
      <c r="M28" s="604"/>
      <c r="N28" s="604"/>
      <c r="O28" s="604">
        <v>6650</v>
      </c>
      <c r="P28" s="604" t="s">
        <v>22</v>
      </c>
      <c r="R28" s="598" t="s">
        <v>165</v>
      </c>
    </row>
    <row r="29" spans="1:18" s="605" customFormat="1" ht="24.95" customHeight="1" x14ac:dyDescent="0.35">
      <c r="A29" s="597">
        <v>44855</v>
      </c>
      <c r="B29" s="598" t="s">
        <v>59</v>
      </c>
      <c r="C29" s="599"/>
      <c r="D29" s="600" t="s">
        <v>90</v>
      </c>
      <c r="E29" s="601" t="s">
        <v>168</v>
      </c>
      <c r="F29" s="601"/>
      <c r="G29" s="602" t="s">
        <v>118</v>
      </c>
      <c r="H29" s="603"/>
      <c r="I29" s="604"/>
      <c r="J29" s="604"/>
      <c r="K29" s="604"/>
      <c r="L29" s="604"/>
      <c r="M29" s="604"/>
      <c r="N29" s="604"/>
      <c r="O29" s="604">
        <v>3000</v>
      </c>
      <c r="P29" s="604" t="s">
        <v>22</v>
      </c>
      <c r="R29" s="598" t="s">
        <v>169</v>
      </c>
    </row>
    <row r="30" spans="1:18" s="605" customFormat="1" ht="24.95" customHeight="1" x14ac:dyDescent="0.35">
      <c r="A30" s="597">
        <v>44916</v>
      </c>
      <c r="B30" s="598" t="s">
        <v>59</v>
      </c>
      <c r="C30" s="599"/>
      <c r="D30" s="600" t="s">
        <v>90</v>
      </c>
      <c r="E30" s="601"/>
      <c r="F30" s="601">
        <v>2176</v>
      </c>
      <c r="G30" s="602" t="s">
        <v>118</v>
      </c>
      <c r="H30" s="603"/>
      <c r="I30" s="604"/>
      <c r="J30" s="604"/>
      <c r="K30" s="604"/>
      <c r="L30" s="604"/>
      <c r="M30" s="604"/>
      <c r="N30" s="607"/>
      <c r="O30" s="604">
        <v>186146</v>
      </c>
      <c r="P30" s="602"/>
      <c r="R30" s="598" t="s">
        <v>179</v>
      </c>
    </row>
    <row r="31" spans="1:18" s="617" customFormat="1" ht="24.95" customHeight="1" x14ac:dyDescent="0.35">
      <c r="A31" s="609">
        <v>44954</v>
      </c>
      <c r="B31" s="610" t="s">
        <v>145</v>
      </c>
      <c r="C31" s="611"/>
      <c r="D31" s="612" t="s">
        <v>92</v>
      </c>
      <c r="E31" s="613" t="s">
        <v>260</v>
      </c>
      <c r="F31" s="613"/>
      <c r="G31" s="614" t="s">
        <v>262</v>
      </c>
      <c r="H31" s="615"/>
      <c r="I31" s="616"/>
      <c r="J31" s="616"/>
      <c r="K31" s="616"/>
      <c r="L31" s="616"/>
      <c r="M31" s="616"/>
      <c r="N31" s="616"/>
      <c r="O31" s="616">
        <v>666000</v>
      </c>
      <c r="P31" s="616"/>
      <c r="R31" s="618" t="s">
        <v>264</v>
      </c>
    </row>
    <row r="32" spans="1:18" s="617" customFormat="1" ht="24.95" customHeight="1" x14ac:dyDescent="0.35">
      <c r="A32" s="609">
        <v>44954</v>
      </c>
      <c r="B32" s="610" t="s">
        <v>145</v>
      </c>
      <c r="C32" s="611"/>
      <c r="D32" s="612" t="s">
        <v>92</v>
      </c>
      <c r="E32" s="613" t="s">
        <v>261</v>
      </c>
      <c r="F32" s="613"/>
      <c r="G32" s="614" t="s">
        <v>263</v>
      </c>
      <c r="H32" s="615"/>
      <c r="I32" s="616"/>
      <c r="J32" s="616"/>
      <c r="K32" s="616"/>
      <c r="L32" s="616"/>
      <c r="M32" s="616"/>
      <c r="N32" s="616"/>
      <c r="O32" s="616">
        <v>657658.5</v>
      </c>
      <c r="P32" s="616"/>
      <c r="R32" s="618" t="s">
        <v>265</v>
      </c>
    </row>
    <row r="33" spans="1:18" s="587"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R33" s="593" t="s">
        <v>185</v>
      </c>
    </row>
    <row r="34" spans="1:18" s="587" customFormat="1" ht="24.95" customHeight="1" x14ac:dyDescent="0.35">
      <c r="A34" s="589" t="s">
        <v>190</v>
      </c>
      <c r="B34" s="620" t="s">
        <v>191</v>
      </c>
      <c r="C34" s="579"/>
      <c r="D34" s="558" t="s">
        <v>92</v>
      </c>
      <c r="E34" s="581"/>
      <c r="F34" s="581"/>
      <c r="G34" s="586" t="s">
        <v>118</v>
      </c>
      <c r="H34" s="583"/>
      <c r="I34" s="591"/>
      <c r="J34" s="591"/>
      <c r="K34" s="591"/>
      <c r="L34" s="591"/>
      <c r="M34" s="591"/>
      <c r="N34" s="591"/>
      <c r="O34" s="591">
        <v>67000</v>
      </c>
      <c r="P34" s="591" t="s">
        <v>22</v>
      </c>
      <c r="R34" s="593"/>
    </row>
    <row r="35" spans="1:18" s="617" customFormat="1" ht="24.95" customHeight="1" x14ac:dyDescent="0.35">
      <c r="A35" s="609">
        <v>45017</v>
      </c>
      <c r="B35" s="610" t="s">
        <v>145</v>
      </c>
      <c r="C35" s="611"/>
      <c r="D35" s="612" t="s">
        <v>92</v>
      </c>
      <c r="E35" s="613"/>
      <c r="F35" s="613"/>
      <c r="G35" s="614">
        <v>5460</v>
      </c>
      <c r="H35" s="615" t="s">
        <v>257</v>
      </c>
      <c r="I35" s="616"/>
      <c r="J35" s="616"/>
      <c r="K35" s="616"/>
      <c r="L35" s="616"/>
      <c r="M35" s="616"/>
      <c r="N35" s="616"/>
      <c r="O35" s="872">
        <v>413995.98</v>
      </c>
      <c r="P35" s="614"/>
      <c r="R35" s="618" t="s">
        <v>276</v>
      </c>
    </row>
    <row r="36" spans="1:18" s="554" customFormat="1" ht="24.95" customHeight="1" x14ac:dyDescent="0.35">
      <c r="A36" s="873">
        <v>45147</v>
      </c>
      <c r="B36" s="554" t="s">
        <v>205</v>
      </c>
      <c r="D36" s="554" t="s">
        <v>92</v>
      </c>
      <c r="E36" s="874"/>
      <c r="F36" s="874"/>
      <c r="G36" s="875">
        <v>5568</v>
      </c>
      <c r="O36" s="554">
        <v>10000</v>
      </c>
      <c r="P36" s="554" t="s">
        <v>210</v>
      </c>
      <c r="R36" s="554" t="s">
        <v>206</v>
      </c>
    </row>
    <row r="37" spans="1:18" s="617" customFormat="1" ht="24.95" customHeight="1" x14ac:dyDescent="0.35">
      <c r="A37" s="609">
        <v>45181</v>
      </c>
      <c r="B37" s="610" t="s">
        <v>145</v>
      </c>
      <c r="C37" s="611"/>
      <c r="D37" s="612" t="s">
        <v>90</v>
      </c>
      <c r="E37" s="613" t="s">
        <v>277</v>
      </c>
      <c r="F37" s="613"/>
      <c r="G37" s="614">
        <v>5606</v>
      </c>
      <c r="H37" s="615"/>
      <c r="I37" s="626"/>
      <c r="J37" s="626"/>
      <c r="K37" s="626"/>
      <c r="L37" s="626"/>
      <c r="M37" s="626"/>
      <c r="N37" s="626"/>
      <c r="O37" s="626">
        <v>676930.8</v>
      </c>
      <c r="P37" s="614"/>
      <c r="R37" s="618" t="s">
        <v>278</v>
      </c>
    </row>
    <row r="38" spans="1:18" s="587" customFormat="1" ht="24.95" customHeight="1" x14ac:dyDescent="0.35">
      <c r="A38" s="589">
        <v>45195</v>
      </c>
      <c r="B38" s="556" t="s">
        <v>271</v>
      </c>
      <c r="C38" s="579"/>
      <c r="D38" s="558" t="s">
        <v>92</v>
      </c>
      <c r="E38" s="581"/>
      <c r="F38" s="581"/>
      <c r="G38" s="586" t="s">
        <v>272</v>
      </c>
      <c r="H38" s="583"/>
      <c r="I38" s="592"/>
      <c r="J38" s="592"/>
      <c r="K38" s="592"/>
      <c r="L38" s="592"/>
      <c r="M38" s="592"/>
      <c r="N38" s="592"/>
      <c r="O38" s="592">
        <v>2339.29</v>
      </c>
      <c r="P38" s="586" t="s">
        <v>22</v>
      </c>
      <c r="R38" s="586" t="s">
        <v>273</v>
      </c>
    </row>
    <row r="39" spans="1:18" s="587" customFormat="1" ht="24.95" customHeight="1" x14ac:dyDescent="0.35">
      <c r="A39" s="589">
        <v>45310</v>
      </c>
      <c r="B39" s="627" t="s">
        <v>109</v>
      </c>
      <c r="C39" s="579"/>
      <c r="D39" s="586" t="s">
        <v>90</v>
      </c>
      <c r="E39" s="581"/>
      <c r="F39" s="581"/>
      <c r="G39" s="586" t="s">
        <v>327</v>
      </c>
      <c r="H39" s="583"/>
      <c r="I39" s="592"/>
      <c r="J39" s="592"/>
      <c r="K39" s="592"/>
      <c r="L39" s="592"/>
      <c r="M39" s="592"/>
      <c r="N39" s="592"/>
      <c r="O39" s="592">
        <v>16550</v>
      </c>
      <c r="P39" s="586" t="s">
        <v>22</v>
      </c>
      <c r="R39" s="593" t="s">
        <v>328</v>
      </c>
    </row>
    <row r="40" spans="1:18" s="617" customFormat="1" ht="24.95" customHeight="1" x14ac:dyDescent="0.35">
      <c r="A40" s="609">
        <f>SUM(G119)</f>
        <v>0</v>
      </c>
      <c r="B40" s="628" t="s">
        <v>37</v>
      </c>
      <c r="C40" s="611"/>
      <c r="D40" s="614" t="s">
        <v>90</v>
      </c>
      <c r="E40" s="613" t="s">
        <v>233</v>
      </c>
      <c r="F40" s="613"/>
      <c r="G40" s="614">
        <v>5714</v>
      </c>
      <c r="H40" s="615"/>
      <c r="I40" s="626"/>
      <c r="J40" s="626"/>
      <c r="K40" s="626"/>
      <c r="L40" s="626"/>
      <c r="M40" s="626"/>
      <c r="N40" s="626"/>
      <c r="O40" s="626">
        <v>150000</v>
      </c>
      <c r="P40" s="614"/>
      <c r="R40" s="618" t="s">
        <v>234</v>
      </c>
    </row>
    <row r="41" spans="1:18" s="587"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R41" s="593" t="s">
        <v>231</v>
      </c>
    </row>
    <row r="42" spans="1:18" s="605" customFormat="1" ht="24.95" customHeight="1" x14ac:dyDescent="0.35">
      <c r="A42" s="597">
        <v>45343</v>
      </c>
      <c r="B42" s="598" t="s">
        <v>59</v>
      </c>
      <c r="C42" s="599"/>
      <c r="D42" s="598" t="s">
        <v>90</v>
      </c>
      <c r="E42" s="601" t="s">
        <v>238</v>
      </c>
      <c r="F42" s="601"/>
      <c r="G42" s="602" t="s">
        <v>118</v>
      </c>
      <c r="H42" s="603"/>
      <c r="I42" s="607"/>
      <c r="J42" s="607"/>
      <c r="K42" s="607"/>
      <c r="L42" s="607"/>
      <c r="M42" s="607"/>
      <c r="N42" s="607"/>
      <c r="O42" s="607">
        <v>22500</v>
      </c>
      <c r="P42" s="604" t="s">
        <v>22</v>
      </c>
      <c r="R42" s="598" t="s">
        <v>239</v>
      </c>
    </row>
    <row r="43" spans="1:18" s="587"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R43" s="593" t="s">
        <v>251</v>
      </c>
    </row>
    <row r="44" spans="1:18" s="617" customFormat="1" ht="24.95" customHeight="1" x14ac:dyDescent="0.35">
      <c r="A44" s="609">
        <v>45386</v>
      </c>
      <c r="B44" s="610" t="s">
        <v>145</v>
      </c>
      <c r="C44" s="611"/>
      <c r="D44" s="614" t="s">
        <v>90</v>
      </c>
      <c r="E44" s="613"/>
      <c r="F44" s="613"/>
      <c r="G44" s="614">
        <v>5776</v>
      </c>
      <c r="H44" s="615"/>
      <c r="I44" s="626"/>
      <c r="J44" s="626"/>
      <c r="K44" s="626" t="s">
        <v>64</v>
      </c>
      <c r="L44" s="626"/>
      <c r="M44" s="626"/>
      <c r="N44" s="626"/>
      <c r="O44" s="626">
        <v>455997.92</v>
      </c>
      <c r="P44" s="616" t="s">
        <v>22</v>
      </c>
      <c r="R44" s="618" t="s">
        <v>256</v>
      </c>
    </row>
    <row r="45" spans="1:18" s="587" customFormat="1" ht="24.95" customHeight="1" x14ac:dyDescent="0.35">
      <c r="A45" s="589">
        <v>45458</v>
      </c>
      <c r="B45" s="556" t="s">
        <v>43</v>
      </c>
      <c r="C45" s="579"/>
      <c r="D45" s="586" t="s">
        <v>90</v>
      </c>
      <c r="E45" s="581"/>
      <c r="F45" s="581">
        <v>2355</v>
      </c>
      <c r="G45" s="586" t="s">
        <v>290</v>
      </c>
      <c r="H45" s="583"/>
      <c r="I45" s="592"/>
      <c r="J45" s="592"/>
      <c r="K45" s="592"/>
      <c r="L45" s="592"/>
      <c r="M45" s="592">
        <v>11059.82</v>
      </c>
      <c r="N45" s="592"/>
      <c r="O45" s="586"/>
      <c r="P45" s="586" t="s">
        <v>22</v>
      </c>
      <c r="R45" s="587" t="s">
        <v>350</v>
      </c>
    </row>
    <row r="46" spans="1:18" s="587" customFormat="1" ht="24.95" customHeight="1" x14ac:dyDescent="0.35">
      <c r="A46" s="589">
        <v>45539</v>
      </c>
      <c r="B46" s="556" t="s">
        <v>301</v>
      </c>
      <c r="C46" s="579"/>
      <c r="D46" s="586" t="s">
        <v>90</v>
      </c>
      <c r="E46" s="581"/>
      <c r="F46" s="581">
        <v>2387</v>
      </c>
      <c r="G46" s="586">
        <v>5879</v>
      </c>
      <c r="H46" s="583"/>
      <c r="I46" s="592"/>
      <c r="J46" s="592"/>
      <c r="K46" s="592"/>
      <c r="L46" s="592"/>
      <c r="M46" s="592"/>
      <c r="N46" s="592"/>
      <c r="O46" s="630">
        <v>1238500</v>
      </c>
      <c r="P46" s="586"/>
    </row>
    <row r="47" spans="1:18" s="587" customFormat="1" ht="24.95" customHeight="1" x14ac:dyDescent="0.35">
      <c r="A47" s="589">
        <v>45582</v>
      </c>
      <c r="B47" s="556" t="s">
        <v>417</v>
      </c>
      <c r="C47" s="579"/>
      <c r="D47" s="586"/>
      <c r="E47" s="581"/>
      <c r="F47" s="581"/>
      <c r="G47" s="586" t="s">
        <v>451</v>
      </c>
      <c r="H47" s="583"/>
      <c r="I47" s="592"/>
      <c r="J47" s="629"/>
      <c r="K47" s="591"/>
      <c r="L47" s="592"/>
      <c r="M47" s="592"/>
      <c r="N47" s="592"/>
      <c r="O47" s="629">
        <v>273520</v>
      </c>
      <c r="P47" s="586" t="s">
        <v>478</v>
      </c>
      <c r="R47" s="587" t="s">
        <v>412</v>
      </c>
    </row>
    <row r="48" spans="1:18" s="617" customFormat="1" ht="24.95" customHeight="1" x14ac:dyDescent="0.35">
      <c r="A48" s="609">
        <v>45601</v>
      </c>
      <c r="B48" s="610" t="s">
        <v>145</v>
      </c>
      <c r="C48" s="611"/>
      <c r="D48" s="614" t="s">
        <v>90</v>
      </c>
      <c r="E48" s="613"/>
      <c r="F48" s="613"/>
      <c r="G48" s="614">
        <v>5920</v>
      </c>
      <c r="H48" s="615"/>
      <c r="I48" s="626"/>
      <c r="J48" s="616" t="s">
        <v>354</v>
      </c>
      <c r="K48" s="626"/>
      <c r="L48" s="626"/>
      <c r="M48" s="626">
        <v>310000</v>
      </c>
      <c r="N48" s="626"/>
      <c r="O48" s="614"/>
      <c r="P48" s="614"/>
      <c r="R48" s="617" t="s">
        <v>355</v>
      </c>
    </row>
    <row r="49" spans="1:19" s="617" customFormat="1" ht="24.95" customHeight="1" x14ac:dyDescent="0.35">
      <c r="A49" s="609">
        <v>45601</v>
      </c>
      <c r="B49" s="610" t="s">
        <v>145</v>
      </c>
      <c r="C49" s="611"/>
      <c r="D49" s="614" t="s">
        <v>90</v>
      </c>
      <c r="E49" s="613"/>
      <c r="F49" s="613"/>
      <c r="G49" s="614">
        <v>5920</v>
      </c>
      <c r="H49" s="615"/>
      <c r="I49" s="626"/>
      <c r="J49" s="616" t="s">
        <v>354</v>
      </c>
      <c r="K49" s="626"/>
      <c r="L49" s="626"/>
      <c r="M49" s="626">
        <v>310000</v>
      </c>
      <c r="N49" s="626"/>
      <c r="O49" s="614"/>
      <c r="P49" s="614"/>
      <c r="R49" s="617" t="s">
        <v>355</v>
      </c>
    </row>
    <row r="50" spans="1:19" s="587" customFormat="1" ht="24.95" customHeight="1" x14ac:dyDescent="0.35">
      <c r="A50" s="589">
        <v>45630</v>
      </c>
      <c r="B50" s="556" t="s">
        <v>411</v>
      </c>
      <c r="C50" s="579"/>
      <c r="D50" s="586" t="s">
        <v>92</v>
      </c>
      <c r="E50" s="581"/>
      <c r="F50" s="581"/>
      <c r="G50" s="586">
        <v>5939</v>
      </c>
      <c r="H50" s="583"/>
      <c r="I50" s="592"/>
      <c r="J50" s="592"/>
      <c r="K50" s="592"/>
      <c r="L50" s="592">
        <v>297900</v>
      </c>
      <c r="M50" s="592"/>
      <c r="N50" s="592"/>
      <c r="O50" s="586"/>
      <c r="P50" s="586"/>
      <c r="R50" s="587" t="s">
        <v>399</v>
      </c>
    </row>
    <row r="51" spans="1:19" s="617" customFormat="1" ht="24.95" customHeight="1" x14ac:dyDescent="0.35">
      <c r="A51" s="609">
        <v>45680</v>
      </c>
      <c r="B51" s="632" t="s">
        <v>429</v>
      </c>
      <c r="C51" s="633"/>
      <c r="D51" s="614" t="s">
        <v>90</v>
      </c>
      <c r="E51" s="613"/>
      <c r="F51" s="613">
        <v>2343</v>
      </c>
      <c r="G51" s="614">
        <v>5979</v>
      </c>
      <c r="H51" s="615"/>
      <c r="I51" s="626"/>
      <c r="J51" s="626"/>
      <c r="K51" s="626">
        <v>45000</v>
      </c>
      <c r="L51" s="626"/>
      <c r="M51" s="626"/>
      <c r="N51" s="626"/>
      <c r="O51" s="614"/>
      <c r="P51" s="614"/>
    </row>
    <row r="52" spans="1:19" s="587" customFormat="1" ht="24.95" customHeight="1" x14ac:dyDescent="0.35">
      <c r="A52" s="589"/>
      <c r="B52" s="620" t="s">
        <v>270</v>
      </c>
      <c r="C52" s="631"/>
      <c r="D52" s="586" t="s">
        <v>90</v>
      </c>
      <c r="E52" s="581"/>
      <c r="F52" s="581"/>
      <c r="G52" s="586">
        <v>5950</v>
      </c>
      <c r="H52" s="583"/>
      <c r="I52" s="592"/>
      <c r="J52" s="634"/>
      <c r="K52" s="634" t="s">
        <v>419</v>
      </c>
      <c r="L52" s="592"/>
      <c r="M52" s="592"/>
      <c r="N52" s="592"/>
      <c r="O52" s="586"/>
      <c r="P52" s="586"/>
    </row>
    <row r="53" spans="1:19" s="883" customFormat="1" ht="24.95" customHeight="1" x14ac:dyDescent="0.35">
      <c r="A53" s="876">
        <v>45685</v>
      </c>
      <c r="B53" s="877" t="s">
        <v>473</v>
      </c>
      <c r="C53" s="878"/>
      <c r="D53" s="879" t="s">
        <v>90</v>
      </c>
      <c r="E53" s="880"/>
      <c r="F53" s="880"/>
      <c r="G53" s="879">
        <v>5982</v>
      </c>
      <c r="H53" s="881"/>
      <c r="I53" s="882"/>
      <c r="J53" s="882"/>
      <c r="K53" s="882">
        <v>133000</v>
      </c>
      <c r="L53" s="882"/>
      <c r="M53" s="882"/>
      <c r="N53" s="882"/>
      <c r="O53" s="879"/>
      <c r="P53" s="879"/>
    </row>
    <row r="54" spans="1:19" s="554" customFormat="1" ht="24.95" customHeight="1" x14ac:dyDescent="0.35">
      <c r="A54" s="884" t="s">
        <v>421</v>
      </c>
      <c r="B54" s="556" t="s">
        <v>301</v>
      </c>
      <c r="D54" s="874" t="s">
        <v>90</v>
      </c>
      <c r="E54" s="874"/>
      <c r="F54" s="874"/>
      <c r="G54" s="875">
        <v>5985</v>
      </c>
      <c r="J54" s="885" t="s">
        <v>419</v>
      </c>
      <c r="O54" s="874"/>
      <c r="P54" s="874"/>
      <c r="S54" s="554" t="s">
        <v>435</v>
      </c>
    </row>
    <row r="55" spans="1:19" s="554" customFormat="1" ht="24.95" customHeight="1" x14ac:dyDescent="0.35">
      <c r="A55" s="886">
        <v>45700</v>
      </c>
      <c r="B55" s="556" t="s">
        <v>439</v>
      </c>
      <c r="D55" s="874" t="s">
        <v>90</v>
      </c>
      <c r="E55" s="874" t="s">
        <v>519</v>
      </c>
      <c r="F55" s="874"/>
      <c r="G55" s="875">
        <v>5990</v>
      </c>
      <c r="J55" s="887" t="s">
        <v>440</v>
      </c>
      <c r="O55" s="874"/>
      <c r="P55" s="874"/>
    </row>
    <row r="56" spans="1:19" s="554" customFormat="1" ht="24.95" customHeight="1" x14ac:dyDescent="0.35">
      <c r="A56" s="886" t="s">
        <v>421</v>
      </c>
      <c r="B56" s="556" t="s">
        <v>301</v>
      </c>
      <c r="D56" s="874" t="s">
        <v>90</v>
      </c>
      <c r="E56" s="874"/>
      <c r="F56" s="874"/>
      <c r="G56" s="875">
        <v>5992</v>
      </c>
      <c r="J56" s="887" t="s">
        <v>419</v>
      </c>
      <c r="O56" s="874"/>
      <c r="P56" s="874"/>
    </row>
    <row r="57" spans="1:19" s="554" customFormat="1" ht="24.95" customHeight="1" x14ac:dyDescent="0.35">
      <c r="A57" s="886">
        <v>45708</v>
      </c>
      <c r="B57" s="556" t="s">
        <v>436</v>
      </c>
      <c r="D57" s="874"/>
      <c r="E57" s="874"/>
      <c r="F57" s="874"/>
      <c r="G57" s="875" t="s">
        <v>443</v>
      </c>
      <c r="J57" s="887" t="s">
        <v>419</v>
      </c>
      <c r="O57" s="874"/>
      <c r="P57" s="874"/>
    </row>
    <row r="58" spans="1:19" s="554" customFormat="1" ht="24.95" customHeight="1" x14ac:dyDescent="0.35">
      <c r="A58" s="886">
        <v>45708</v>
      </c>
      <c r="B58" s="556" t="s">
        <v>237</v>
      </c>
      <c r="D58" s="874" t="s">
        <v>90</v>
      </c>
      <c r="E58" s="874"/>
      <c r="F58" s="874"/>
      <c r="G58" s="875" t="s">
        <v>516</v>
      </c>
      <c r="J58" s="894">
        <v>786477.45</v>
      </c>
      <c r="K58" s="554" t="s">
        <v>478</v>
      </c>
      <c r="O58" s="874"/>
      <c r="P58" s="874"/>
    </row>
    <row r="59" spans="1:19" s="554" customFormat="1" ht="24.95" customHeight="1" x14ac:dyDescent="0.35">
      <c r="A59" s="886" t="s">
        <v>421</v>
      </c>
      <c r="B59" s="556" t="s">
        <v>321</v>
      </c>
      <c r="D59" s="874" t="s">
        <v>90</v>
      </c>
      <c r="E59" s="874"/>
      <c r="F59" s="874"/>
      <c r="G59" s="875" t="s">
        <v>452</v>
      </c>
      <c r="J59" s="888">
        <v>263066.96999999997</v>
      </c>
      <c r="K59" s="554" t="s">
        <v>22</v>
      </c>
      <c r="O59" s="874"/>
      <c r="P59" s="874"/>
    </row>
    <row r="60" spans="1:19" s="554" customFormat="1" ht="24.95" customHeight="1" x14ac:dyDescent="0.35">
      <c r="A60" s="886" t="s">
        <v>421</v>
      </c>
      <c r="B60" s="556" t="s">
        <v>417</v>
      </c>
      <c r="D60" s="874" t="s">
        <v>90</v>
      </c>
      <c r="E60" s="874"/>
      <c r="F60" s="874"/>
      <c r="G60" s="875" t="s">
        <v>456</v>
      </c>
      <c r="J60" s="887" t="s">
        <v>419</v>
      </c>
      <c r="O60" s="874"/>
      <c r="P60" s="874"/>
    </row>
    <row r="61" spans="1:19" s="554" customFormat="1" ht="24.95" customHeight="1" x14ac:dyDescent="0.35">
      <c r="A61" s="886" t="s">
        <v>421</v>
      </c>
      <c r="B61" s="556" t="s">
        <v>43</v>
      </c>
      <c r="D61" s="874" t="s">
        <v>90</v>
      </c>
      <c r="E61" s="874"/>
      <c r="F61" s="874"/>
      <c r="G61" s="875" t="s">
        <v>457</v>
      </c>
      <c r="J61" s="887" t="s">
        <v>419</v>
      </c>
      <c r="O61" s="874"/>
      <c r="P61" s="874"/>
    </row>
    <row r="62" spans="1:19" s="554" customFormat="1" ht="24.95" customHeight="1" x14ac:dyDescent="0.35">
      <c r="A62" s="886">
        <v>45720</v>
      </c>
      <c r="B62" s="556" t="s">
        <v>472</v>
      </c>
      <c r="D62" s="874" t="s">
        <v>92</v>
      </c>
      <c r="E62" s="874"/>
      <c r="F62" s="874"/>
      <c r="G62" s="875" t="s">
        <v>471</v>
      </c>
      <c r="J62" s="887">
        <v>26000</v>
      </c>
      <c r="O62" s="874"/>
      <c r="P62" s="874"/>
    </row>
    <row r="63" spans="1:19" s="554" customFormat="1" ht="24.95" customHeight="1" x14ac:dyDescent="0.35">
      <c r="A63" s="886">
        <v>45723</v>
      </c>
      <c r="B63" s="556" t="s">
        <v>474</v>
      </c>
      <c r="D63" s="874" t="s">
        <v>92</v>
      </c>
      <c r="E63" s="874"/>
      <c r="F63" s="874"/>
      <c r="G63" s="875">
        <v>5993</v>
      </c>
      <c r="J63" s="887" t="s">
        <v>419</v>
      </c>
      <c r="O63" s="874"/>
      <c r="P63" s="874"/>
    </row>
    <row r="64" spans="1:19" s="554" customFormat="1" ht="24.95" customHeight="1" x14ac:dyDescent="0.35">
      <c r="A64" s="886">
        <v>45727</v>
      </c>
      <c r="B64" s="556" t="s">
        <v>301</v>
      </c>
      <c r="D64" s="874" t="s">
        <v>90</v>
      </c>
      <c r="E64" s="874"/>
      <c r="F64" s="874"/>
      <c r="G64" s="875">
        <v>5948</v>
      </c>
      <c r="J64" s="887">
        <v>2198000</v>
      </c>
      <c r="O64" s="874"/>
      <c r="P64" s="874"/>
    </row>
    <row r="65" spans="1:16" s="554" customFormat="1" ht="24.95" customHeight="1" x14ac:dyDescent="0.35">
      <c r="A65" s="886">
        <v>45727</v>
      </c>
      <c r="B65" s="556" t="s">
        <v>477</v>
      </c>
      <c r="D65" s="874" t="s">
        <v>90</v>
      </c>
      <c r="E65" s="874"/>
      <c r="F65" s="874"/>
      <c r="G65" s="875" t="s">
        <v>475</v>
      </c>
      <c r="J65" s="887">
        <v>246350</v>
      </c>
      <c r="O65" s="874"/>
      <c r="P65" s="874"/>
    </row>
    <row r="66" spans="1:16" s="554" customFormat="1" ht="24.95" customHeight="1" x14ac:dyDescent="0.35">
      <c r="A66" s="886">
        <v>45731</v>
      </c>
      <c r="B66" s="556" t="s">
        <v>480</v>
      </c>
      <c r="D66" s="874" t="s">
        <v>90</v>
      </c>
      <c r="E66" s="874"/>
      <c r="F66" s="874"/>
      <c r="G66" s="875" t="s">
        <v>481</v>
      </c>
      <c r="J66" s="887" t="s">
        <v>419</v>
      </c>
      <c r="O66" s="874"/>
      <c r="P66" s="874"/>
    </row>
    <row r="67" spans="1:16" s="554" customFormat="1" ht="24.95" customHeight="1" x14ac:dyDescent="0.35">
      <c r="A67" s="886">
        <v>45740</v>
      </c>
      <c r="B67" s="556" t="s">
        <v>483</v>
      </c>
      <c r="D67" s="874" t="s">
        <v>90</v>
      </c>
      <c r="E67" s="874"/>
      <c r="F67" s="874"/>
      <c r="G67" s="875" t="s">
        <v>484</v>
      </c>
      <c r="J67" s="887">
        <v>19590</v>
      </c>
      <c r="O67" s="874"/>
      <c r="P67" s="874"/>
    </row>
    <row r="68" spans="1:16" s="554" customFormat="1" ht="24.95" customHeight="1" x14ac:dyDescent="0.35">
      <c r="A68" s="886" t="s">
        <v>421</v>
      </c>
      <c r="B68" s="556" t="s">
        <v>409</v>
      </c>
      <c r="D68" s="874" t="s">
        <v>90</v>
      </c>
      <c r="E68" s="874"/>
      <c r="F68" s="874"/>
      <c r="G68" s="875">
        <v>5987</v>
      </c>
      <c r="J68" s="887" t="s">
        <v>419</v>
      </c>
      <c r="O68" s="874"/>
      <c r="P68" s="874"/>
    </row>
    <row r="69" spans="1:16" s="554" customFormat="1" ht="24.95" customHeight="1" x14ac:dyDescent="0.35">
      <c r="A69" s="886">
        <v>45748</v>
      </c>
      <c r="B69" s="556" t="s">
        <v>489</v>
      </c>
      <c r="D69" s="874" t="s">
        <v>90</v>
      </c>
      <c r="E69" s="874"/>
      <c r="F69" s="874"/>
      <c r="G69" s="875" t="s">
        <v>490</v>
      </c>
      <c r="J69" s="887" t="s">
        <v>419</v>
      </c>
      <c r="O69" s="874"/>
      <c r="P69" s="874"/>
    </row>
    <row r="70" spans="1:16" s="554" customFormat="1" ht="24.95" customHeight="1" x14ac:dyDescent="0.35">
      <c r="A70" s="886">
        <v>45749</v>
      </c>
      <c r="B70" s="556" t="s">
        <v>431</v>
      </c>
      <c r="D70" s="874" t="s">
        <v>90</v>
      </c>
      <c r="E70" s="874"/>
      <c r="F70" s="874"/>
      <c r="G70" s="875" t="s">
        <v>493</v>
      </c>
      <c r="J70" s="887">
        <v>41000</v>
      </c>
      <c r="O70" s="874"/>
      <c r="P70" s="874"/>
    </row>
    <row r="71" spans="1:16" s="554" customFormat="1" ht="24.95" customHeight="1" x14ac:dyDescent="0.35">
      <c r="A71" s="886">
        <v>45749</v>
      </c>
      <c r="B71" s="556" t="s">
        <v>431</v>
      </c>
      <c r="D71" s="874" t="s">
        <v>90</v>
      </c>
      <c r="E71" s="874"/>
      <c r="F71" s="874"/>
      <c r="G71" s="875" t="s">
        <v>494</v>
      </c>
      <c r="J71" s="887">
        <v>7500</v>
      </c>
      <c r="O71" s="874"/>
      <c r="P71" s="874"/>
    </row>
    <row r="72" spans="1:16" s="554" customFormat="1" ht="24.95" customHeight="1" x14ac:dyDescent="0.35">
      <c r="A72" s="886">
        <v>45750</v>
      </c>
      <c r="B72" s="556" t="s">
        <v>446</v>
      </c>
      <c r="D72" s="874" t="s">
        <v>90</v>
      </c>
      <c r="E72" s="874"/>
      <c r="F72" s="874"/>
      <c r="G72" s="875" t="s">
        <v>495</v>
      </c>
      <c r="J72" s="887">
        <v>339500</v>
      </c>
      <c r="O72" s="874"/>
      <c r="P72" s="874"/>
    </row>
    <row r="73" spans="1:16" s="554" customFormat="1" ht="24.95" customHeight="1" x14ac:dyDescent="0.35">
      <c r="A73" s="886">
        <v>45750</v>
      </c>
      <c r="B73" s="556" t="s">
        <v>446</v>
      </c>
      <c r="D73" s="874" t="s">
        <v>90</v>
      </c>
      <c r="E73" s="874"/>
      <c r="F73" s="874"/>
      <c r="G73" s="875" t="s">
        <v>496</v>
      </c>
      <c r="J73" s="887">
        <v>339500</v>
      </c>
      <c r="O73" s="874"/>
      <c r="P73" s="874"/>
    </row>
    <row r="74" spans="1:16" s="554" customFormat="1" ht="24.95" customHeight="1" x14ac:dyDescent="0.35">
      <c r="A74" s="886" t="s">
        <v>421</v>
      </c>
      <c r="B74" s="556" t="s">
        <v>301</v>
      </c>
      <c r="D74" s="874" t="s">
        <v>90</v>
      </c>
      <c r="E74" s="874"/>
      <c r="F74" s="874"/>
      <c r="G74" s="875" t="s">
        <v>498</v>
      </c>
      <c r="J74" s="887" t="s">
        <v>419</v>
      </c>
      <c r="O74" s="874"/>
      <c r="P74" s="874"/>
    </row>
    <row r="75" spans="1:16" s="554" customFormat="1" ht="24.95" customHeight="1" x14ac:dyDescent="0.35">
      <c r="A75" s="886">
        <v>45751</v>
      </c>
      <c r="B75" s="556" t="s">
        <v>237</v>
      </c>
      <c r="D75" s="874" t="s">
        <v>90</v>
      </c>
      <c r="E75" s="874"/>
      <c r="F75" s="874"/>
      <c r="G75" s="875" t="s">
        <v>499</v>
      </c>
      <c r="J75" s="887" t="s">
        <v>419</v>
      </c>
      <c r="O75" s="874"/>
      <c r="P75" s="874"/>
    </row>
    <row r="76" spans="1:16" s="554" customFormat="1" ht="24.95" customHeight="1" x14ac:dyDescent="0.35">
      <c r="A76" s="886" t="s">
        <v>421</v>
      </c>
      <c r="B76" s="556" t="s">
        <v>500</v>
      </c>
      <c r="D76" s="874" t="s">
        <v>92</v>
      </c>
      <c r="E76" s="874"/>
      <c r="F76" s="874"/>
      <c r="G76" s="875" t="s">
        <v>501</v>
      </c>
      <c r="J76" s="887" t="s">
        <v>419</v>
      </c>
      <c r="O76" s="874"/>
      <c r="P76" s="874"/>
    </row>
    <row r="77" spans="1:16" s="554" customFormat="1" ht="24.95" customHeight="1" x14ac:dyDescent="0.35">
      <c r="A77" s="886" t="s">
        <v>421</v>
      </c>
      <c r="B77" s="556" t="s">
        <v>301</v>
      </c>
      <c r="D77" s="874" t="s">
        <v>90</v>
      </c>
      <c r="E77" s="874"/>
      <c r="F77" s="874"/>
      <c r="G77" s="875" t="s">
        <v>503</v>
      </c>
      <c r="J77" s="887" t="s">
        <v>419</v>
      </c>
      <c r="O77" s="874"/>
      <c r="P77" s="874"/>
    </row>
    <row r="78" spans="1:16" s="554" customFormat="1" ht="24.95" customHeight="1" x14ac:dyDescent="0.35">
      <c r="A78" s="886" t="s">
        <v>421</v>
      </c>
      <c r="B78" s="556" t="s">
        <v>505</v>
      </c>
      <c r="D78" s="874" t="s">
        <v>92</v>
      </c>
      <c r="E78" s="874"/>
      <c r="F78" s="874"/>
      <c r="G78" s="875" t="s">
        <v>506</v>
      </c>
      <c r="J78" s="887">
        <v>130450</v>
      </c>
      <c r="O78" s="874"/>
      <c r="P78" s="874"/>
    </row>
    <row r="79" spans="1:16" s="554" customFormat="1" ht="24.95" customHeight="1" x14ac:dyDescent="0.35">
      <c r="A79" s="886" t="s">
        <v>421</v>
      </c>
      <c r="B79" s="556" t="s">
        <v>237</v>
      </c>
      <c r="D79" s="874" t="s">
        <v>90</v>
      </c>
      <c r="E79" s="874"/>
      <c r="F79" s="874"/>
      <c r="G79" s="875" t="s">
        <v>514</v>
      </c>
      <c r="J79" s="887" t="s">
        <v>419</v>
      </c>
      <c r="O79" s="874"/>
      <c r="P79" s="874"/>
    </row>
    <row r="80" spans="1:16" s="554" customFormat="1" ht="24.95" customHeight="1" x14ac:dyDescent="0.35">
      <c r="A80" s="886">
        <v>45776</v>
      </c>
      <c r="B80" s="556" t="s">
        <v>321</v>
      </c>
      <c r="D80" s="874" t="s">
        <v>90</v>
      </c>
      <c r="E80" s="874"/>
      <c r="F80" s="874"/>
      <c r="G80" s="875" t="s">
        <v>515</v>
      </c>
      <c r="J80" s="887">
        <v>517500</v>
      </c>
      <c r="O80" s="874"/>
      <c r="P80" s="874"/>
    </row>
    <row r="81" spans="1:16" s="554" customFormat="1" ht="24.95" customHeight="1" x14ac:dyDescent="0.35">
      <c r="A81" s="886">
        <v>45790</v>
      </c>
      <c r="B81" s="556" t="s">
        <v>483</v>
      </c>
      <c r="D81" s="874" t="s">
        <v>90</v>
      </c>
      <c r="E81" s="874"/>
      <c r="F81" s="874"/>
      <c r="G81" s="875" t="s">
        <v>520</v>
      </c>
      <c r="J81" s="888">
        <v>487467.5</v>
      </c>
      <c r="O81" s="874"/>
      <c r="P81" s="874"/>
    </row>
    <row r="82" spans="1:16" s="554" customFormat="1" ht="24.95" customHeight="1" x14ac:dyDescent="0.35">
      <c r="A82" s="886" t="s">
        <v>421</v>
      </c>
      <c r="B82" s="556" t="s">
        <v>524</v>
      </c>
      <c r="D82" s="874" t="s">
        <v>92</v>
      </c>
      <c r="E82" s="874"/>
      <c r="F82" s="874"/>
      <c r="G82" s="875" t="s">
        <v>525</v>
      </c>
      <c r="J82" s="888">
        <v>77261.850000000006</v>
      </c>
      <c r="O82" s="874"/>
      <c r="P82" s="874"/>
    </row>
    <row r="83" spans="1:16" s="554" customFormat="1" ht="24.95" customHeight="1" x14ac:dyDescent="0.35">
      <c r="A83" s="886" t="s">
        <v>421</v>
      </c>
      <c r="B83" s="556" t="s">
        <v>528</v>
      </c>
      <c r="D83" s="874" t="s">
        <v>90</v>
      </c>
      <c r="E83" s="874"/>
      <c r="F83" s="874"/>
      <c r="G83" s="875" t="s">
        <v>529</v>
      </c>
      <c r="J83" s="888" t="s">
        <v>419</v>
      </c>
      <c r="O83" s="874"/>
      <c r="P83" s="874"/>
    </row>
    <row r="84" spans="1:16" s="554" customFormat="1" ht="24.95" customHeight="1" x14ac:dyDescent="0.35">
      <c r="A84" s="886">
        <v>45801</v>
      </c>
      <c r="B84" s="556" t="s">
        <v>115</v>
      </c>
      <c r="D84" s="874" t="s">
        <v>90</v>
      </c>
      <c r="E84" s="874"/>
      <c r="F84" s="874"/>
      <c r="G84" s="875" t="s">
        <v>530</v>
      </c>
      <c r="J84" s="888" t="s">
        <v>419</v>
      </c>
      <c r="O84" s="874"/>
      <c r="P84" s="874"/>
    </row>
    <row r="85" spans="1:16" s="554" customFormat="1" ht="24.95" customHeight="1" x14ac:dyDescent="0.35">
      <c r="A85" s="886" t="s">
        <v>421</v>
      </c>
      <c r="B85" s="556" t="s">
        <v>115</v>
      </c>
      <c r="D85" s="874" t="s">
        <v>90</v>
      </c>
      <c r="E85" s="874"/>
      <c r="F85" s="874"/>
      <c r="G85" s="875" t="s">
        <v>531</v>
      </c>
      <c r="J85" s="888" t="s">
        <v>419</v>
      </c>
      <c r="O85" s="874"/>
      <c r="P85" s="874"/>
    </row>
    <row r="86" spans="1:16" s="554" customFormat="1" ht="24.95" customHeight="1" x14ac:dyDescent="0.35">
      <c r="A86" s="886">
        <v>45804</v>
      </c>
      <c r="B86" s="556" t="s">
        <v>533</v>
      </c>
      <c r="D86" s="874" t="s">
        <v>92</v>
      </c>
      <c r="E86" s="874"/>
      <c r="F86" s="874"/>
      <c r="G86" s="875" t="s">
        <v>534</v>
      </c>
      <c r="J86" s="888" t="s">
        <v>419</v>
      </c>
      <c r="O86" s="874"/>
      <c r="P86" s="874"/>
    </row>
    <row r="87" spans="1:16" s="554" customFormat="1" ht="24.95" customHeight="1" x14ac:dyDescent="0.35">
      <c r="A87" s="886" t="s">
        <v>421</v>
      </c>
      <c r="B87" s="556" t="s">
        <v>545</v>
      </c>
      <c r="D87" s="874" t="s">
        <v>90</v>
      </c>
      <c r="E87" s="874"/>
      <c r="F87" s="874"/>
      <c r="G87" s="875" t="s">
        <v>544</v>
      </c>
      <c r="J87" s="888">
        <v>948000</v>
      </c>
      <c r="O87" s="874"/>
      <c r="P87" s="874"/>
    </row>
    <row r="88" spans="1:16" s="554" customFormat="1" ht="24.95" customHeight="1" x14ac:dyDescent="0.35">
      <c r="A88" s="886">
        <v>45817</v>
      </c>
      <c r="B88" s="556" t="s">
        <v>432</v>
      </c>
      <c r="D88" s="874" t="s">
        <v>90</v>
      </c>
      <c r="E88" s="874"/>
      <c r="F88" s="874"/>
      <c r="G88" s="875" t="s">
        <v>556</v>
      </c>
      <c r="J88" s="888" t="s">
        <v>419</v>
      </c>
      <c r="O88" s="874"/>
      <c r="P88" s="874"/>
    </row>
    <row r="89" spans="1:16" s="554" customFormat="1" ht="24.95" customHeight="1" x14ac:dyDescent="0.35">
      <c r="A89" s="886">
        <v>45818</v>
      </c>
      <c r="B89" s="556" t="s">
        <v>546</v>
      </c>
      <c r="D89" s="874" t="s">
        <v>90</v>
      </c>
      <c r="E89" s="874"/>
      <c r="F89" s="874"/>
      <c r="G89" s="875" t="s">
        <v>547</v>
      </c>
      <c r="J89" s="888">
        <v>173500</v>
      </c>
      <c r="O89" s="874"/>
      <c r="P89" s="874"/>
    </row>
    <row r="90" spans="1:16" s="554" customFormat="1" ht="24.95" customHeight="1" x14ac:dyDescent="0.35">
      <c r="A90" s="886">
        <v>45828</v>
      </c>
      <c r="B90" s="556" t="s">
        <v>428</v>
      </c>
      <c r="D90" s="874" t="s">
        <v>92</v>
      </c>
      <c r="E90" s="874"/>
      <c r="F90" s="874"/>
      <c r="G90" s="875" t="s">
        <v>559</v>
      </c>
      <c r="I90" s="890"/>
      <c r="J90" s="888" t="s">
        <v>419</v>
      </c>
      <c r="O90" s="874"/>
      <c r="P90" s="874"/>
    </row>
    <row r="91" spans="1:16" s="554" customFormat="1" ht="24.95" customHeight="1" x14ac:dyDescent="0.35">
      <c r="A91" s="886">
        <v>45831</v>
      </c>
      <c r="B91" s="556" t="s">
        <v>409</v>
      </c>
      <c r="D91" s="874" t="s">
        <v>90</v>
      </c>
      <c r="E91" s="874"/>
      <c r="F91" s="874"/>
      <c r="G91" s="875" t="s">
        <v>548</v>
      </c>
      <c r="I91" s="890">
        <v>434750</v>
      </c>
      <c r="J91" s="888"/>
      <c r="O91" s="874"/>
      <c r="P91" s="874"/>
    </row>
    <row r="92" spans="1:16" s="554" customFormat="1" ht="24.95" customHeight="1" x14ac:dyDescent="0.35">
      <c r="A92" s="886" t="s">
        <v>421</v>
      </c>
      <c r="B92" s="556" t="s">
        <v>549</v>
      </c>
      <c r="D92" s="874" t="s">
        <v>282</v>
      </c>
      <c r="E92" s="874"/>
      <c r="F92" s="874"/>
      <c r="G92" s="875" t="s">
        <v>552</v>
      </c>
      <c r="I92" s="890">
        <v>80696</v>
      </c>
      <c r="J92" s="888"/>
      <c r="O92" s="874"/>
      <c r="P92" s="874"/>
    </row>
    <row r="93" spans="1:16" s="554" customFormat="1" ht="24.95" customHeight="1" x14ac:dyDescent="0.35">
      <c r="A93" s="886" t="s">
        <v>421</v>
      </c>
      <c r="B93" s="556" t="s">
        <v>301</v>
      </c>
      <c r="D93" s="874" t="s">
        <v>90</v>
      </c>
      <c r="E93" s="874"/>
      <c r="F93" s="874"/>
      <c r="G93" s="875" t="s">
        <v>550</v>
      </c>
      <c r="I93" s="890" t="s">
        <v>419</v>
      </c>
      <c r="J93" s="888"/>
      <c r="O93" s="874"/>
      <c r="P93" s="874"/>
    </row>
    <row r="94" spans="1:16" s="554" customFormat="1" ht="24.95" customHeight="1" x14ac:dyDescent="0.35">
      <c r="A94" s="886" t="s">
        <v>421</v>
      </c>
      <c r="B94" s="556" t="s">
        <v>549</v>
      </c>
      <c r="D94" s="874" t="s">
        <v>282</v>
      </c>
      <c r="E94" s="874"/>
      <c r="F94" s="874"/>
      <c r="G94" s="875" t="s">
        <v>551</v>
      </c>
      <c r="I94" s="890">
        <v>258000</v>
      </c>
      <c r="J94" s="888"/>
      <c r="O94" s="874"/>
      <c r="P94" s="874"/>
    </row>
    <row r="95" spans="1:16" s="554" customFormat="1" ht="24.95" customHeight="1" x14ac:dyDescent="0.35">
      <c r="A95" s="886" t="s">
        <v>421</v>
      </c>
      <c r="B95" s="556" t="s">
        <v>554</v>
      </c>
      <c r="D95" s="874" t="s">
        <v>221</v>
      </c>
      <c r="E95" s="874"/>
      <c r="F95" s="874"/>
      <c r="G95" s="875" t="s">
        <v>555</v>
      </c>
      <c r="I95" s="890">
        <v>86400</v>
      </c>
      <c r="J95" s="888"/>
      <c r="O95" s="874"/>
      <c r="P95" s="874"/>
    </row>
    <row r="96" spans="1:16" s="554" customFormat="1" ht="24.95" customHeight="1" x14ac:dyDescent="0.35">
      <c r="A96" s="886" t="s">
        <v>557</v>
      </c>
      <c r="B96" s="556" t="s">
        <v>446</v>
      </c>
      <c r="D96" s="874" t="s">
        <v>90</v>
      </c>
      <c r="E96" s="874"/>
      <c r="F96" s="874"/>
      <c r="G96" s="875" t="s">
        <v>558</v>
      </c>
      <c r="I96" s="890"/>
      <c r="J96" s="888">
        <v>363300</v>
      </c>
      <c r="O96" s="874"/>
      <c r="P96" s="874"/>
    </row>
    <row r="97" spans="1:18" s="554" customFormat="1" ht="24.95" customHeight="1" x14ac:dyDescent="0.35">
      <c r="A97" s="886" t="s">
        <v>421</v>
      </c>
      <c r="B97" s="556" t="s">
        <v>446</v>
      </c>
      <c r="D97" s="874" t="s">
        <v>90</v>
      </c>
      <c r="E97" s="874"/>
      <c r="F97" s="874"/>
      <c r="G97" s="875" t="s">
        <v>540</v>
      </c>
      <c r="I97" s="890"/>
      <c r="J97" s="888" t="s">
        <v>419</v>
      </c>
      <c r="O97" s="874"/>
      <c r="P97" s="874"/>
    </row>
    <row r="98" spans="1:18" s="554" customFormat="1" ht="24.95" customHeight="1" x14ac:dyDescent="0.35">
      <c r="A98" s="886">
        <v>45854</v>
      </c>
      <c r="B98" s="556" t="s">
        <v>560</v>
      </c>
      <c r="D98" s="874" t="s">
        <v>90</v>
      </c>
      <c r="E98" s="874"/>
      <c r="F98" s="874"/>
      <c r="G98" s="875" t="s">
        <v>561</v>
      </c>
      <c r="I98" s="890">
        <v>469985</v>
      </c>
      <c r="J98" s="888"/>
      <c r="O98" s="874"/>
      <c r="P98" s="874"/>
    </row>
    <row r="99" spans="1:18" s="554" customFormat="1" ht="24.95" customHeight="1" x14ac:dyDescent="0.35">
      <c r="A99" s="886">
        <v>45854</v>
      </c>
      <c r="B99" s="556" t="s">
        <v>560</v>
      </c>
      <c r="D99" s="874" t="s">
        <v>90</v>
      </c>
      <c r="E99" s="874"/>
      <c r="F99" s="874"/>
      <c r="G99" s="875" t="s">
        <v>562</v>
      </c>
      <c r="I99" s="890" t="s">
        <v>419</v>
      </c>
      <c r="J99" s="888"/>
      <c r="O99" s="874"/>
      <c r="P99" s="874"/>
    </row>
    <row r="100" spans="1:18" s="554" customFormat="1" ht="24.95" customHeight="1" x14ac:dyDescent="0.35">
      <c r="A100" s="886" t="s">
        <v>557</v>
      </c>
      <c r="B100" s="556" t="s">
        <v>563</v>
      </c>
      <c r="D100" s="874"/>
      <c r="E100" s="874"/>
      <c r="F100" s="874"/>
      <c r="G100" s="875" t="s">
        <v>564</v>
      </c>
      <c r="I100" s="890">
        <v>115000</v>
      </c>
      <c r="J100" s="888"/>
      <c r="O100" s="874"/>
      <c r="P100" s="874"/>
    </row>
    <row r="101" spans="1:18" s="554" customFormat="1" ht="24.95" customHeight="1" x14ac:dyDescent="0.35">
      <c r="A101" s="886" t="s">
        <v>421</v>
      </c>
      <c r="B101" s="556" t="s">
        <v>563</v>
      </c>
      <c r="D101" s="874"/>
      <c r="E101" s="874"/>
      <c r="F101" s="874"/>
      <c r="G101" s="875" t="s">
        <v>565</v>
      </c>
      <c r="I101" s="890">
        <v>25895</v>
      </c>
      <c r="J101" s="888"/>
      <c r="O101" s="874"/>
      <c r="P101" s="874"/>
    </row>
    <row r="102" spans="1:18" s="554" customFormat="1" ht="24.95" customHeight="1" x14ac:dyDescent="0.35">
      <c r="A102" s="886" t="s">
        <v>421</v>
      </c>
      <c r="B102" s="556" t="s">
        <v>446</v>
      </c>
      <c r="D102" s="874" t="s">
        <v>90</v>
      </c>
      <c r="E102" s="874"/>
      <c r="F102" s="874"/>
      <c r="G102" s="875" t="s">
        <v>566</v>
      </c>
      <c r="I102" s="890" t="s">
        <v>419</v>
      </c>
      <c r="J102" s="888"/>
      <c r="O102" s="874"/>
      <c r="P102" s="874"/>
    </row>
    <row r="103" spans="1:18" s="554" customFormat="1" ht="24.95" customHeight="1" x14ac:dyDescent="0.35">
      <c r="A103" s="886">
        <v>45857</v>
      </c>
      <c r="B103" s="556" t="s">
        <v>432</v>
      </c>
      <c r="D103" s="874" t="s">
        <v>90</v>
      </c>
      <c r="E103" s="874"/>
      <c r="F103" s="874"/>
      <c r="G103" s="875" t="s">
        <v>567</v>
      </c>
      <c r="I103" s="890">
        <v>438000</v>
      </c>
      <c r="J103" s="888"/>
      <c r="O103" s="874"/>
      <c r="P103" s="874"/>
    </row>
    <row r="104" spans="1:18" s="554" customFormat="1" ht="24.95" customHeight="1" x14ac:dyDescent="0.35">
      <c r="A104" s="886">
        <v>45859</v>
      </c>
      <c r="B104" s="556" t="s">
        <v>573</v>
      </c>
      <c r="D104" s="874" t="s">
        <v>282</v>
      </c>
      <c r="E104" s="874"/>
      <c r="F104" s="874"/>
      <c r="G104" s="875" t="s">
        <v>572</v>
      </c>
      <c r="I104" s="890">
        <v>9850</v>
      </c>
      <c r="J104" s="888"/>
      <c r="O104" s="874"/>
      <c r="P104" s="874"/>
    </row>
    <row r="105" spans="1:18" s="554" customFormat="1" ht="24.95" customHeight="1" x14ac:dyDescent="0.35">
      <c r="A105" s="886">
        <v>45859</v>
      </c>
      <c r="B105" s="556" t="s">
        <v>281</v>
      </c>
      <c r="D105" s="874" t="s">
        <v>282</v>
      </c>
      <c r="E105" s="874"/>
      <c r="F105" s="874"/>
      <c r="G105" s="875" t="s">
        <v>574</v>
      </c>
      <c r="I105" s="890">
        <v>49135</v>
      </c>
      <c r="J105" s="888"/>
      <c r="O105" s="874"/>
      <c r="P105" s="874"/>
    </row>
    <row r="106" spans="1:18" s="554" customFormat="1" ht="24.95" customHeight="1" x14ac:dyDescent="0.35">
      <c r="A106" s="886">
        <v>45859</v>
      </c>
      <c r="B106" s="556" t="s">
        <v>281</v>
      </c>
      <c r="D106" s="874" t="s">
        <v>282</v>
      </c>
      <c r="E106" s="874"/>
      <c r="F106" s="874"/>
      <c r="G106" s="875" t="s">
        <v>575</v>
      </c>
      <c r="I106" s="890">
        <v>350000</v>
      </c>
      <c r="J106" s="888"/>
      <c r="O106" s="874"/>
      <c r="P106" s="874"/>
    </row>
    <row r="107" spans="1:18" s="554" customFormat="1" ht="24.95" customHeight="1" x14ac:dyDescent="0.35">
      <c r="A107" s="886">
        <v>45861</v>
      </c>
      <c r="B107" s="556" t="s">
        <v>569</v>
      </c>
      <c r="D107" s="874" t="s">
        <v>90</v>
      </c>
      <c r="E107" s="874"/>
      <c r="F107" s="874"/>
      <c r="G107" s="875" t="s">
        <v>570</v>
      </c>
      <c r="I107" s="890">
        <v>399000</v>
      </c>
      <c r="J107" s="888"/>
      <c r="O107" s="874"/>
      <c r="P107" s="874"/>
    </row>
    <row r="108" spans="1:18" s="554" customFormat="1" ht="24.95" customHeight="1" x14ac:dyDescent="0.35">
      <c r="A108" s="886" t="s">
        <v>421</v>
      </c>
      <c r="B108" s="556" t="s">
        <v>491</v>
      </c>
      <c r="D108" s="874" t="s">
        <v>90</v>
      </c>
      <c r="E108" s="874"/>
      <c r="F108" s="874"/>
      <c r="G108" s="875" t="s">
        <v>571</v>
      </c>
      <c r="I108" s="890">
        <v>45000</v>
      </c>
      <c r="J108" s="888"/>
      <c r="O108" s="874"/>
      <c r="P108" s="874"/>
    </row>
    <row r="109" spans="1:18" s="554" customFormat="1" ht="24.95" customHeight="1" x14ac:dyDescent="0.35">
      <c r="A109" s="886">
        <v>45863</v>
      </c>
      <c r="B109" s="556" t="s">
        <v>576</v>
      </c>
      <c r="D109" s="874" t="s">
        <v>90</v>
      </c>
      <c r="E109" s="874"/>
      <c r="F109" s="874"/>
      <c r="G109" s="875" t="s">
        <v>577</v>
      </c>
      <c r="I109" s="890">
        <v>6705</v>
      </c>
      <c r="J109" s="888"/>
      <c r="O109" s="874"/>
      <c r="P109" s="874"/>
    </row>
    <row r="110" spans="1:18" s="554" customFormat="1" ht="24.95" customHeight="1" x14ac:dyDescent="0.35">
      <c r="A110" s="886">
        <v>45867</v>
      </c>
      <c r="B110" s="556" t="s">
        <v>578</v>
      </c>
      <c r="D110" s="874" t="s">
        <v>90</v>
      </c>
      <c r="E110" s="874"/>
      <c r="F110" s="874"/>
      <c r="G110" s="875" t="s">
        <v>579</v>
      </c>
      <c r="I110" s="890">
        <v>395500</v>
      </c>
      <c r="J110" s="888"/>
      <c r="O110" s="874"/>
      <c r="P110" s="874"/>
    </row>
    <row r="111" spans="1:18" s="554" customFormat="1" ht="24.95" customHeight="1" x14ac:dyDescent="0.35">
      <c r="A111" s="886">
        <v>45867</v>
      </c>
      <c r="B111" s="556" t="s">
        <v>578</v>
      </c>
      <c r="D111" s="874" t="s">
        <v>90</v>
      </c>
      <c r="E111" s="874"/>
      <c r="F111" s="874"/>
      <c r="G111" s="875" t="s">
        <v>580</v>
      </c>
      <c r="I111" s="890">
        <v>22000</v>
      </c>
      <c r="J111" s="888"/>
      <c r="O111" s="874"/>
      <c r="P111" s="874"/>
    </row>
    <row r="112" spans="1:18" s="889" customFormat="1" ht="24.95" customHeight="1" x14ac:dyDescent="0.35">
      <c r="A112" s="698"/>
      <c r="B112" s="699" t="s">
        <v>7</v>
      </c>
      <c r="C112" s="700"/>
      <c r="D112" s="612" t="s">
        <v>140</v>
      </c>
      <c r="E112" s="700"/>
      <c r="F112" s="700"/>
      <c r="G112" s="614"/>
      <c r="H112" s="701"/>
      <c r="I112" s="891">
        <f>SUM(I91:I111)</f>
        <v>3185916</v>
      </c>
      <c r="J112" s="703">
        <f>SUM(J55:J91)</f>
        <v>6601163.7699999996</v>
      </c>
      <c r="K112" s="703">
        <f>SUM(K51:K89)</f>
        <v>178000</v>
      </c>
      <c r="L112" s="704">
        <f>SUM(L48:L53)</f>
        <v>297900</v>
      </c>
      <c r="M112" s="703">
        <f>SUM(M45:M53)</f>
        <v>631059.82000000007</v>
      </c>
      <c r="N112" s="703"/>
      <c r="O112" s="703">
        <f>SUM(O7:O89)</f>
        <v>7134580.21</v>
      </c>
      <c r="P112" s="705"/>
      <c r="Q112" s="706">
        <f>SUM(J112:P112)</f>
        <v>14842703.800000001</v>
      </c>
      <c r="R112" s="707"/>
    </row>
    <row r="113" spans="1:17" ht="24.95" customHeight="1" x14ac:dyDescent="0.35">
      <c r="A113" s="656" t="s">
        <v>64</v>
      </c>
      <c r="F113" s="658" t="s">
        <v>64</v>
      </c>
      <c r="H113" s="660"/>
    </row>
    <row r="114" spans="1:17" ht="24.95" customHeight="1" x14ac:dyDescent="0.35">
      <c r="H114" s="660"/>
    </row>
    <row r="115" spans="1:17" ht="24.95" customHeight="1" x14ac:dyDescent="0.35">
      <c r="E115" s="524" t="s">
        <v>486</v>
      </c>
      <c r="O115" s="662"/>
    </row>
    <row r="116" spans="1:17" ht="24.95" customHeight="1" x14ac:dyDescent="0.35">
      <c r="F116" s="658" t="s">
        <v>64</v>
      </c>
      <c r="O116" s="662"/>
    </row>
    <row r="117" spans="1:17" ht="23.25" customHeight="1" x14ac:dyDescent="0.35">
      <c r="G117" s="524"/>
      <c r="H117" s="524"/>
      <c r="I117" s="524"/>
      <c r="J117" s="524" t="s">
        <v>64</v>
      </c>
      <c r="K117" s="524"/>
      <c r="O117" s="662"/>
      <c r="P117" s="524"/>
    </row>
    <row r="118" spans="1:17" ht="24.95" customHeight="1" x14ac:dyDescent="0.35">
      <c r="O118" s="662"/>
      <c r="Q118" s="662"/>
    </row>
    <row r="119" spans="1:17" ht="24.95" customHeight="1" x14ac:dyDescent="0.35">
      <c r="O119" s="662"/>
    </row>
    <row r="120" spans="1:17" ht="24.95" customHeight="1" x14ac:dyDescent="0.35">
      <c r="O120" s="662"/>
    </row>
    <row r="121" spans="1:17" ht="24.95" customHeight="1" x14ac:dyDescent="0.35">
      <c r="O121" s="662"/>
    </row>
    <row r="122" spans="1:17" ht="24.95" customHeight="1" x14ac:dyDescent="0.35">
      <c r="O122" s="662"/>
    </row>
    <row r="123" spans="1:17" ht="24.95" customHeight="1" x14ac:dyDescent="0.35">
      <c r="O123" s="662"/>
    </row>
    <row r="124" spans="1:17" ht="24.95" customHeight="1" x14ac:dyDescent="0.35">
      <c r="O124" s="662"/>
    </row>
    <row r="125" spans="1:17" ht="24.95" customHeight="1" x14ac:dyDescent="0.35">
      <c r="O125" s="662"/>
    </row>
    <row r="126" spans="1:17" ht="24.95" customHeight="1" x14ac:dyDescent="0.35">
      <c r="O126" s="665"/>
    </row>
    <row r="127" spans="1:17" ht="24.95" customHeight="1" x14ac:dyDescent="0.35">
      <c r="O127" s="666"/>
    </row>
    <row r="128" spans="1:17" ht="24.95" customHeight="1" x14ac:dyDescent="0.35">
      <c r="O128" s="667"/>
    </row>
    <row r="129" spans="15:15" ht="24.95" customHeight="1" x14ac:dyDescent="0.35">
      <c r="O129" s="666"/>
    </row>
    <row r="130" spans="15:15" ht="24.95" customHeight="1" x14ac:dyDescent="0.35">
      <c r="O130" s="667"/>
    </row>
  </sheetData>
  <pageMargins left="0.70866141732283472" right="0.70866141732283472" top="0.74803149606299213" bottom="0.74803149606299213" header="0.31496062992125984" footer="0.31496062992125984"/>
  <pageSetup paperSize="9" scale="35"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6"/>
  <sheetViews>
    <sheetView topLeftCell="A95" workbookViewId="0">
      <selection activeCell="F108" sqref="F108"/>
    </sheetView>
  </sheetViews>
  <sheetFormatPr defaultColWidth="23.85546875" defaultRowHeight="23.25" x14ac:dyDescent="0.35"/>
  <cols>
    <col min="1" max="1" width="23.85546875" style="656"/>
    <col min="2" max="2" width="42.85546875" style="623" customWidth="1"/>
    <col min="3" max="3" width="15.85546875" style="524" customWidth="1"/>
    <col min="4" max="4" width="13" style="657" customWidth="1"/>
    <col min="5" max="5" width="14.28515625" style="524" customWidth="1"/>
    <col min="6" max="6" width="12.28515625" style="658" customWidth="1"/>
    <col min="7" max="7" width="23.85546875" style="659"/>
    <col min="8" max="8" width="13.85546875" style="664" customWidth="1"/>
    <col min="9" max="9" width="24"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18" ht="24.95" customHeight="1" x14ac:dyDescent="0.35">
      <c r="A1" s="514" t="s">
        <v>8</v>
      </c>
      <c r="B1" s="515"/>
      <c r="C1" s="516"/>
      <c r="D1" s="517"/>
      <c r="E1" s="516"/>
      <c r="F1" s="516"/>
      <c r="G1" s="518"/>
      <c r="H1" s="519"/>
      <c r="I1" s="520"/>
      <c r="J1" s="521"/>
      <c r="K1" s="521"/>
      <c r="L1" s="521"/>
      <c r="M1" s="521"/>
      <c r="N1" s="521"/>
      <c r="O1" s="522"/>
      <c r="P1" s="523"/>
    </row>
    <row r="2" spans="1:18" ht="24.95" customHeight="1" x14ac:dyDescent="0.35">
      <c r="A2" s="525" t="s">
        <v>9</v>
      </c>
      <c r="B2" s="526"/>
      <c r="C2" s="527"/>
      <c r="D2" s="528"/>
      <c r="E2" s="527"/>
      <c r="F2" s="527"/>
      <c r="G2" s="529"/>
      <c r="H2" s="530"/>
      <c r="I2" s="531"/>
      <c r="J2" s="532"/>
      <c r="K2" s="532"/>
      <c r="L2" s="532"/>
      <c r="M2" s="532"/>
      <c r="N2" s="532"/>
      <c r="O2" s="533"/>
      <c r="P2" s="534"/>
    </row>
    <row r="3" spans="1:18" ht="24.95" customHeight="1" x14ac:dyDescent="0.35">
      <c r="A3" s="525" t="s">
        <v>10</v>
      </c>
      <c r="B3" s="526"/>
      <c r="C3" s="527"/>
      <c r="D3" s="528"/>
      <c r="E3" s="527"/>
      <c r="F3" s="527"/>
      <c r="G3" s="529"/>
      <c r="H3" s="530"/>
      <c r="I3" s="535"/>
      <c r="J3" s="536"/>
      <c r="K3" s="536"/>
      <c r="L3" s="536"/>
      <c r="M3" s="536"/>
      <c r="N3" s="536"/>
      <c r="O3" s="537"/>
      <c r="P3" s="538"/>
    </row>
    <row r="4" spans="1:18" ht="24.95" customHeight="1" x14ac:dyDescent="0.35">
      <c r="A4" s="525" t="s">
        <v>521</v>
      </c>
      <c r="B4" s="526"/>
      <c r="C4" s="527"/>
      <c r="D4" s="528"/>
      <c r="E4" s="527"/>
      <c r="F4" s="527"/>
      <c r="G4" s="529"/>
      <c r="H4" s="530"/>
      <c r="I4" s="535"/>
      <c r="J4" s="536"/>
      <c r="K4" s="536"/>
      <c r="L4" s="536"/>
      <c r="M4" s="536"/>
      <c r="N4" s="536"/>
      <c r="O4" s="537"/>
      <c r="P4" s="538"/>
    </row>
    <row r="5" spans="1:18" ht="24.95" customHeight="1" x14ac:dyDescent="0.35">
      <c r="A5" s="539"/>
      <c r="B5" s="526"/>
      <c r="C5" s="527"/>
      <c r="D5" s="528"/>
      <c r="E5" s="527"/>
      <c r="F5" s="527"/>
      <c r="G5" s="529"/>
      <c r="H5" s="540"/>
      <c r="I5" s="541"/>
      <c r="J5" s="542"/>
      <c r="K5" s="542"/>
      <c r="L5" s="542"/>
      <c r="M5" s="542"/>
      <c r="N5" s="542"/>
      <c r="O5" s="542"/>
      <c r="P5" s="543"/>
    </row>
    <row r="6" spans="1:18" s="565" customFormat="1" ht="24.95" customHeight="1" x14ac:dyDescent="0.35">
      <c r="A6" s="544"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c r="Q6" s="553" t="s">
        <v>7</v>
      </c>
      <c r="R6" s="554" t="s">
        <v>6</v>
      </c>
    </row>
    <row r="7" spans="1:18" s="565" customFormat="1" ht="24.95" customHeight="1" x14ac:dyDescent="0.35">
      <c r="A7" s="555">
        <v>43878</v>
      </c>
      <c r="B7" s="556" t="s">
        <v>63</v>
      </c>
      <c r="C7" s="557"/>
      <c r="D7" s="558" t="s">
        <v>90</v>
      </c>
      <c r="E7" s="557"/>
      <c r="F7" s="557"/>
      <c r="G7" s="559" t="s">
        <v>102</v>
      </c>
      <c r="H7" s="560"/>
      <c r="I7" s="865"/>
      <c r="J7" s="559"/>
      <c r="K7" s="562"/>
      <c r="L7" s="551"/>
      <c r="M7" s="551"/>
      <c r="N7" s="551"/>
      <c r="O7" s="865">
        <v>33421.01</v>
      </c>
      <c r="P7" s="866" t="s">
        <v>22</v>
      </c>
    </row>
    <row r="8" spans="1:18" s="576" customFormat="1" ht="24.95" customHeight="1" x14ac:dyDescent="0.35">
      <c r="A8" s="867">
        <v>44092</v>
      </c>
      <c r="B8" s="558" t="s">
        <v>78</v>
      </c>
      <c r="C8" s="557"/>
      <c r="D8" s="568" t="s">
        <v>92</v>
      </c>
      <c r="E8" s="557"/>
      <c r="F8" s="868"/>
      <c r="G8" s="869" t="s">
        <v>77</v>
      </c>
      <c r="H8" s="560"/>
      <c r="I8" s="870"/>
      <c r="J8" s="871"/>
      <c r="K8" s="871"/>
      <c r="L8" s="871"/>
      <c r="M8" s="871"/>
      <c r="N8" s="871"/>
      <c r="O8" s="574">
        <v>108000</v>
      </c>
      <c r="P8" s="866"/>
    </row>
    <row r="9" spans="1:18" s="587" customFormat="1" ht="24.95" customHeight="1" x14ac:dyDescent="0.35">
      <c r="A9" s="589">
        <v>44352</v>
      </c>
      <c r="B9" s="558" t="s">
        <v>107</v>
      </c>
      <c r="C9" s="579"/>
      <c r="D9" s="580" t="s">
        <v>90</v>
      </c>
      <c r="E9" s="581"/>
      <c r="F9" s="581">
        <v>1918</v>
      </c>
      <c r="G9" s="586">
        <v>4457</v>
      </c>
      <c r="H9" s="583"/>
      <c r="I9" s="584"/>
      <c r="J9" s="584"/>
      <c r="K9" s="584"/>
      <c r="L9" s="584"/>
      <c r="M9" s="584"/>
      <c r="N9" s="584"/>
      <c r="O9" s="585">
        <v>36289.599999999999</v>
      </c>
      <c r="P9" s="586"/>
    </row>
    <row r="10" spans="1:18" s="587" customFormat="1" ht="24.95" customHeight="1" x14ac:dyDescent="0.35">
      <c r="A10" s="589">
        <v>44413</v>
      </c>
      <c r="B10" s="558" t="s">
        <v>107</v>
      </c>
      <c r="C10" s="579"/>
      <c r="D10" s="580" t="s">
        <v>90</v>
      </c>
      <c r="E10" s="581"/>
      <c r="F10" s="581"/>
      <c r="G10" s="586">
        <v>4457</v>
      </c>
      <c r="H10" s="583"/>
      <c r="I10" s="584"/>
      <c r="J10" s="584"/>
      <c r="K10" s="584"/>
      <c r="L10" s="584"/>
      <c r="M10" s="584"/>
      <c r="N10" s="584"/>
      <c r="O10" s="585">
        <v>176976.8</v>
      </c>
      <c r="P10" s="586"/>
    </row>
    <row r="11" spans="1:18" s="587" customFormat="1" ht="24.95" customHeight="1" x14ac:dyDescent="0.35">
      <c r="A11" s="589">
        <v>44420</v>
      </c>
      <c r="B11" s="556" t="s">
        <v>108</v>
      </c>
      <c r="C11" s="579"/>
      <c r="D11" s="558" t="s">
        <v>90</v>
      </c>
      <c r="E11" s="581"/>
      <c r="F11" s="581"/>
      <c r="G11" s="586" t="s">
        <v>120</v>
      </c>
      <c r="H11" s="583"/>
      <c r="I11" s="584"/>
      <c r="J11" s="584"/>
      <c r="K11" s="584"/>
      <c r="L11" s="584"/>
      <c r="M11" s="584"/>
      <c r="N11" s="584"/>
      <c r="O11" s="584">
        <v>470000</v>
      </c>
      <c r="P11" s="586"/>
      <c r="R11" s="587" t="s">
        <v>121</v>
      </c>
    </row>
    <row r="12" spans="1:18" s="587" customFormat="1" ht="24.95" customHeight="1" x14ac:dyDescent="0.35">
      <c r="A12" s="589">
        <v>44474</v>
      </c>
      <c r="B12" s="556" t="s">
        <v>110</v>
      </c>
      <c r="C12" s="579"/>
      <c r="D12" s="558" t="s">
        <v>92</v>
      </c>
      <c r="E12" s="581"/>
      <c r="F12" s="590"/>
      <c r="G12" s="586" t="s">
        <v>111</v>
      </c>
      <c r="H12" s="583"/>
      <c r="I12" s="591"/>
      <c r="J12" s="591"/>
      <c r="K12" s="592"/>
      <c r="L12" s="592"/>
      <c r="M12" s="592"/>
      <c r="N12" s="592"/>
      <c r="O12" s="592">
        <v>40000</v>
      </c>
      <c r="P12" s="586" t="s">
        <v>22</v>
      </c>
      <c r="R12" s="593" t="s">
        <v>112</v>
      </c>
    </row>
    <row r="13" spans="1:18" s="580" customFormat="1" ht="24.95" customHeight="1" x14ac:dyDescent="0.35">
      <c r="A13" s="589">
        <v>44480</v>
      </c>
      <c r="B13" s="556" t="s">
        <v>43</v>
      </c>
      <c r="C13" s="579"/>
      <c r="D13" s="586" t="s">
        <v>90</v>
      </c>
      <c r="E13" s="581"/>
      <c r="F13" s="590">
        <v>2019</v>
      </c>
      <c r="G13" s="586" t="s">
        <v>132</v>
      </c>
      <c r="H13" s="583"/>
      <c r="I13" s="591"/>
      <c r="J13" s="591"/>
      <c r="K13" s="594"/>
      <c r="L13" s="594"/>
      <c r="M13" s="594"/>
      <c r="N13" s="594"/>
      <c r="O13" s="594">
        <v>147281.20000000001</v>
      </c>
      <c r="P13" s="586"/>
      <c r="R13" s="593" t="s">
        <v>133</v>
      </c>
    </row>
    <row r="14" spans="1:18" s="587" customFormat="1" ht="27.75" customHeight="1" x14ac:dyDescent="0.35">
      <c r="A14" s="589">
        <v>44589</v>
      </c>
      <c r="B14" s="556" t="s">
        <v>125</v>
      </c>
      <c r="C14" s="579"/>
      <c r="D14" s="558" t="s">
        <v>90</v>
      </c>
      <c r="E14" s="581"/>
      <c r="F14" s="581"/>
      <c r="G14" s="586">
        <v>4880</v>
      </c>
      <c r="H14" s="583"/>
      <c r="I14" s="591"/>
      <c r="J14" s="591"/>
      <c r="K14" s="591"/>
      <c r="L14" s="591"/>
      <c r="M14" s="591"/>
      <c r="N14" s="591"/>
      <c r="O14" s="591">
        <v>37000</v>
      </c>
      <c r="P14" s="591" t="s">
        <v>22</v>
      </c>
      <c r="R14" s="587" t="s">
        <v>126</v>
      </c>
    </row>
    <row r="15" spans="1:18" s="587" customFormat="1" ht="24.95" customHeight="1" x14ac:dyDescent="0.35">
      <c r="A15" s="589">
        <v>44607</v>
      </c>
      <c r="B15" s="596" t="s">
        <v>59</v>
      </c>
      <c r="C15" s="579"/>
      <c r="D15" s="558" t="s">
        <v>90</v>
      </c>
      <c r="E15" s="581" t="s">
        <v>135</v>
      </c>
      <c r="F15" s="581"/>
      <c r="G15" s="586" t="s">
        <v>131</v>
      </c>
      <c r="H15" s="583"/>
      <c r="I15" s="591"/>
      <c r="J15" s="591"/>
      <c r="K15" s="591"/>
      <c r="L15" s="591"/>
      <c r="M15" s="591"/>
      <c r="N15" s="591"/>
      <c r="O15" s="591">
        <v>16076.04</v>
      </c>
      <c r="P15" s="591" t="s">
        <v>22</v>
      </c>
      <c r="R15" s="593" t="s">
        <v>134</v>
      </c>
    </row>
    <row r="16" spans="1:18" s="605" customFormat="1" ht="24.95" customHeight="1" x14ac:dyDescent="0.35">
      <c r="A16" s="597">
        <v>44609</v>
      </c>
      <c r="B16" s="598" t="s">
        <v>59</v>
      </c>
      <c r="C16" s="599"/>
      <c r="D16" s="600" t="s">
        <v>90</v>
      </c>
      <c r="E16" s="601" t="s">
        <v>129</v>
      </c>
      <c r="F16" s="601"/>
      <c r="G16" s="602" t="s">
        <v>118</v>
      </c>
      <c r="H16" s="603"/>
      <c r="I16" s="604"/>
      <c r="J16" s="604"/>
      <c r="K16" s="604"/>
      <c r="L16" s="604"/>
      <c r="M16" s="604"/>
      <c r="N16" s="604"/>
      <c r="O16" s="604">
        <v>7186.99</v>
      </c>
      <c r="P16" s="604" t="s">
        <v>22</v>
      </c>
      <c r="R16" s="605" t="s">
        <v>130</v>
      </c>
    </row>
    <row r="17" spans="1:18" s="587" customFormat="1" ht="24.95" customHeight="1" x14ac:dyDescent="0.35">
      <c r="A17" s="589">
        <v>44614</v>
      </c>
      <c r="B17" s="556" t="s">
        <v>136</v>
      </c>
      <c r="C17" s="579"/>
      <c r="D17" s="558" t="s">
        <v>92</v>
      </c>
      <c r="E17" s="581"/>
      <c r="F17" s="581"/>
      <c r="G17" s="586" t="s">
        <v>376</v>
      </c>
      <c r="H17" s="583"/>
      <c r="I17" s="591"/>
      <c r="J17" s="591"/>
      <c r="K17" s="591"/>
      <c r="L17" s="591"/>
      <c r="M17" s="591"/>
      <c r="N17" s="591"/>
      <c r="O17" s="591">
        <v>526625</v>
      </c>
      <c r="P17" s="591"/>
      <c r="R17" s="587" t="s">
        <v>193</v>
      </c>
    </row>
    <row r="18" spans="1:18" s="587" customFormat="1" ht="24.95" customHeight="1" x14ac:dyDescent="0.35">
      <c r="A18" s="589">
        <v>44631</v>
      </c>
      <c r="B18" s="556" t="s">
        <v>136</v>
      </c>
      <c r="C18" s="579"/>
      <c r="D18" s="558" t="s">
        <v>92</v>
      </c>
      <c r="E18" s="581"/>
      <c r="F18" s="581"/>
      <c r="G18" s="586">
        <v>4943</v>
      </c>
      <c r="H18" s="583"/>
      <c r="I18" s="591"/>
      <c r="J18" s="591"/>
      <c r="K18" s="591"/>
      <c r="L18" s="591"/>
      <c r="M18" s="591"/>
      <c r="N18" s="591"/>
      <c r="O18" s="591">
        <v>5975</v>
      </c>
      <c r="P18" s="586"/>
      <c r="R18" s="587" t="s">
        <v>138</v>
      </c>
    </row>
    <row r="19" spans="1:18" s="587" customFormat="1" ht="24.95" customHeight="1" x14ac:dyDescent="0.35">
      <c r="A19" s="589">
        <v>44638</v>
      </c>
      <c r="B19" s="556" t="s">
        <v>136</v>
      </c>
      <c r="C19" s="579"/>
      <c r="D19" s="558" t="s">
        <v>92</v>
      </c>
      <c r="E19" s="581"/>
      <c r="F19" s="581"/>
      <c r="G19" s="586">
        <v>4953</v>
      </c>
      <c r="H19" s="583"/>
      <c r="I19" s="591"/>
      <c r="J19" s="591"/>
      <c r="K19" s="591"/>
      <c r="L19" s="591"/>
      <c r="M19" s="591"/>
      <c r="N19" s="591"/>
      <c r="O19" s="591">
        <v>4950</v>
      </c>
      <c r="P19" s="586"/>
      <c r="R19" s="587" t="s">
        <v>139</v>
      </c>
    </row>
    <row r="20" spans="1:18" s="587" customFormat="1" ht="24.95" customHeight="1" x14ac:dyDescent="0.35">
      <c r="A20" s="589">
        <v>44711</v>
      </c>
      <c r="B20" s="556" t="s">
        <v>153</v>
      </c>
      <c r="C20" s="579"/>
      <c r="D20" s="558" t="s">
        <v>92</v>
      </c>
      <c r="E20" s="581"/>
      <c r="F20" s="581"/>
      <c r="G20" s="586" t="s">
        <v>181</v>
      </c>
      <c r="H20" s="583"/>
      <c r="I20" s="591"/>
      <c r="J20" s="591"/>
      <c r="K20" s="591"/>
      <c r="L20" s="591"/>
      <c r="M20" s="591"/>
      <c r="N20" s="591"/>
      <c r="O20" s="591">
        <v>164667</v>
      </c>
      <c r="P20" s="592"/>
      <c r="R20" s="593" t="s">
        <v>182</v>
      </c>
    </row>
    <row r="21" spans="1:18" s="605" customFormat="1" ht="24.95" customHeight="1" x14ac:dyDescent="0.35">
      <c r="A21" s="597">
        <v>44714</v>
      </c>
      <c r="B21" s="598" t="s">
        <v>59</v>
      </c>
      <c r="C21" s="599"/>
      <c r="D21" s="600" t="s">
        <v>90</v>
      </c>
      <c r="E21" s="601"/>
      <c r="F21" s="601">
        <v>2062</v>
      </c>
      <c r="G21" s="602" t="s">
        <v>118</v>
      </c>
      <c r="H21" s="603"/>
      <c r="I21" s="604"/>
      <c r="J21" s="604"/>
      <c r="K21" s="604"/>
      <c r="L21" s="604"/>
      <c r="M21" s="604"/>
      <c r="N21" s="604"/>
      <c r="O21" s="604">
        <v>77456</v>
      </c>
      <c r="P21" s="604" t="s">
        <v>22</v>
      </c>
      <c r="R21" s="598" t="s">
        <v>142</v>
      </c>
    </row>
    <row r="22" spans="1:18" s="605" customFormat="1" ht="24.95" customHeight="1" x14ac:dyDescent="0.35">
      <c r="A22" s="597">
        <v>44714</v>
      </c>
      <c r="B22" s="598" t="s">
        <v>59</v>
      </c>
      <c r="C22" s="599"/>
      <c r="D22" s="600" t="s">
        <v>90</v>
      </c>
      <c r="E22" s="601" t="s">
        <v>143</v>
      </c>
      <c r="F22" s="601"/>
      <c r="G22" s="602" t="s">
        <v>118</v>
      </c>
      <c r="H22" s="603"/>
      <c r="I22" s="604"/>
      <c r="J22" s="604"/>
      <c r="K22" s="604"/>
      <c r="L22" s="604"/>
      <c r="M22" s="604"/>
      <c r="N22" s="604"/>
      <c r="O22" s="604">
        <v>72499.08</v>
      </c>
      <c r="P22" s="604" t="s">
        <v>22</v>
      </c>
      <c r="R22" s="598" t="s">
        <v>144</v>
      </c>
    </row>
    <row r="23" spans="1:18" s="605" customFormat="1" ht="24.95" customHeight="1" x14ac:dyDescent="0.35">
      <c r="A23" s="597">
        <v>44741</v>
      </c>
      <c r="B23" s="598" t="s">
        <v>59</v>
      </c>
      <c r="C23" s="599"/>
      <c r="D23" s="600" t="s">
        <v>90</v>
      </c>
      <c r="E23" s="601" t="s">
        <v>166</v>
      </c>
      <c r="F23" s="601"/>
      <c r="G23" s="602">
        <v>5908</v>
      </c>
      <c r="H23" s="603"/>
      <c r="I23" s="604"/>
      <c r="J23" s="604"/>
      <c r="K23" s="604"/>
      <c r="L23" s="604"/>
      <c r="M23" s="607"/>
      <c r="N23" s="607"/>
      <c r="O23" s="607">
        <v>510</v>
      </c>
      <c r="P23" s="607" t="s">
        <v>22</v>
      </c>
      <c r="R23" s="598" t="s">
        <v>167</v>
      </c>
    </row>
    <row r="24" spans="1:18" s="587" customFormat="1" ht="24.95" customHeight="1" x14ac:dyDescent="0.35">
      <c r="A24" s="589">
        <v>44768</v>
      </c>
      <c r="B24" s="556" t="s">
        <v>159</v>
      </c>
      <c r="C24" s="579"/>
      <c r="D24" s="558" t="s">
        <v>90</v>
      </c>
      <c r="E24" s="581"/>
      <c r="F24" s="581"/>
      <c r="G24" s="586" t="s">
        <v>151</v>
      </c>
      <c r="H24" s="583"/>
      <c r="I24" s="591"/>
      <c r="J24" s="591"/>
      <c r="K24" s="591"/>
      <c r="L24" s="591"/>
      <c r="M24" s="591"/>
      <c r="N24" s="591"/>
      <c r="O24" s="629" t="s">
        <v>479</v>
      </c>
      <c r="P24" s="591" t="s">
        <v>22</v>
      </c>
      <c r="R24" s="608" t="s">
        <v>199</v>
      </c>
    </row>
    <row r="25" spans="1:18" s="587" customFormat="1" ht="24.95" customHeight="1" x14ac:dyDescent="0.35">
      <c r="A25" s="589">
        <v>44786</v>
      </c>
      <c r="B25" s="556" t="s">
        <v>150</v>
      </c>
      <c r="C25" s="579"/>
      <c r="D25" s="558" t="s">
        <v>94</v>
      </c>
      <c r="E25" s="581"/>
      <c r="F25" s="581">
        <v>2136</v>
      </c>
      <c r="G25" s="586" t="s">
        <v>170</v>
      </c>
      <c r="H25" s="583"/>
      <c r="I25" s="591"/>
      <c r="J25" s="591"/>
      <c r="K25" s="591"/>
      <c r="L25" s="591"/>
      <c r="M25" s="592"/>
      <c r="N25" s="591"/>
      <c r="O25" s="591">
        <v>193400</v>
      </c>
      <c r="P25" s="586" t="s">
        <v>22</v>
      </c>
      <c r="R25" s="593" t="s">
        <v>171</v>
      </c>
    </row>
    <row r="26" spans="1:18" s="587" customFormat="1" ht="24.95" customHeight="1" x14ac:dyDescent="0.35">
      <c r="A26" s="589">
        <v>44824</v>
      </c>
      <c r="B26" s="556" t="s">
        <v>43</v>
      </c>
      <c r="C26" s="579"/>
      <c r="D26" s="558" t="s">
        <v>90</v>
      </c>
      <c r="E26" s="581"/>
      <c r="F26" s="581">
        <v>2162</v>
      </c>
      <c r="G26" s="586">
        <v>5218</v>
      </c>
      <c r="H26" s="583"/>
      <c r="I26" s="591"/>
      <c r="J26" s="591"/>
      <c r="K26" s="591"/>
      <c r="L26" s="592"/>
      <c r="M26" s="591"/>
      <c r="N26" s="591"/>
      <c r="O26" s="591">
        <v>54650</v>
      </c>
      <c r="P26" s="586"/>
      <c r="R26" s="593" t="s">
        <v>174</v>
      </c>
    </row>
    <row r="27" spans="1:18" s="587" customFormat="1" ht="24.95" customHeight="1" x14ac:dyDescent="0.35">
      <c r="A27" s="589">
        <v>44839</v>
      </c>
      <c r="B27" s="556" t="s">
        <v>43</v>
      </c>
      <c r="C27" s="579"/>
      <c r="D27" s="558" t="s">
        <v>90</v>
      </c>
      <c r="E27" s="581"/>
      <c r="F27" s="581">
        <v>2140</v>
      </c>
      <c r="G27" s="586">
        <v>5248</v>
      </c>
      <c r="H27" s="583"/>
      <c r="I27" s="591"/>
      <c r="J27" s="591"/>
      <c r="K27" s="591"/>
      <c r="L27" s="591"/>
      <c r="M27" s="591"/>
      <c r="N27" s="591"/>
      <c r="O27" s="591">
        <v>25000</v>
      </c>
      <c r="P27" s="586"/>
      <c r="R27" s="593" t="s">
        <v>160</v>
      </c>
    </row>
    <row r="28" spans="1:18" s="605" customFormat="1" ht="24.95" customHeight="1" x14ac:dyDescent="0.35">
      <c r="A28" s="597">
        <v>44855</v>
      </c>
      <c r="B28" s="598" t="s">
        <v>59</v>
      </c>
      <c r="C28" s="599"/>
      <c r="D28" s="600" t="s">
        <v>90</v>
      </c>
      <c r="E28" s="601" t="s">
        <v>164</v>
      </c>
      <c r="F28" s="601"/>
      <c r="G28" s="602">
        <v>5739</v>
      </c>
      <c r="H28" s="603"/>
      <c r="I28" s="604"/>
      <c r="J28" s="604"/>
      <c r="K28" s="604"/>
      <c r="L28" s="604"/>
      <c r="M28" s="604"/>
      <c r="N28" s="604"/>
      <c r="O28" s="604">
        <v>6650</v>
      </c>
      <c r="P28" s="604" t="s">
        <v>22</v>
      </c>
      <c r="R28" s="598" t="s">
        <v>165</v>
      </c>
    </row>
    <row r="29" spans="1:18" s="605" customFormat="1" ht="24.95" customHeight="1" x14ac:dyDescent="0.35">
      <c r="A29" s="597">
        <v>44855</v>
      </c>
      <c r="B29" s="598" t="s">
        <v>59</v>
      </c>
      <c r="C29" s="599"/>
      <c r="D29" s="600" t="s">
        <v>90</v>
      </c>
      <c r="E29" s="601" t="s">
        <v>168</v>
      </c>
      <c r="F29" s="601"/>
      <c r="G29" s="602" t="s">
        <v>118</v>
      </c>
      <c r="H29" s="603"/>
      <c r="I29" s="604"/>
      <c r="J29" s="604"/>
      <c r="K29" s="604"/>
      <c r="L29" s="604"/>
      <c r="M29" s="604"/>
      <c r="N29" s="604"/>
      <c r="O29" s="604">
        <v>3000</v>
      </c>
      <c r="P29" s="604" t="s">
        <v>22</v>
      </c>
      <c r="R29" s="598" t="s">
        <v>169</v>
      </c>
    </row>
    <row r="30" spans="1:18" s="605" customFormat="1" ht="24.95" customHeight="1" x14ac:dyDescent="0.35">
      <c r="A30" s="597">
        <v>44916</v>
      </c>
      <c r="B30" s="598" t="s">
        <v>59</v>
      </c>
      <c r="C30" s="599"/>
      <c r="D30" s="600" t="s">
        <v>90</v>
      </c>
      <c r="E30" s="601"/>
      <c r="F30" s="601">
        <v>2176</v>
      </c>
      <c r="G30" s="602" t="s">
        <v>118</v>
      </c>
      <c r="H30" s="603"/>
      <c r="I30" s="604"/>
      <c r="J30" s="604"/>
      <c r="K30" s="604"/>
      <c r="L30" s="604"/>
      <c r="M30" s="604"/>
      <c r="N30" s="607"/>
      <c r="O30" s="604">
        <v>186146</v>
      </c>
      <c r="P30" s="602"/>
      <c r="R30" s="598" t="s">
        <v>179</v>
      </c>
    </row>
    <row r="31" spans="1:18" s="617" customFormat="1" ht="24.95" customHeight="1" x14ac:dyDescent="0.35">
      <c r="A31" s="609">
        <v>44954</v>
      </c>
      <c r="B31" s="610" t="s">
        <v>145</v>
      </c>
      <c r="C31" s="611"/>
      <c r="D31" s="612" t="s">
        <v>92</v>
      </c>
      <c r="E31" s="613" t="s">
        <v>260</v>
      </c>
      <c r="F31" s="613"/>
      <c r="G31" s="614" t="s">
        <v>262</v>
      </c>
      <c r="H31" s="615"/>
      <c r="I31" s="616"/>
      <c r="J31" s="616"/>
      <c r="K31" s="616"/>
      <c r="L31" s="616"/>
      <c r="M31" s="616"/>
      <c r="N31" s="616"/>
      <c r="O31" s="616">
        <v>666000</v>
      </c>
      <c r="P31" s="616"/>
      <c r="R31" s="618" t="s">
        <v>264</v>
      </c>
    </row>
    <row r="32" spans="1:18" s="617" customFormat="1" ht="24.95" customHeight="1" x14ac:dyDescent="0.35">
      <c r="A32" s="609">
        <v>44954</v>
      </c>
      <c r="B32" s="610" t="s">
        <v>145</v>
      </c>
      <c r="C32" s="611"/>
      <c r="D32" s="612" t="s">
        <v>92</v>
      </c>
      <c r="E32" s="613" t="s">
        <v>261</v>
      </c>
      <c r="F32" s="613"/>
      <c r="G32" s="614" t="s">
        <v>263</v>
      </c>
      <c r="H32" s="615"/>
      <c r="I32" s="616"/>
      <c r="J32" s="616"/>
      <c r="K32" s="616"/>
      <c r="L32" s="616"/>
      <c r="M32" s="616"/>
      <c r="N32" s="616"/>
      <c r="O32" s="616">
        <v>657658.5</v>
      </c>
      <c r="P32" s="616"/>
      <c r="R32" s="618" t="s">
        <v>265</v>
      </c>
    </row>
    <row r="33" spans="1:18" s="587" customFormat="1" ht="24.95" customHeight="1" x14ac:dyDescent="0.35">
      <c r="A33" s="589">
        <v>44977</v>
      </c>
      <c r="B33" s="556" t="s">
        <v>110</v>
      </c>
      <c r="C33" s="579"/>
      <c r="D33" s="586" t="s">
        <v>92</v>
      </c>
      <c r="E33" s="581"/>
      <c r="F33" s="581"/>
      <c r="G33" s="586">
        <v>5407</v>
      </c>
      <c r="H33" s="583"/>
      <c r="I33" s="591"/>
      <c r="J33" s="591"/>
      <c r="K33" s="591"/>
      <c r="L33" s="591"/>
      <c r="M33" s="591"/>
      <c r="N33" s="592"/>
      <c r="O33" s="591">
        <v>89500</v>
      </c>
      <c r="P33" s="586"/>
      <c r="R33" s="593" t="s">
        <v>185</v>
      </c>
    </row>
    <row r="34" spans="1:18" s="587" customFormat="1" ht="24.95" customHeight="1" x14ac:dyDescent="0.35">
      <c r="A34" s="589" t="s">
        <v>190</v>
      </c>
      <c r="B34" s="620" t="s">
        <v>191</v>
      </c>
      <c r="C34" s="579"/>
      <c r="D34" s="558" t="s">
        <v>92</v>
      </c>
      <c r="E34" s="581"/>
      <c r="F34" s="581"/>
      <c r="G34" s="586" t="s">
        <v>118</v>
      </c>
      <c r="H34" s="583"/>
      <c r="I34" s="591"/>
      <c r="J34" s="591"/>
      <c r="K34" s="591"/>
      <c r="L34" s="591"/>
      <c r="M34" s="591"/>
      <c r="N34" s="591"/>
      <c r="O34" s="591">
        <v>67000</v>
      </c>
      <c r="P34" s="591" t="s">
        <v>22</v>
      </c>
      <c r="R34" s="593"/>
    </row>
    <row r="35" spans="1:18" s="617" customFormat="1" ht="24.95" customHeight="1" x14ac:dyDescent="0.35">
      <c r="A35" s="609">
        <v>45017</v>
      </c>
      <c r="B35" s="610" t="s">
        <v>145</v>
      </c>
      <c r="C35" s="611"/>
      <c r="D35" s="612" t="s">
        <v>92</v>
      </c>
      <c r="E35" s="613"/>
      <c r="F35" s="613"/>
      <c r="G35" s="614">
        <v>5460</v>
      </c>
      <c r="H35" s="615" t="s">
        <v>257</v>
      </c>
      <c r="I35" s="616"/>
      <c r="J35" s="616"/>
      <c r="K35" s="616"/>
      <c r="L35" s="616"/>
      <c r="M35" s="616"/>
      <c r="N35" s="616"/>
      <c r="O35" s="872">
        <v>413995.98</v>
      </c>
      <c r="P35" s="614"/>
      <c r="R35" s="618" t="s">
        <v>276</v>
      </c>
    </row>
    <row r="36" spans="1:18" s="554" customFormat="1" ht="24.95" customHeight="1" x14ac:dyDescent="0.35">
      <c r="A36" s="873">
        <v>45147</v>
      </c>
      <c r="B36" s="554" t="s">
        <v>205</v>
      </c>
      <c r="D36" s="554" t="s">
        <v>92</v>
      </c>
      <c r="E36" s="874"/>
      <c r="F36" s="874"/>
      <c r="G36" s="875">
        <v>5568</v>
      </c>
      <c r="O36" s="554">
        <v>10000</v>
      </c>
      <c r="P36" s="554" t="s">
        <v>210</v>
      </c>
      <c r="R36" s="554" t="s">
        <v>206</v>
      </c>
    </row>
    <row r="37" spans="1:18" s="617" customFormat="1" ht="24.95" customHeight="1" x14ac:dyDescent="0.35">
      <c r="A37" s="609">
        <v>45181</v>
      </c>
      <c r="B37" s="610" t="s">
        <v>145</v>
      </c>
      <c r="C37" s="611"/>
      <c r="D37" s="612" t="s">
        <v>90</v>
      </c>
      <c r="E37" s="613" t="s">
        <v>277</v>
      </c>
      <c r="F37" s="613"/>
      <c r="G37" s="614">
        <v>5606</v>
      </c>
      <c r="H37" s="615"/>
      <c r="I37" s="626"/>
      <c r="J37" s="626"/>
      <c r="K37" s="626"/>
      <c r="L37" s="626"/>
      <c r="M37" s="626"/>
      <c r="N37" s="626"/>
      <c r="O37" s="626">
        <v>676930.8</v>
      </c>
      <c r="P37" s="614"/>
      <c r="R37" s="618" t="s">
        <v>278</v>
      </c>
    </row>
    <row r="38" spans="1:18" s="587" customFormat="1" ht="24.95" customHeight="1" x14ac:dyDescent="0.35">
      <c r="A38" s="589">
        <v>45195</v>
      </c>
      <c r="B38" s="556" t="s">
        <v>271</v>
      </c>
      <c r="C38" s="579"/>
      <c r="D38" s="558" t="s">
        <v>92</v>
      </c>
      <c r="E38" s="581"/>
      <c r="F38" s="581"/>
      <c r="G38" s="586" t="s">
        <v>272</v>
      </c>
      <c r="H38" s="583"/>
      <c r="I38" s="592"/>
      <c r="J38" s="592"/>
      <c r="K38" s="592"/>
      <c r="L38" s="592"/>
      <c r="M38" s="592"/>
      <c r="N38" s="592"/>
      <c r="O38" s="592">
        <v>2339.29</v>
      </c>
      <c r="P38" s="586" t="s">
        <v>22</v>
      </c>
      <c r="R38" s="586" t="s">
        <v>273</v>
      </c>
    </row>
    <row r="39" spans="1:18" s="587" customFormat="1" ht="24.95" customHeight="1" x14ac:dyDescent="0.35">
      <c r="A39" s="589">
        <v>45310</v>
      </c>
      <c r="B39" s="627" t="s">
        <v>109</v>
      </c>
      <c r="C39" s="579"/>
      <c r="D39" s="586" t="s">
        <v>90</v>
      </c>
      <c r="E39" s="581"/>
      <c r="F39" s="581"/>
      <c r="G39" s="586" t="s">
        <v>327</v>
      </c>
      <c r="H39" s="583"/>
      <c r="I39" s="592"/>
      <c r="J39" s="592"/>
      <c r="K39" s="592"/>
      <c r="L39" s="592"/>
      <c r="M39" s="592"/>
      <c r="N39" s="592"/>
      <c r="O39" s="592">
        <v>16550</v>
      </c>
      <c r="P39" s="586" t="s">
        <v>22</v>
      </c>
      <c r="R39" s="593" t="s">
        <v>328</v>
      </c>
    </row>
    <row r="40" spans="1:18" s="617" customFormat="1" ht="24.95" customHeight="1" x14ac:dyDescent="0.35">
      <c r="A40" s="609">
        <f>SUM(G135)</f>
        <v>0</v>
      </c>
      <c r="B40" s="628" t="s">
        <v>37</v>
      </c>
      <c r="C40" s="611"/>
      <c r="D40" s="614" t="s">
        <v>90</v>
      </c>
      <c r="E40" s="613" t="s">
        <v>233</v>
      </c>
      <c r="F40" s="613"/>
      <c r="G40" s="614">
        <v>5714</v>
      </c>
      <c r="H40" s="615"/>
      <c r="I40" s="626"/>
      <c r="J40" s="626"/>
      <c r="K40" s="626"/>
      <c r="L40" s="626"/>
      <c r="M40" s="626"/>
      <c r="N40" s="626"/>
      <c r="O40" s="626">
        <v>150000</v>
      </c>
      <c r="P40" s="614"/>
      <c r="R40" s="618" t="s">
        <v>234</v>
      </c>
    </row>
    <row r="41" spans="1:18" s="587" customFormat="1" ht="24.95" customHeight="1" x14ac:dyDescent="0.35">
      <c r="A41" s="589">
        <v>45313</v>
      </c>
      <c r="B41" s="556" t="s">
        <v>230</v>
      </c>
      <c r="C41" s="579"/>
      <c r="D41" s="556" t="s">
        <v>92</v>
      </c>
      <c r="E41" s="581"/>
      <c r="F41" s="581"/>
      <c r="G41" s="586">
        <v>5715</v>
      </c>
      <c r="H41" s="583"/>
      <c r="I41" s="592"/>
      <c r="J41" s="592"/>
      <c r="K41" s="592"/>
      <c r="L41" s="592"/>
      <c r="M41" s="592"/>
      <c r="N41" s="592"/>
      <c r="O41" s="592">
        <v>78</v>
      </c>
      <c r="P41" s="592" t="s">
        <v>255</v>
      </c>
      <c r="R41" s="593" t="s">
        <v>231</v>
      </c>
    </row>
    <row r="42" spans="1:18" s="605" customFormat="1" ht="24.95" customHeight="1" x14ac:dyDescent="0.35">
      <c r="A42" s="597">
        <v>45343</v>
      </c>
      <c r="B42" s="598" t="s">
        <v>59</v>
      </c>
      <c r="C42" s="599"/>
      <c r="D42" s="598" t="s">
        <v>90</v>
      </c>
      <c r="E42" s="601" t="s">
        <v>238</v>
      </c>
      <c r="F42" s="601"/>
      <c r="G42" s="602" t="s">
        <v>118</v>
      </c>
      <c r="H42" s="603"/>
      <c r="I42" s="607"/>
      <c r="J42" s="607"/>
      <c r="K42" s="607"/>
      <c r="L42" s="607"/>
      <c r="M42" s="607"/>
      <c r="N42" s="607"/>
      <c r="O42" s="607">
        <v>22500</v>
      </c>
      <c r="P42" s="604" t="s">
        <v>22</v>
      </c>
      <c r="R42" s="598" t="s">
        <v>239</v>
      </c>
    </row>
    <row r="43" spans="1:18" s="587" customFormat="1" ht="24.95" customHeight="1" x14ac:dyDescent="0.35">
      <c r="A43" s="589">
        <v>45371</v>
      </c>
      <c r="B43" s="556" t="s">
        <v>250</v>
      </c>
      <c r="C43" s="579"/>
      <c r="D43" s="586" t="s">
        <v>221</v>
      </c>
      <c r="E43" s="581"/>
      <c r="F43" s="581"/>
      <c r="G43" s="586">
        <v>5769</v>
      </c>
      <c r="H43" s="583"/>
      <c r="I43" s="592"/>
      <c r="J43" s="592"/>
      <c r="K43" s="592"/>
      <c r="L43" s="592"/>
      <c r="M43" s="592"/>
      <c r="N43" s="592"/>
      <c r="O43" s="592">
        <v>250</v>
      </c>
      <c r="P43" s="591" t="s">
        <v>22</v>
      </c>
      <c r="R43" s="593" t="s">
        <v>251</v>
      </c>
    </row>
    <row r="44" spans="1:18" s="617" customFormat="1" ht="24.95" customHeight="1" x14ac:dyDescent="0.35">
      <c r="A44" s="609">
        <v>45386</v>
      </c>
      <c r="B44" s="610" t="s">
        <v>145</v>
      </c>
      <c r="C44" s="611"/>
      <c r="D44" s="614" t="s">
        <v>90</v>
      </c>
      <c r="E44" s="613"/>
      <c r="F44" s="613"/>
      <c r="G44" s="614">
        <v>5776</v>
      </c>
      <c r="H44" s="615"/>
      <c r="I44" s="626"/>
      <c r="J44" s="626"/>
      <c r="K44" s="626" t="s">
        <v>64</v>
      </c>
      <c r="L44" s="626"/>
      <c r="M44" s="626"/>
      <c r="N44" s="626"/>
      <c r="O44" s="626">
        <v>455997.92</v>
      </c>
      <c r="P44" s="616" t="s">
        <v>22</v>
      </c>
      <c r="R44" s="618" t="s">
        <v>256</v>
      </c>
    </row>
    <row r="45" spans="1:18" s="587" customFormat="1" ht="24.95" customHeight="1" x14ac:dyDescent="0.35">
      <c r="A45" s="589">
        <v>45458</v>
      </c>
      <c r="B45" s="556" t="s">
        <v>43</v>
      </c>
      <c r="C45" s="579"/>
      <c r="D45" s="586" t="s">
        <v>90</v>
      </c>
      <c r="E45" s="581"/>
      <c r="F45" s="581">
        <v>2355</v>
      </c>
      <c r="G45" s="586" t="s">
        <v>290</v>
      </c>
      <c r="H45" s="583"/>
      <c r="I45" s="592"/>
      <c r="J45" s="592"/>
      <c r="K45" s="592"/>
      <c r="L45" s="592"/>
      <c r="M45" s="592">
        <v>11059.82</v>
      </c>
      <c r="N45" s="592"/>
      <c r="O45" s="586"/>
      <c r="P45" s="586" t="s">
        <v>22</v>
      </c>
      <c r="R45" s="587" t="s">
        <v>350</v>
      </c>
    </row>
    <row r="46" spans="1:18" s="587" customFormat="1" ht="24.95" customHeight="1" x14ac:dyDescent="0.35">
      <c r="A46" s="589">
        <v>45539</v>
      </c>
      <c r="B46" s="556" t="s">
        <v>301</v>
      </c>
      <c r="C46" s="579"/>
      <c r="D46" s="586" t="s">
        <v>90</v>
      </c>
      <c r="E46" s="581"/>
      <c r="F46" s="581">
        <v>2387</v>
      </c>
      <c r="G46" s="586">
        <v>5879</v>
      </c>
      <c r="H46" s="583"/>
      <c r="I46" s="592"/>
      <c r="J46" s="592"/>
      <c r="K46" s="592"/>
      <c r="L46" s="592"/>
      <c r="M46" s="592"/>
      <c r="N46" s="592"/>
      <c r="O46" s="630">
        <v>1238500</v>
      </c>
      <c r="P46" s="586"/>
    </row>
    <row r="47" spans="1:18" s="587" customFormat="1" ht="24.95" customHeight="1" x14ac:dyDescent="0.35">
      <c r="A47" s="589">
        <v>45582</v>
      </c>
      <c r="B47" s="556" t="s">
        <v>417</v>
      </c>
      <c r="C47" s="579"/>
      <c r="D47" s="586"/>
      <c r="E47" s="581"/>
      <c r="F47" s="581"/>
      <c r="G47" s="586" t="s">
        <v>451</v>
      </c>
      <c r="H47" s="583"/>
      <c r="I47" s="592"/>
      <c r="J47" s="629"/>
      <c r="K47" s="591"/>
      <c r="L47" s="592"/>
      <c r="M47" s="592"/>
      <c r="N47" s="592"/>
      <c r="O47" s="629">
        <v>273520</v>
      </c>
      <c r="P47" s="586" t="s">
        <v>478</v>
      </c>
      <c r="R47" s="587" t="s">
        <v>412</v>
      </c>
    </row>
    <row r="48" spans="1:18" s="617" customFormat="1" ht="24.95" customHeight="1" x14ac:dyDescent="0.35">
      <c r="A48" s="609">
        <v>45601</v>
      </c>
      <c r="B48" s="610" t="s">
        <v>145</v>
      </c>
      <c r="C48" s="611"/>
      <c r="D48" s="614" t="s">
        <v>90</v>
      </c>
      <c r="E48" s="613"/>
      <c r="F48" s="613"/>
      <c r="G48" s="614">
        <v>5920</v>
      </c>
      <c r="H48" s="615"/>
      <c r="I48" s="626"/>
      <c r="J48" s="616" t="s">
        <v>354</v>
      </c>
      <c r="K48" s="626"/>
      <c r="L48" s="626"/>
      <c r="M48" s="626">
        <v>310000</v>
      </c>
      <c r="N48" s="626"/>
      <c r="O48" s="614"/>
      <c r="P48" s="614"/>
      <c r="R48" s="617" t="s">
        <v>355</v>
      </c>
    </row>
    <row r="49" spans="1:19" s="617" customFormat="1" ht="24.95" customHeight="1" x14ac:dyDescent="0.35">
      <c r="A49" s="609">
        <v>45601</v>
      </c>
      <c r="B49" s="610" t="s">
        <v>145</v>
      </c>
      <c r="C49" s="611"/>
      <c r="D49" s="614" t="s">
        <v>90</v>
      </c>
      <c r="E49" s="613"/>
      <c r="F49" s="613"/>
      <c r="G49" s="614">
        <v>5920</v>
      </c>
      <c r="H49" s="615"/>
      <c r="I49" s="626"/>
      <c r="J49" s="616" t="s">
        <v>354</v>
      </c>
      <c r="K49" s="626"/>
      <c r="L49" s="626"/>
      <c r="M49" s="626">
        <v>310000</v>
      </c>
      <c r="N49" s="626"/>
      <c r="O49" s="614"/>
      <c r="P49" s="614"/>
      <c r="R49" s="617" t="s">
        <v>355</v>
      </c>
    </row>
    <row r="50" spans="1:19" s="587" customFormat="1" ht="24.95" customHeight="1" x14ac:dyDescent="0.35">
      <c r="A50" s="589">
        <v>45630</v>
      </c>
      <c r="B50" s="556" t="s">
        <v>411</v>
      </c>
      <c r="C50" s="579"/>
      <c r="D50" s="586" t="s">
        <v>92</v>
      </c>
      <c r="E50" s="581"/>
      <c r="F50" s="581"/>
      <c r="G50" s="586">
        <v>5939</v>
      </c>
      <c r="H50" s="583"/>
      <c r="I50" s="592"/>
      <c r="J50" s="592"/>
      <c r="K50" s="592"/>
      <c r="L50" s="592">
        <v>297900</v>
      </c>
      <c r="M50" s="592"/>
      <c r="N50" s="592"/>
      <c r="O50" s="586"/>
      <c r="P50" s="586"/>
      <c r="R50" s="587" t="s">
        <v>399</v>
      </c>
    </row>
    <row r="51" spans="1:19" s="617" customFormat="1" ht="24.95" customHeight="1" x14ac:dyDescent="0.35">
      <c r="A51" s="609">
        <v>45680</v>
      </c>
      <c r="B51" s="632" t="s">
        <v>429</v>
      </c>
      <c r="C51" s="633"/>
      <c r="D51" s="614" t="s">
        <v>90</v>
      </c>
      <c r="E51" s="613"/>
      <c r="F51" s="613">
        <v>2343</v>
      </c>
      <c r="G51" s="614">
        <v>5979</v>
      </c>
      <c r="H51" s="615"/>
      <c r="I51" s="626"/>
      <c r="J51" s="626"/>
      <c r="K51" s="626">
        <v>45000</v>
      </c>
      <c r="L51" s="626"/>
      <c r="M51" s="626"/>
      <c r="N51" s="626"/>
      <c r="O51" s="614"/>
      <c r="P51" s="614"/>
    </row>
    <row r="52" spans="1:19" s="587" customFormat="1" ht="24.95" customHeight="1" x14ac:dyDescent="0.35">
      <c r="A52" s="589"/>
      <c r="B52" s="620" t="s">
        <v>270</v>
      </c>
      <c r="C52" s="631"/>
      <c r="D52" s="586" t="s">
        <v>90</v>
      </c>
      <c r="E52" s="581"/>
      <c r="F52" s="581"/>
      <c r="G52" s="586">
        <v>5950</v>
      </c>
      <c r="H52" s="583"/>
      <c r="I52" s="592"/>
      <c r="J52" s="634"/>
      <c r="K52" s="634" t="s">
        <v>419</v>
      </c>
      <c r="L52" s="592"/>
      <c r="M52" s="592"/>
      <c r="N52" s="592"/>
      <c r="O52" s="586"/>
      <c r="P52" s="586"/>
    </row>
    <row r="53" spans="1:19" s="883" customFormat="1" ht="24.95" customHeight="1" x14ac:dyDescent="0.35">
      <c r="A53" s="876">
        <v>45685</v>
      </c>
      <c r="B53" s="877" t="s">
        <v>473</v>
      </c>
      <c r="C53" s="878"/>
      <c r="D53" s="879" t="s">
        <v>90</v>
      </c>
      <c r="E53" s="880"/>
      <c r="F53" s="880"/>
      <c r="G53" s="879">
        <v>5982</v>
      </c>
      <c r="H53" s="881"/>
      <c r="I53" s="882"/>
      <c r="J53" s="882"/>
      <c r="K53" s="882">
        <v>133000</v>
      </c>
      <c r="L53" s="882"/>
      <c r="M53" s="882"/>
      <c r="N53" s="882"/>
      <c r="O53" s="879"/>
      <c r="P53" s="879"/>
    </row>
    <row r="54" spans="1:19" s="554" customFormat="1" ht="24.95" customHeight="1" x14ac:dyDescent="0.35">
      <c r="A54" s="884" t="s">
        <v>421</v>
      </c>
      <c r="B54" s="556" t="s">
        <v>301</v>
      </c>
      <c r="D54" s="874" t="s">
        <v>90</v>
      </c>
      <c r="E54" s="874"/>
      <c r="F54" s="874"/>
      <c r="G54" s="875">
        <v>5985</v>
      </c>
      <c r="J54" s="885" t="s">
        <v>419</v>
      </c>
      <c r="O54" s="874"/>
      <c r="P54" s="874"/>
      <c r="S54" s="554" t="s">
        <v>435</v>
      </c>
    </row>
    <row r="55" spans="1:19" s="554" customFormat="1" ht="24.95" customHeight="1" x14ac:dyDescent="0.35">
      <c r="A55" s="886">
        <v>45700</v>
      </c>
      <c r="B55" s="556" t="s">
        <v>439</v>
      </c>
      <c r="D55" s="874" t="s">
        <v>90</v>
      </c>
      <c r="E55" s="874" t="s">
        <v>519</v>
      </c>
      <c r="F55" s="874"/>
      <c r="G55" s="875">
        <v>5990</v>
      </c>
      <c r="J55" s="887" t="s">
        <v>440</v>
      </c>
      <c r="O55" s="874"/>
      <c r="P55" s="874"/>
    </row>
    <row r="56" spans="1:19" s="554" customFormat="1" ht="24.95" customHeight="1" x14ac:dyDescent="0.35">
      <c r="A56" s="886" t="s">
        <v>421</v>
      </c>
      <c r="B56" s="556" t="s">
        <v>301</v>
      </c>
      <c r="D56" s="874" t="s">
        <v>90</v>
      </c>
      <c r="E56" s="874"/>
      <c r="F56" s="874"/>
      <c r="G56" s="875">
        <v>5992</v>
      </c>
      <c r="J56" s="887" t="s">
        <v>419</v>
      </c>
      <c r="O56" s="874"/>
      <c r="P56" s="874"/>
    </row>
    <row r="57" spans="1:19" s="554" customFormat="1" ht="24.95" customHeight="1" x14ac:dyDescent="0.35">
      <c r="A57" s="886">
        <v>45708</v>
      </c>
      <c r="B57" s="556" t="s">
        <v>436</v>
      </c>
      <c r="D57" s="874"/>
      <c r="E57" s="874"/>
      <c r="F57" s="874"/>
      <c r="G57" s="875" t="s">
        <v>443</v>
      </c>
      <c r="J57" s="887" t="s">
        <v>419</v>
      </c>
      <c r="O57" s="874"/>
      <c r="P57" s="874"/>
    </row>
    <row r="58" spans="1:19" s="554" customFormat="1" ht="24.95" customHeight="1" x14ac:dyDescent="0.35">
      <c r="A58" s="886">
        <v>45708</v>
      </c>
      <c r="B58" s="556" t="s">
        <v>237</v>
      </c>
      <c r="D58" s="874" t="s">
        <v>90</v>
      </c>
      <c r="E58" s="874"/>
      <c r="F58" s="874"/>
      <c r="G58" s="875" t="s">
        <v>516</v>
      </c>
      <c r="J58" s="894">
        <v>786477.45</v>
      </c>
      <c r="K58" s="554" t="s">
        <v>478</v>
      </c>
      <c r="O58" s="874"/>
      <c r="P58" s="874"/>
    </row>
    <row r="59" spans="1:19" s="554" customFormat="1" ht="24.95" customHeight="1" x14ac:dyDescent="0.35">
      <c r="A59" s="886" t="s">
        <v>421</v>
      </c>
      <c r="B59" s="556" t="s">
        <v>321</v>
      </c>
      <c r="D59" s="874" t="s">
        <v>90</v>
      </c>
      <c r="E59" s="874"/>
      <c r="F59" s="874"/>
      <c r="G59" s="875" t="s">
        <v>452</v>
      </c>
      <c r="J59" s="888">
        <v>263066.96999999997</v>
      </c>
      <c r="K59" s="554" t="s">
        <v>22</v>
      </c>
      <c r="O59" s="874"/>
      <c r="P59" s="874"/>
    </row>
    <row r="60" spans="1:19" s="554" customFormat="1" ht="24.95" customHeight="1" x14ac:dyDescent="0.35">
      <c r="A60" s="886" t="s">
        <v>421</v>
      </c>
      <c r="B60" s="556" t="s">
        <v>417</v>
      </c>
      <c r="D60" s="874" t="s">
        <v>90</v>
      </c>
      <c r="E60" s="874"/>
      <c r="F60" s="874"/>
      <c r="G60" s="875" t="s">
        <v>456</v>
      </c>
      <c r="J60" s="887" t="s">
        <v>419</v>
      </c>
      <c r="O60" s="874"/>
      <c r="P60" s="874"/>
    </row>
    <row r="61" spans="1:19" s="554" customFormat="1" ht="24.95" customHeight="1" x14ac:dyDescent="0.35">
      <c r="A61" s="886" t="s">
        <v>421</v>
      </c>
      <c r="B61" s="556" t="s">
        <v>43</v>
      </c>
      <c r="D61" s="874" t="s">
        <v>90</v>
      </c>
      <c r="E61" s="874"/>
      <c r="F61" s="874"/>
      <c r="G61" s="875" t="s">
        <v>457</v>
      </c>
      <c r="J61" s="887" t="s">
        <v>419</v>
      </c>
      <c r="O61" s="874"/>
      <c r="P61" s="874"/>
    </row>
    <row r="62" spans="1:19" s="554" customFormat="1" ht="24.95" customHeight="1" x14ac:dyDescent="0.35">
      <c r="A62" s="886">
        <v>45720</v>
      </c>
      <c r="B62" s="556" t="s">
        <v>472</v>
      </c>
      <c r="D62" s="874" t="s">
        <v>92</v>
      </c>
      <c r="E62" s="874"/>
      <c r="F62" s="874"/>
      <c r="G62" s="875" t="s">
        <v>471</v>
      </c>
      <c r="J62" s="887">
        <v>26000</v>
      </c>
      <c r="O62" s="874"/>
      <c r="P62" s="874"/>
    </row>
    <row r="63" spans="1:19" s="554" customFormat="1" ht="24.95" customHeight="1" x14ac:dyDescent="0.35">
      <c r="A63" s="886">
        <v>45723</v>
      </c>
      <c r="B63" s="556" t="s">
        <v>474</v>
      </c>
      <c r="D63" s="874" t="s">
        <v>92</v>
      </c>
      <c r="E63" s="874"/>
      <c r="F63" s="874"/>
      <c r="G63" s="875">
        <v>5993</v>
      </c>
      <c r="J63" s="887" t="s">
        <v>419</v>
      </c>
      <c r="O63" s="874"/>
      <c r="P63" s="874"/>
    </row>
    <row r="64" spans="1:19" s="554" customFormat="1" ht="24.95" customHeight="1" x14ac:dyDescent="0.35">
      <c r="A64" s="886">
        <v>45727</v>
      </c>
      <c r="B64" s="556" t="s">
        <v>301</v>
      </c>
      <c r="D64" s="874" t="s">
        <v>90</v>
      </c>
      <c r="E64" s="874"/>
      <c r="F64" s="874"/>
      <c r="G64" s="875">
        <v>5948</v>
      </c>
      <c r="J64" s="887">
        <v>2198000</v>
      </c>
      <c r="O64" s="874"/>
      <c r="P64" s="874"/>
    </row>
    <row r="65" spans="1:16" s="554" customFormat="1" ht="24.95" customHeight="1" x14ac:dyDescent="0.35">
      <c r="A65" s="886">
        <v>45727</v>
      </c>
      <c r="B65" s="556" t="s">
        <v>477</v>
      </c>
      <c r="D65" s="874" t="s">
        <v>90</v>
      </c>
      <c r="E65" s="874"/>
      <c r="F65" s="874"/>
      <c r="G65" s="875" t="s">
        <v>475</v>
      </c>
      <c r="J65" s="887">
        <v>246350</v>
      </c>
      <c r="O65" s="874"/>
      <c r="P65" s="874"/>
    </row>
    <row r="66" spans="1:16" s="554" customFormat="1" ht="24.95" customHeight="1" x14ac:dyDescent="0.35">
      <c r="A66" s="886">
        <v>45731</v>
      </c>
      <c r="B66" s="556" t="s">
        <v>480</v>
      </c>
      <c r="D66" s="874" t="s">
        <v>90</v>
      </c>
      <c r="E66" s="874"/>
      <c r="F66" s="874"/>
      <c r="G66" s="875" t="s">
        <v>481</v>
      </c>
      <c r="J66" s="887" t="s">
        <v>419</v>
      </c>
      <c r="O66" s="874"/>
      <c r="P66" s="874"/>
    </row>
    <row r="67" spans="1:16" s="554" customFormat="1" ht="24.95" customHeight="1" x14ac:dyDescent="0.35">
      <c r="A67" s="886">
        <v>45740</v>
      </c>
      <c r="B67" s="556" t="s">
        <v>483</v>
      </c>
      <c r="D67" s="874" t="s">
        <v>90</v>
      </c>
      <c r="E67" s="874"/>
      <c r="F67" s="874"/>
      <c r="G67" s="875" t="s">
        <v>484</v>
      </c>
      <c r="J67" s="887">
        <v>19590</v>
      </c>
      <c r="O67" s="874"/>
      <c r="P67" s="874"/>
    </row>
    <row r="68" spans="1:16" s="554" customFormat="1" ht="24.95" customHeight="1" x14ac:dyDescent="0.35">
      <c r="A68" s="886" t="s">
        <v>421</v>
      </c>
      <c r="B68" s="556" t="s">
        <v>409</v>
      </c>
      <c r="D68" s="874" t="s">
        <v>90</v>
      </c>
      <c r="E68" s="874"/>
      <c r="F68" s="874"/>
      <c r="G68" s="875">
        <v>5987</v>
      </c>
      <c r="J68" s="887" t="s">
        <v>419</v>
      </c>
      <c r="O68" s="874"/>
      <c r="P68" s="874"/>
    </row>
    <row r="69" spans="1:16" s="554" customFormat="1" ht="24.95" customHeight="1" x14ac:dyDescent="0.35">
      <c r="A69" s="886">
        <v>45748</v>
      </c>
      <c r="B69" s="556" t="s">
        <v>489</v>
      </c>
      <c r="D69" s="874" t="s">
        <v>90</v>
      </c>
      <c r="E69" s="874"/>
      <c r="F69" s="874"/>
      <c r="G69" s="875" t="s">
        <v>490</v>
      </c>
      <c r="J69" s="887" t="s">
        <v>419</v>
      </c>
      <c r="O69" s="874"/>
      <c r="P69" s="874"/>
    </row>
    <row r="70" spans="1:16" s="554" customFormat="1" ht="24.95" customHeight="1" x14ac:dyDescent="0.35">
      <c r="A70" s="886">
        <v>45749</v>
      </c>
      <c r="B70" s="556" t="s">
        <v>431</v>
      </c>
      <c r="D70" s="874" t="s">
        <v>90</v>
      </c>
      <c r="E70" s="874"/>
      <c r="F70" s="874"/>
      <c r="G70" s="875" t="s">
        <v>493</v>
      </c>
      <c r="J70" s="887">
        <v>41000</v>
      </c>
      <c r="O70" s="874"/>
      <c r="P70" s="874"/>
    </row>
    <row r="71" spans="1:16" s="554" customFormat="1" ht="24.95" customHeight="1" x14ac:dyDescent="0.35">
      <c r="A71" s="886">
        <v>45749</v>
      </c>
      <c r="B71" s="556" t="s">
        <v>431</v>
      </c>
      <c r="D71" s="874" t="s">
        <v>90</v>
      </c>
      <c r="E71" s="874"/>
      <c r="F71" s="874"/>
      <c r="G71" s="875" t="s">
        <v>494</v>
      </c>
      <c r="J71" s="887">
        <v>7500</v>
      </c>
      <c r="O71" s="874"/>
      <c r="P71" s="874"/>
    </row>
    <row r="72" spans="1:16" s="554" customFormat="1" ht="24.95" customHeight="1" x14ac:dyDescent="0.35">
      <c r="A72" s="886">
        <v>45750</v>
      </c>
      <c r="B72" s="556" t="s">
        <v>446</v>
      </c>
      <c r="D72" s="874" t="s">
        <v>90</v>
      </c>
      <c r="E72" s="874"/>
      <c r="F72" s="874"/>
      <c r="G72" s="875" t="s">
        <v>495</v>
      </c>
      <c r="J72" s="887">
        <v>339500</v>
      </c>
      <c r="O72" s="874"/>
      <c r="P72" s="874"/>
    </row>
    <row r="73" spans="1:16" s="554" customFormat="1" ht="24.95" customHeight="1" x14ac:dyDescent="0.35">
      <c r="A73" s="886">
        <v>45750</v>
      </c>
      <c r="B73" s="556" t="s">
        <v>446</v>
      </c>
      <c r="D73" s="874" t="s">
        <v>90</v>
      </c>
      <c r="E73" s="874"/>
      <c r="F73" s="874"/>
      <c r="G73" s="875" t="s">
        <v>496</v>
      </c>
      <c r="J73" s="887">
        <v>339500</v>
      </c>
      <c r="O73" s="874"/>
      <c r="P73" s="874"/>
    </row>
    <row r="74" spans="1:16" s="554" customFormat="1" ht="24.95" customHeight="1" x14ac:dyDescent="0.35">
      <c r="A74" s="886" t="s">
        <v>421</v>
      </c>
      <c r="B74" s="556" t="s">
        <v>301</v>
      </c>
      <c r="D74" s="874" t="s">
        <v>90</v>
      </c>
      <c r="E74" s="874"/>
      <c r="F74" s="874"/>
      <c r="G74" s="875" t="s">
        <v>498</v>
      </c>
      <c r="J74" s="887" t="s">
        <v>419</v>
      </c>
      <c r="O74" s="874"/>
      <c r="P74" s="874"/>
    </row>
    <row r="75" spans="1:16" s="554" customFormat="1" ht="24.95" customHeight="1" x14ac:dyDescent="0.35">
      <c r="A75" s="886">
        <v>45751</v>
      </c>
      <c r="B75" s="556" t="s">
        <v>237</v>
      </c>
      <c r="D75" s="874" t="s">
        <v>90</v>
      </c>
      <c r="E75" s="874"/>
      <c r="F75" s="874"/>
      <c r="G75" s="875" t="s">
        <v>499</v>
      </c>
      <c r="J75" s="887" t="s">
        <v>419</v>
      </c>
      <c r="O75" s="874"/>
      <c r="P75" s="874"/>
    </row>
    <row r="76" spans="1:16" s="554" customFormat="1" ht="24.95" customHeight="1" x14ac:dyDescent="0.35">
      <c r="A76" s="886" t="s">
        <v>421</v>
      </c>
      <c r="B76" s="556" t="s">
        <v>500</v>
      </c>
      <c r="D76" s="874" t="s">
        <v>92</v>
      </c>
      <c r="E76" s="874"/>
      <c r="F76" s="874"/>
      <c r="G76" s="875" t="s">
        <v>501</v>
      </c>
      <c r="J76" s="887" t="s">
        <v>419</v>
      </c>
      <c r="O76" s="874"/>
      <c r="P76" s="874"/>
    </row>
    <row r="77" spans="1:16" s="554" customFormat="1" ht="24.95" customHeight="1" x14ac:dyDescent="0.35">
      <c r="A77" s="886" t="s">
        <v>421</v>
      </c>
      <c r="B77" s="556" t="s">
        <v>301</v>
      </c>
      <c r="D77" s="874" t="s">
        <v>90</v>
      </c>
      <c r="E77" s="874"/>
      <c r="F77" s="874"/>
      <c r="G77" s="875" t="s">
        <v>503</v>
      </c>
      <c r="J77" s="887" t="s">
        <v>419</v>
      </c>
      <c r="O77" s="874"/>
      <c r="P77" s="874"/>
    </row>
    <row r="78" spans="1:16" s="554" customFormat="1" ht="24.95" customHeight="1" x14ac:dyDescent="0.35">
      <c r="A78" s="886" t="s">
        <v>421</v>
      </c>
      <c r="B78" s="556" t="s">
        <v>505</v>
      </c>
      <c r="D78" s="874" t="s">
        <v>92</v>
      </c>
      <c r="E78" s="874"/>
      <c r="F78" s="874"/>
      <c r="G78" s="875" t="s">
        <v>506</v>
      </c>
      <c r="J78" s="887">
        <v>130450</v>
      </c>
      <c r="O78" s="874"/>
      <c r="P78" s="874"/>
    </row>
    <row r="79" spans="1:16" s="554" customFormat="1" ht="24.95" customHeight="1" x14ac:dyDescent="0.35">
      <c r="A79" s="886" t="s">
        <v>421</v>
      </c>
      <c r="B79" s="556" t="s">
        <v>237</v>
      </c>
      <c r="D79" s="874" t="s">
        <v>90</v>
      </c>
      <c r="E79" s="874"/>
      <c r="F79" s="874"/>
      <c r="G79" s="875" t="s">
        <v>514</v>
      </c>
      <c r="J79" s="887" t="s">
        <v>419</v>
      </c>
      <c r="O79" s="874"/>
      <c r="P79" s="874"/>
    </row>
    <row r="80" spans="1:16" s="554" customFormat="1" ht="24.95" customHeight="1" x14ac:dyDescent="0.35">
      <c r="A80" s="886">
        <v>45776</v>
      </c>
      <c r="B80" s="556" t="s">
        <v>321</v>
      </c>
      <c r="D80" s="874" t="s">
        <v>90</v>
      </c>
      <c r="E80" s="874"/>
      <c r="F80" s="874"/>
      <c r="G80" s="875" t="s">
        <v>515</v>
      </c>
      <c r="J80" s="887">
        <v>517500</v>
      </c>
      <c r="O80" s="874"/>
      <c r="P80" s="874"/>
    </row>
    <row r="81" spans="1:16" s="554" customFormat="1" ht="24.95" customHeight="1" x14ac:dyDescent="0.35">
      <c r="A81" s="886">
        <v>45790</v>
      </c>
      <c r="B81" s="556" t="s">
        <v>483</v>
      </c>
      <c r="D81" s="874" t="s">
        <v>90</v>
      </c>
      <c r="E81" s="874"/>
      <c r="F81" s="874"/>
      <c r="G81" s="875" t="s">
        <v>520</v>
      </c>
      <c r="J81" s="888">
        <v>487467.5</v>
      </c>
      <c r="O81" s="874"/>
      <c r="P81" s="874"/>
    </row>
    <row r="82" spans="1:16" s="554" customFormat="1" ht="24.95" customHeight="1" x14ac:dyDescent="0.35">
      <c r="A82" s="886" t="s">
        <v>421</v>
      </c>
      <c r="B82" s="556" t="s">
        <v>524</v>
      </c>
      <c r="D82" s="874" t="s">
        <v>92</v>
      </c>
      <c r="E82" s="874"/>
      <c r="F82" s="874"/>
      <c r="G82" s="875" t="s">
        <v>525</v>
      </c>
      <c r="J82" s="888">
        <v>77261.850000000006</v>
      </c>
      <c r="O82" s="874"/>
      <c r="P82" s="874"/>
    </row>
    <row r="83" spans="1:16" s="554" customFormat="1" ht="24.95" customHeight="1" x14ac:dyDescent="0.35">
      <c r="A83" s="886" t="s">
        <v>421</v>
      </c>
      <c r="B83" s="556" t="s">
        <v>528</v>
      </c>
      <c r="D83" s="874" t="s">
        <v>90</v>
      </c>
      <c r="E83" s="874"/>
      <c r="F83" s="874"/>
      <c r="G83" s="875" t="s">
        <v>529</v>
      </c>
      <c r="J83" s="888" t="s">
        <v>419</v>
      </c>
      <c r="O83" s="874"/>
      <c r="P83" s="874"/>
    </row>
    <row r="84" spans="1:16" s="554" customFormat="1" ht="24.95" customHeight="1" x14ac:dyDescent="0.35">
      <c r="A84" s="886">
        <v>45801</v>
      </c>
      <c r="B84" s="556" t="s">
        <v>115</v>
      </c>
      <c r="D84" s="874" t="s">
        <v>90</v>
      </c>
      <c r="E84" s="874"/>
      <c r="F84" s="874"/>
      <c r="G84" s="875" t="s">
        <v>530</v>
      </c>
      <c r="J84" s="888" t="s">
        <v>419</v>
      </c>
      <c r="O84" s="874"/>
      <c r="P84" s="874"/>
    </row>
    <row r="85" spans="1:16" s="554" customFormat="1" ht="24.95" customHeight="1" x14ac:dyDescent="0.35">
      <c r="A85" s="886" t="s">
        <v>421</v>
      </c>
      <c r="B85" s="556" t="s">
        <v>115</v>
      </c>
      <c r="D85" s="874" t="s">
        <v>90</v>
      </c>
      <c r="E85" s="874"/>
      <c r="F85" s="874"/>
      <c r="G85" s="875" t="s">
        <v>531</v>
      </c>
      <c r="J85" s="888" t="s">
        <v>419</v>
      </c>
      <c r="O85" s="874"/>
      <c r="P85" s="874"/>
    </row>
    <row r="86" spans="1:16" s="554" customFormat="1" ht="24.95" customHeight="1" x14ac:dyDescent="0.35">
      <c r="A86" s="886">
        <v>45804</v>
      </c>
      <c r="B86" s="556" t="s">
        <v>533</v>
      </c>
      <c r="D86" s="874" t="s">
        <v>92</v>
      </c>
      <c r="E86" s="874"/>
      <c r="F86" s="874"/>
      <c r="G86" s="875" t="s">
        <v>534</v>
      </c>
      <c r="J86" s="888" t="s">
        <v>419</v>
      </c>
      <c r="O86" s="874"/>
      <c r="P86" s="874"/>
    </row>
    <row r="87" spans="1:16" s="554" customFormat="1" ht="24.95" customHeight="1" x14ac:dyDescent="0.35">
      <c r="A87" s="886" t="s">
        <v>421</v>
      </c>
      <c r="B87" s="556" t="s">
        <v>545</v>
      </c>
      <c r="D87" s="874" t="s">
        <v>90</v>
      </c>
      <c r="E87" s="874"/>
      <c r="F87" s="874"/>
      <c r="G87" s="875" t="s">
        <v>544</v>
      </c>
      <c r="J87" s="888">
        <v>948000</v>
      </c>
      <c r="O87" s="874"/>
      <c r="P87" s="874"/>
    </row>
    <row r="88" spans="1:16" s="554" customFormat="1" ht="24.95" customHeight="1" x14ac:dyDescent="0.35">
      <c r="A88" s="886">
        <v>45817</v>
      </c>
      <c r="B88" s="556" t="s">
        <v>432</v>
      </c>
      <c r="D88" s="874" t="s">
        <v>90</v>
      </c>
      <c r="E88" s="874"/>
      <c r="F88" s="874"/>
      <c r="G88" s="875" t="s">
        <v>556</v>
      </c>
      <c r="J88" s="888" t="s">
        <v>419</v>
      </c>
      <c r="O88" s="874"/>
      <c r="P88" s="874"/>
    </row>
    <row r="89" spans="1:16" s="554" customFormat="1" ht="24.95" customHeight="1" x14ac:dyDescent="0.35">
      <c r="A89" s="886">
        <v>45818</v>
      </c>
      <c r="B89" s="556" t="s">
        <v>546</v>
      </c>
      <c r="D89" s="874" t="s">
        <v>90</v>
      </c>
      <c r="E89" s="874"/>
      <c r="F89" s="874"/>
      <c r="G89" s="875" t="s">
        <v>547</v>
      </c>
      <c r="J89" s="888">
        <v>173500</v>
      </c>
      <c r="O89" s="874"/>
      <c r="P89" s="874"/>
    </row>
    <row r="90" spans="1:16" s="554" customFormat="1" ht="24.95" customHeight="1" x14ac:dyDescent="0.35">
      <c r="A90" s="886">
        <v>45828</v>
      </c>
      <c r="B90" s="556" t="s">
        <v>428</v>
      </c>
      <c r="D90" s="874" t="s">
        <v>92</v>
      </c>
      <c r="E90" s="874"/>
      <c r="F90" s="874"/>
      <c r="G90" s="875" t="s">
        <v>559</v>
      </c>
      <c r="I90" s="890"/>
      <c r="J90" s="888" t="s">
        <v>419</v>
      </c>
      <c r="O90" s="874"/>
      <c r="P90" s="874"/>
    </row>
    <row r="91" spans="1:16" s="554" customFormat="1" ht="24.95" customHeight="1" x14ac:dyDescent="0.35">
      <c r="A91" s="886">
        <v>45831</v>
      </c>
      <c r="B91" s="556" t="s">
        <v>409</v>
      </c>
      <c r="D91" s="874" t="s">
        <v>90</v>
      </c>
      <c r="E91" s="874"/>
      <c r="F91" s="874"/>
      <c r="G91" s="875" t="s">
        <v>548</v>
      </c>
      <c r="I91" s="890">
        <v>434750</v>
      </c>
      <c r="J91" s="888"/>
      <c r="O91" s="874"/>
      <c r="P91" s="874"/>
    </row>
    <row r="92" spans="1:16" s="554" customFormat="1" ht="24.95" customHeight="1" x14ac:dyDescent="0.35">
      <c r="A92" s="886" t="s">
        <v>421</v>
      </c>
      <c r="B92" s="556" t="s">
        <v>549</v>
      </c>
      <c r="D92" s="874" t="s">
        <v>282</v>
      </c>
      <c r="E92" s="874"/>
      <c r="F92" s="874"/>
      <c r="G92" s="875" t="s">
        <v>552</v>
      </c>
      <c r="I92" s="890">
        <v>80696</v>
      </c>
      <c r="J92" s="888"/>
      <c r="O92" s="874"/>
      <c r="P92" s="874"/>
    </row>
    <row r="93" spans="1:16" s="554" customFormat="1" ht="24.95" customHeight="1" x14ac:dyDescent="0.35">
      <c r="A93" s="886" t="s">
        <v>421</v>
      </c>
      <c r="B93" s="556" t="s">
        <v>301</v>
      </c>
      <c r="D93" s="874" t="s">
        <v>90</v>
      </c>
      <c r="E93" s="874"/>
      <c r="F93" s="874"/>
      <c r="G93" s="875" t="s">
        <v>550</v>
      </c>
      <c r="I93" s="890" t="s">
        <v>419</v>
      </c>
      <c r="J93" s="888"/>
      <c r="O93" s="874"/>
      <c r="P93" s="874"/>
    </row>
    <row r="94" spans="1:16" s="554" customFormat="1" ht="24.95" customHeight="1" x14ac:dyDescent="0.35">
      <c r="A94" s="886" t="s">
        <v>421</v>
      </c>
      <c r="B94" s="556" t="s">
        <v>549</v>
      </c>
      <c r="D94" s="874" t="s">
        <v>282</v>
      </c>
      <c r="E94" s="874"/>
      <c r="F94" s="874"/>
      <c r="G94" s="875" t="s">
        <v>551</v>
      </c>
      <c r="I94" s="890">
        <v>258000</v>
      </c>
      <c r="J94" s="888"/>
      <c r="O94" s="874"/>
      <c r="P94" s="874"/>
    </row>
    <row r="95" spans="1:16" s="554" customFormat="1" ht="24.95" customHeight="1" x14ac:dyDescent="0.35">
      <c r="A95" s="886" t="s">
        <v>421</v>
      </c>
      <c r="B95" s="556" t="s">
        <v>554</v>
      </c>
      <c r="D95" s="874" t="s">
        <v>221</v>
      </c>
      <c r="E95" s="874"/>
      <c r="F95" s="874"/>
      <c r="G95" s="875" t="s">
        <v>555</v>
      </c>
      <c r="I95" s="890">
        <v>86400</v>
      </c>
      <c r="J95" s="888"/>
      <c r="O95" s="874"/>
      <c r="P95" s="874"/>
    </row>
    <row r="96" spans="1:16" s="554" customFormat="1" ht="24.95" customHeight="1" x14ac:dyDescent="0.35">
      <c r="A96" s="886" t="s">
        <v>557</v>
      </c>
      <c r="B96" s="556" t="s">
        <v>446</v>
      </c>
      <c r="D96" s="874" t="s">
        <v>90</v>
      </c>
      <c r="E96" s="874"/>
      <c r="F96" s="874"/>
      <c r="G96" s="875" t="s">
        <v>558</v>
      </c>
      <c r="I96" s="890"/>
      <c r="J96" s="888">
        <v>363300</v>
      </c>
      <c r="O96" s="874"/>
      <c r="P96" s="874"/>
    </row>
    <row r="97" spans="1:24" s="554" customFormat="1" ht="24.95" customHeight="1" x14ac:dyDescent="0.35">
      <c r="A97" s="886" t="s">
        <v>421</v>
      </c>
      <c r="B97" s="556" t="s">
        <v>446</v>
      </c>
      <c r="D97" s="874" t="s">
        <v>90</v>
      </c>
      <c r="E97" s="874"/>
      <c r="F97" s="874"/>
      <c r="G97" s="875" t="s">
        <v>540</v>
      </c>
      <c r="I97" s="890"/>
      <c r="J97" s="888" t="s">
        <v>419</v>
      </c>
      <c r="O97" s="874"/>
      <c r="P97" s="874"/>
    </row>
    <row r="98" spans="1:24" s="554" customFormat="1" ht="24.95" customHeight="1" x14ac:dyDescent="0.35">
      <c r="A98" s="886">
        <v>45854</v>
      </c>
      <c r="B98" s="556" t="s">
        <v>560</v>
      </c>
      <c r="D98" s="874" t="s">
        <v>90</v>
      </c>
      <c r="E98" s="874"/>
      <c r="F98" s="874"/>
      <c r="G98" s="875" t="s">
        <v>561</v>
      </c>
      <c r="I98" s="890">
        <v>469985</v>
      </c>
      <c r="J98" s="888"/>
      <c r="O98" s="874"/>
      <c r="P98" s="874"/>
    </row>
    <row r="99" spans="1:24" s="554" customFormat="1" ht="24.95" customHeight="1" x14ac:dyDescent="0.35">
      <c r="A99" s="886">
        <v>45854</v>
      </c>
      <c r="B99" s="556" t="s">
        <v>560</v>
      </c>
      <c r="D99" s="874" t="s">
        <v>90</v>
      </c>
      <c r="E99" s="874"/>
      <c r="F99" s="874"/>
      <c r="G99" s="875" t="s">
        <v>562</v>
      </c>
      <c r="I99" s="890" t="s">
        <v>419</v>
      </c>
      <c r="J99" s="888"/>
      <c r="O99" s="874"/>
      <c r="P99" s="874"/>
    </row>
    <row r="100" spans="1:24" s="554" customFormat="1" ht="24.95" customHeight="1" x14ac:dyDescent="0.35">
      <c r="A100" s="886" t="s">
        <v>557</v>
      </c>
      <c r="B100" s="556" t="s">
        <v>563</v>
      </c>
      <c r="D100" s="874"/>
      <c r="E100" s="874"/>
      <c r="F100" s="874"/>
      <c r="G100" s="875" t="s">
        <v>564</v>
      </c>
      <c r="I100" s="890">
        <v>115000</v>
      </c>
      <c r="J100" s="888"/>
      <c r="O100" s="874"/>
      <c r="P100" s="874"/>
    </row>
    <row r="101" spans="1:24" s="554" customFormat="1" ht="24.95" customHeight="1" x14ac:dyDescent="0.35">
      <c r="A101" s="886" t="s">
        <v>421</v>
      </c>
      <c r="B101" s="556" t="s">
        <v>563</v>
      </c>
      <c r="D101" s="874"/>
      <c r="E101" s="874"/>
      <c r="F101" s="874"/>
      <c r="G101" s="875" t="s">
        <v>565</v>
      </c>
      <c r="I101" s="890">
        <v>25895</v>
      </c>
      <c r="J101" s="888"/>
      <c r="O101" s="874"/>
      <c r="P101" s="874"/>
    </row>
    <row r="102" spans="1:24" s="554" customFormat="1" ht="24.95" customHeight="1" x14ac:dyDescent="0.35">
      <c r="A102" s="886" t="s">
        <v>421</v>
      </c>
      <c r="B102" s="556" t="s">
        <v>446</v>
      </c>
      <c r="D102" s="874" t="s">
        <v>90</v>
      </c>
      <c r="E102" s="874"/>
      <c r="F102" s="874"/>
      <c r="G102" s="875" t="s">
        <v>566</v>
      </c>
      <c r="I102" s="890" t="s">
        <v>419</v>
      </c>
      <c r="J102" s="888"/>
      <c r="O102" s="874"/>
      <c r="P102" s="874"/>
    </row>
    <row r="103" spans="1:24" s="554" customFormat="1" ht="24.95" customHeight="1" x14ac:dyDescent="0.35">
      <c r="A103" s="886">
        <v>45857</v>
      </c>
      <c r="B103" s="556" t="s">
        <v>432</v>
      </c>
      <c r="D103" s="874" t="s">
        <v>90</v>
      </c>
      <c r="E103" s="874"/>
      <c r="F103" s="874"/>
      <c r="G103" s="875" t="s">
        <v>567</v>
      </c>
      <c r="I103" s="890">
        <v>438000</v>
      </c>
      <c r="J103" s="888"/>
      <c r="O103" s="874"/>
      <c r="P103" s="874"/>
    </row>
    <row r="104" spans="1:24" s="554" customFormat="1" ht="24.95" customHeight="1" x14ac:dyDescent="0.35">
      <c r="A104" s="886">
        <v>45859</v>
      </c>
      <c r="B104" s="556" t="s">
        <v>573</v>
      </c>
      <c r="D104" s="874" t="s">
        <v>282</v>
      </c>
      <c r="E104" s="874"/>
      <c r="F104" s="874"/>
      <c r="G104" s="875" t="s">
        <v>572</v>
      </c>
      <c r="I104" s="890">
        <v>9850</v>
      </c>
      <c r="J104" s="888"/>
      <c r="O104" s="874"/>
      <c r="P104" s="874"/>
    </row>
    <row r="105" spans="1:24" s="554" customFormat="1" ht="24.95" customHeight="1" x14ac:dyDescent="0.35">
      <c r="A105" s="886">
        <v>45859</v>
      </c>
      <c r="B105" s="556" t="s">
        <v>281</v>
      </c>
      <c r="D105" s="874" t="s">
        <v>282</v>
      </c>
      <c r="E105" s="874"/>
      <c r="F105" s="874"/>
      <c r="G105" s="875" t="s">
        <v>574</v>
      </c>
      <c r="I105" s="890">
        <v>49135</v>
      </c>
      <c r="J105" s="888"/>
      <c r="O105" s="874"/>
      <c r="P105" s="874"/>
    </row>
    <row r="106" spans="1:24" s="554" customFormat="1" ht="24.95" customHeight="1" x14ac:dyDescent="0.35">
      <c r="A106" s="886">
        <v>45859</v>
      </c>
      <c r="B106" s="556" t="s">
        <v>281</v>
      </c>
      <c r="D106" s="874" t="s">
        <v>282</v>
      </c>
      <c r="E106" s="874"/>
      <c r="F106" s="874"/>
      <c r="G106" s="875" t="s">
        <v>575</v>
      </c>
      <c r="I106" s="890">
        <v>350000</v>
      </c>
      <c r="J106" s="888"/>
      <c r="O106" s="874"/>
      <c r="P106" s="874"/>
    </row>
    <row r="107" spans="1:24" s="554" customFormat="1" ht="24.95" customHeight="1" x14ac:dyDescent="0.35">
      <c r="A107" s="886">
        <v>45861</v>
      </c>
      <c r="B107" s="556" t="s">
        <v>569</v>
      </c>
      <c r="D107" s="874" t="s">
        <v>90</v>
      </c>
      <c r="E107" s="874"/>
      <c r="F107" s="874"/>
      <c r="G107" s="875" t="s">
        <v>570</v>
      </c>
      <c r="I107" s="890">
        <v>399000</v>
      </c>
      <c r="J107" s="888"/>
      <c r="O107" s="874"/>
      <c r="P107" s="874"/>
    </row>
    <row r="108" spans="1:24" s="554" customFormat="1" ht="24.95" customHeight="1" x14ac:dyDescent="0.35">
      <c r="A108" s="886" t="s">
        <v>421</v>
      </c>
      <c r="B108" s="556" t="s">
        <v>491</v>
      </c>
      <c r="D108" s="874" t="s">
        <v>90</v>
      </c>
      <c r="E108" s="874"/>
      <c r="F108" s="874"/>
      <c r="G108" s="875" t="s">
        <v>571</v>
      </c>
      <c r="I108" s="890">
        <v>45000</v>
      </c>
      <c r="J108" s="888"/>
      <c r="O108" s="874"/>
      <c r="P108" s="874"/>
    </row>
    <row r="109" spans="1:24" s="554" customFormat="1" ht="24.95" customHeight="1" x14ac:dyDescent="0.35">
      <c r="A109" s="886">
        <v>45863</v>
      </c>
      <c r="B109" s="556" t="s">
        <v>576</v>
      </c>
      <c r="D109" s="874" t="s">
        <v>90</v>
      </c>
      <c r="E109" s="874"/>
      <c r="F109" s="874"/>
      <c r="G109" s="875" t="s">
        <v>577</v>
      </c>
      <c r="I109" s="890">
        <v>6705</v>
      </c>
      <c r="J109" s="888"/>
      <c r="O109" s="874"/>
      <c r="P109" s="874"/>
    </row>
    <row r="110" spans="1:24" s="554" customFormat="1" ht="24.95" customHeight="1" x14ac:dyDescent="0.35">
      <c r="A110" s="886">
        <v>45867</v>
      </c>
      <c r="B110" s="556" t="s">
        <v>578</v>
      </c>
      <c r="D110" s="874" t="s">
        <v>90</v>
      </c>
      <c r="E110" s="874"/>
      <c r="F110" s="874"/>
      <c r="G110" s="875" t="s">
        <v>579</v>
      </c>
      <c r="I110" s="890">
        <v>395500</v>
      </c>
      <c r="J110" s="888"/>
      <c r="O110" s="874"/>
      <c r="P110" s="874"/>
    </row>
    <row r="111" spans="1:24" s="554" customFormat="1" ht="24.95" customHeight="1" x14ac:dyDescent="0.35">
      <c r="A111" s="886">
        <v>45867</v>
      </c>
      <c r="B111" s="556" t="s">
        <v>578</v>
      </c>
      <c r="D111" s="874" t="s">
        <v>90</v>
      </c>
      <c r="E111" s="874"/>
      <c r="F111" s="874"/>
      <c r="G111" s="875" t="s">
        <v>580</v>
      </c>
      <c r="I111" s="890">
        <v>22000</v>
      </c>
      <c r="J111" s="888"/>
      <c r="O111" s="874"/>
      <c r="P111" s="874"/>
    </row>
    <row r="112" spans="1:24" s="749" customFormat="1" ht="24.95" customHeight="1" x14ac:dyDescent="0.35">
      <c r="A112" s="979">
        <v>45874</v>
      </c>
      <c r="B112" s="963" t="s">
        <v>526</v>
      </c>
      <c r="C112" s="963"/>
      <c r="D112" s="980" t="s">
        <v>92</v>
      </c>
      <c r="E112" s="980"/>
      <c r="F112" s="980"/>
      <c r="G112" s="875" t="s">
        <v>585</v>
      </c>
      <c r="H112" s="963"/>
      <c r="I112" s="981"/>
      <c r="J112" s="981">
        <v>105000</v>
      </c>
      <c r="K112" s="981"/>
      <c r="L112" s="981"/>
      <c r="M112" s="981"/>
      <c r="N112" s="981"/>
      <c r="O112" s="982"/>
      <c r="P112" s="980"/>
      <c r="Q112" s="963"/>
      <c r="R112" s="554"/>
      <c r="S112" s="554"/>
      <c r="T112" s="554"/>
      <c r="U112" s="554"/>
      <c r="V112" s="554"/>
      <c r="W112" s="554"/>
      <c r="X112" s="554"/>
    </row>
    <row r="113" spans="1:24" s="749" customFormat="1" ht="24.95" customHeight="1" x14ac:dyDescent="0.35">
      <c r="A113" s="979">
        <v>45875</v>
      </c>
      <c r="B113" s="963" t="s">
        <v>43</v>
      </c>
      <c r="C113" s="963"/>
      <c r="D113" s="980" t="s">
        <v>90</v>
      </c>
      <c r="E113" s="980"/>
      <c r="F113" s="980"/>
      <c r="G113" s="875" t="s">
        <v>586</v>
      </c>
      <c r="H113" s="963"/>
      <c r="I113" s="981"/>
      <c r="J113" s="981" t="s">
        <v>419</v>
      </c>
      <c r="K113" s="981"/>
      <c r="L113" s="981"/>
      <c r="M113" s="981"/>
      <c r="N113" s="981"/>
      <c r="O113" s="982"/>
      <c r="P113" s="980"/>
      <c r="Q113" s="963"/>
      <c r="R113" s="554"/>
      <c r="S113" s="554"/>
      <c r="T113" s="554"/>
      <c r="U113" s="554"/>
      <c r="V113" s="554"/>
      <c r="W113" s="554"/>
      <c r="X113" s="554"/>
    </row>
    <row r="114" spans="1:24" s="749" customFormat="1" ht="24.95" customHeight="1" x14ac:dyDescent="0.35">
      <c r="A114" s="979">
        <v>45876</v>
      </c>
      <c r="B114" s="963" t="s">
        <v>576</v>
      </c>
      <c r="C114" s="963"/>
      <c r="D114" s="980" t="s">
        <v>90</v>
      </c>
      <c r="E114" s="980"/>
      <c r="F114" s="980"/>
      <c r="G114" s="875" t="s">
        <v>589</v>
      </c>
      <c r="H114" s="963"/>
      <c r="I114" s="981"/>
      <c r="J114" s="981">
        <v>11400</v>
      </c>
      <c r="K114" s="981"/>
      <c r="L114" s="981"/>
      <c r="M114" s="981"/>
      <c r="N114" s="981"/>
      <c r="O114" s="982"/>
      <c r="P114" s="980"/>
      <c r="Q114" s="963"/>
      <c r="R114" s="554"/>
      <c r="S114" s="554"/>
      <c r="T114" s="554"/>
      <c r="U114" s="554"/>
      <c r="V114" s="554"/>
      <c r="W114" s="554"/>
      <c r="X114" s="554"/>
    </row>
    <row r="115" spans="1:24" s="749" customFormat="1" ht="24.95" customHeight="1" x14ac:dyDescent="0.35">
      <c r="A115" s="979">
        <v>45876</v>
      </c>
      <c r="B115" s="963" t="s">
        <v>591</v>
      </c>
      <c r="C115" s="963"/>
      <c r="D115" s="980" t="s">
        <v>92</v>
      </c>
      <c r="E115" s="980"/>
      <c r="F115" s="980"/>
      <c r="G115" s="875" t="s">
        <v>592</v>
      </c>
      <c r="H115" s="963"/>
      <c r="I115" s="981"/>
      <c r="J115" s="981">
        <v>2350</v>
      </c>
      <c r="K115" s="981"/>
      <c r="L115" s="981"/>
      <c r="M115" s="981"/>
      <c r="N115" s="981"/>
      <c r="O115" s="982"/>
      <c r="P115" s="980"/>
      <c r="Q115" s="963"/>
      <c r="R115" s="554"/>
      <c r="S115" s="554"/>
      <c r="T115" s="554"/>
      <c r="U115" s="554"/>
      <c r="V115" s="554"/>
      <c r="W115" s="554"/>
      <c r="X115" s="554"/>
    </row>
    <row r="116" spans="1:24" s="749" customFormat="1" ht="24.95" customHeight="1" x14ac:dyDescent="0.35">
      <c r="A116" s="979">
        <v>45881</v>
      </c>
      <c r="B116" s="963" t="s">
        <v>281</v>
      </c>
      <c r="C116" s="963"/>
      <c r="D116" s="980" t="s">
        <v>282</v>
      </c>
      <c r="E116" s="980"/>
      <c r="F116" s="980"/>
      <c r="G116" s="875" t="s">
        <v>593</v>
      </c>
      <c r="H116" s="963"/>
      <c r="I116" s="981"/>
      <c r="J116" s="981">
        <v>237780</v>
      </c>
      <c r="K116" s="981"/>
      <c r="L116" s="981"/>
      <c r="M116" s="981"/>
      <c r="N116" s="981"/>
      <c r="O116" s="982"/>
      <c r="P116" s="980"/>
      <c r="Q116" s="963"/>
      <c r="R116" s="554"/>
      <c r="S116" s="554"/>
      <c r="T116" s="554"/>
      <c r="U116" s="554"/>
      <c r="V116" s="554"/>
      <c r="W116" s="554"/>
      <c r="X116" s="554"/>
    </row>
    <row r="117" spans="1:24" s="749" customFormat="1" ht="24.95" customHeight="1" x14ac:dyDescent="0.35">
      <c r="A117" s="979">
        <v>45883</v>
      </c>
      <c r="B117" s="963" t="s">
        <v>594</v>
      </c>
      <c r="C117" s="963"/>
      <c r="D117" s="980" t="s">
        <v>90</v>
      </c>
      <c r="E117" s="980"/>
      <c r="F117" s="980"/>
      <c r="G117" s="875" t="s">
        <v>595</v>
      </c>
      <c r="H117" s="963"/>
      <c r="I117" s="981"/>
      <c r="J117" s="981">
        <v>152000</v>
      </c>
      <c r="K117" s="981"/>
      <c r="L117" s="981"/>
      <c r="M117" s="981"/>
      <c r="N117" s="981"/>
      <c r="O117" s="982"/>
      <c r="P117" s="980"/>
      <c r="Q117" s="963"/>
      <c r="R117" s="554"/>
      <c r="S117" s="554"/>
      <c r="T117" s="554"/>
      <c r="U117" s="554"/>
      <c r="V117" s="554"/>
      <c r="W117" s="554"/>
      <c r="X117" s="554"/>
    </row>
    <row r="118" spans="1:24" s="749" customFormat="1" ht="24.95" customHeight="1" x14ac:dyDescent="0.35">
      <c r="A118" s="979">
        <v>45883</v>
      </c>
      <c r="B118" s="963" t="s">
        <v>596</v>
      </c>
      <c r="C118" s="963"/>
      <c r="D118" s="980" t="s">
        <v>92</v>
      </c>
      <c r="E118" s="980"/>
      <c r="F118" s="980"/>
      <c r="G118" s="875" t="s">
        <v>597</v>
      </c>
      <c r="H118" s="963"/>
      <c r="I118" s="981"/>
      <c r="J118" s="981">
        <v>142240</v>
      </c>
      <c r="K118" s="981"/>
      <c r="L118" s="981"/>
      <c r="M118" s="981"/>
      <c r="N118" s="981"/>
      <c r="O118" s="982"/>
      <c r="P118" s="980"/>
      <c r="Q118" s="963"/>
      <c r="R118" s="554"/>
      <c r="S118" s="554"/>
      <c r="T118" s="554"/>
      <c r="U118" s="554"/>
      <c r="V118" s="554"/>
      <c r="W118" s="554"/>
      <c r="X118" s="554"/>
    </row>
    <row r="119" spans="1:24" s="749" customFormat="1" ht="24.95" customHeight="1" x14ac:dyDescent="0.35">
      <c r="A119" s="979" t="s">
        <v>421</v>
      </c>
      <c r="B119" s="963" t="s">
        <v>321</v>
      </c>
      <c r="C119" s="963"/>
      <c r="D119" s="980" t="s">
        <v>90</v>
      </c>
      <c r="E119" s="980"/>
      <c r="F119" s="980"/>
      <c r="G119" s="980" t="s">
        <v>604</v>
      </c>
      <c r="H119" s="963"/>
      <c r="I119" s="981"/>
      <c r="J119" s="981">
        <v>2977500</v>
      </c>
      <c r="K119" s="981"/>
      <c r="L119" s="981"/>
      <c r="M119" s="981"/>
      <c r="N119" s="981"/>
      <c r="O119" s="982"/>
      <c r="P119" s="980"/>
      <c r="Q119" s="963"/>
      <c r="R119" s="554"/>
      <c r="S119" s="554"/>
      <c r="T119" s="554"/>
      <c r="U119" s="554"/>
      <c r="V119" s="554"/>
      <c r="W119" s="554"/>
      <c r="X119" s="554"/>
    </row>
    <row r="120" spans="1:24" s="749" customFormat="1" ht="24.95" customHeight="1" x14ac:dyDescent="0.35">
      <c r="A120" s="979" t="s">
        <v>421</v>
      </c>
      <c r="B120" s="963" t="s">
        <v>409</v>
      </c>
      <c r="C120" s="963"/>
      <c r="D120" s="980" t="s">
        <v>90</v>
      </c>
      <c r="E120" s="980"/>
      <c r="F120" s="980"/>
      <c r="G120" s="875" t="s">
        <v>600</v>
      </c>
      <c r="H120" s="963"/>
      <c r="I120" s="981"/>
      <c r="J120" s="981">
        <v>250952.38</v>
      </c>
      <c r="K120" s="981"/>
      <c r="L120" s="981"/>
      <c r="M120" s="981"/>
      <c r="N120" s="981"/>
      <c r="O120" s="982"/>
      <c r="P120" s="980"/>
      <c r="Q120" s="963"/>
      <c r="R120" s="554"/>
      <c r="S120" s="554"/>
      <c r="T120" s="554"/>
      <c r="U120" s="554"/>
      <c r="V120" s="554"/>
      <c r="W120" s="554"/>
      <c r="X120" s="554"/>
    </row>
    <row r="121" spans="1:24" s="749" customFormat="1" ht="24.95" customHeight="1" x14ac:dyDescent="0.35">
      <c r="A121" s="979">
        <v>45896</v>
      </c>
      <c r="B121" s="963" t="s">
        <v>439</v>
      </c>
      <c r="C121" s="963"/>
      <c r="D121" s="980" t="s">
        <v>90</v>
      </c>
      <c r="E121" s="980"/>
      <c r="F121" s="980"/>
      <c r="G121" s="875" t="s">
        <v>601</v>
      </c>
      <c r="H121" s="963"/>
      <c r="I121" s="981"/>
      <c r="J121" s="981" t="s">
        <v>419</v>
      </c>
      <c r="K121" s="981"/>
      <c r="L121" s="981"/>
      <c r="M121" s="981"/>
      <c r="N121" s="981"/>
      <c r="O121" s="982"/>
      <c r="P121" s="980"/>
      <c r="Q121" s="963"/>
      <c r="R121" s="554"/>
      <c r="S121" s="554"/>
      <c r="T121" s="554"/>
      <c r="U121" s="554"/>
      <c r="V121" s="554"/>
      <c r="W121" s="554"/>
      <c r="X121" s="554"/>
    </row>
    <row r="122" spans="1:24" s="749" customFormat="1" ht="24.95" customHeight="1" x14ac:dyDescent="0.35">
      <c r="A122" s="979">
        <v>45896</v>
      </c>
      <c r="B122" s="963" t="s">
        <v>619</v>
      </c>
      <c r="C122" s="963"/>
      <c r="D122" s="980" t="s">
        <v>221</v>
      </c>
      <c r="E122" s="980"/>
      <c r="F122" s="980"/>
      <c r="G122" s="875" t="s">
        <v>620</v>
      </c>
      <c r="H122" s="963"/>
      <c r="I122" s="981"/>
      <c r="J122" s="981">
        <v>176994</v>
      </c>
      <c r="K122" s="981"/>
      <c r="L122" s="981"/>
      <c r="M122" s="981"/>
      <c r="N122" s="981"/>
      <c r="O122" s="982"/>
      <c r="P122" s="980"/>
      <c r="Q122" s="963"/>
      <c r="R122" s="554"/>
      <c r="S122" s="554"/>
      <c r="T122" s="554"/>
      <c r="U122" s="554"/>
      <c r="V122" s="554"/>
      <c r="W122" s="554"/>
      <c r="X122" s="554"/>
    </row>
    <row r="123" spans="1:24" s="749" customFormat="1" ht="24.95" customHeight="1" x14ac:dyDescent="0.35">
      <c r="A123" s="979">
        <v>45897</v>
      </c>
      <c r="B123" s="963" t="s">
        <v>449</v>
      </c>
      <c r="C123" s="963"/>
      <c r="D123" s="980" t="s">
        <v>92</v>
      </c>
      <c r="E123" s="980"/>
      <c r="F123" s="980"/>
      <c r="G123" s="875" t="s">
        <v>602</v>
      </c>
      <c r="H123" s="963"/>
      <c r="I123" s="981"/>
      <c r="J123" s="981">
        <v>3500</v>
      </c>
      <c r="K123" s="981"/>
      <c r="L123" s="981"/>
      <c r="M123" s="981"/>
      <c r="N123" s="981"/>
      <c r="O123" s="982"/>
      <c r="P123" s="980"/>
      <c r="Q123" s="963"/>
      <c r="R123" s="554"/>
      <c r="S123" s="554"/>
      <c r="T123" s="554"/>
      <c r="U123" s="554"/>
      <c r="V123" s="554"/>
      <c r="W123" s="554"/>
      <c r="X123" s="554"/>
    </row>
    <row r="124" spans="1:24" s="749" customFormat="1" ht="24.95" customHeight="1" x14ac:dyDescent="0.35">
      <c r="A124" s="979" t="s">
        <v>421</v>
      </c>
      <c r="B124" s="963" t="s">
        <v>301</v>
      </c>
      <c r="C124" s="963"/>
      <c r="D124" s="980" t="s">
        <v>90</v>
      </c>
      <c r="E124" s="980"/>
      <c r="F124" s="980"/>
      <c r="G124" s="875" t="s">
        <v>603</v>
      </c>
      <c r="H124" s="963"/>
      <c r="I124" s="981"/>
      <c r="J124" s="981">
        <v>685000</v>
      </c>
      <c r="K124" s="981"/>
      <c r="L124" s="981"/>
      <c r="M124" s="981"/>
      <c r="N124" s="981"/>
      <c r="O124" s="982"/>
      <c r="P124" s="980"/>
      <c r="Q124" s="963"/>
      <c r="R124" s="554"/>
      <c r="S124" s="554"/>
      <c r="T124" s="554"/>
      <c r="U124" s="554"/>
      <c r="V124" s="554"/>
      <c r="W124" s="554"/>
      <c r="X124" s="554"/>
    </row>
    <row r="125" spans="1:24" s="749" customFormat="1" ht="24.95" customHeight="1" x14ac:dyDescent="0.35">
      <c r="A125" s="979">
        <v>45897</v>
      </c>
      <c r="B125" s="963" t="s">
        <v>607</v>
      </c>
      <c r="C125" s="963"/>
      <c r="D125" s="980" t="s">
        <v>90</v>
      </c>
      <c r="E125" s="980"/>
      <c r="F125" s="980"/>
      <c r="G125" s="875" t="s">
        <v>606</v>
      </c>
      <c r="H125" s="963"/>
      <c r="I125" s="981"/>
      <c r="J125" s="981">
        <v>476000</v>
      </c>
      <c r="K125" s="981"/>
      <c r="L125" s="981"/>
      <c r="M125" s="981"/>
      <c r="N125" s="981"/>
      <c r="O125" s="982"/>
      <c r="P125" s="980"/>
      <c r="Q125" s="963"/>
      <c r="R125" s="554"/>
      <c r="S125" s="554"/>
      <c r="T125" s="554"/>
      <c r="U125" s="554"/>
      <c r="V125" s="554"/>
      <c r="W125" s="554"/>
      <c r="X125" s="554"/>
    </row>
    <row r="126" spans="1:24" s="749" customFormat="1" ht="24.95" customHeight="1" x14ac:dyDescent="0.35">
      <c r="A126" s="979">
        <v>45897</v>
      </c>
      <c r="B126" s="963" t="s">
        <v>607</v>
      </c>
      <c r="C126" s="963"/>
      <c r="D126" s="980" t="s">
        <v>90</v>
      </c>
      <c r="E126" s="980"/>
      <c r="F126" s="980"/>
      <c r="G126" s="875" t="s">
        <v>608</v>
      </c>
      <c r="H126" s="963"/>
      <c r="I126" s="981"/>
      <c r="J126" s="981">
        <v>117000</v>
      </c>
      <c r="K126" s="981"/>
      <c r="L126" s="981"/>
      <c r="M126" s="981"/>
      <c r="N126" s="981"/>
      <c r="O126" s="982"/>
      <c r="P126" s="980"/>
      <c r="Q126" s="963"/>
      <c r="R126" s="554"/>
      <c r="S126" s="554"/>
      <c r="T126" s="554"/>
      <c r="U126" s="554"/>
      <c r="V126" s="554"/>
      <c r="W126" s="554"/>
      <c r="X126" s="554"/>
    </row>
    <row r="127" spans="1:24" s="749" customFormat="1" ht="24.95" customHeight="1" x14ac:dyDescent="0.35">
      <c r="A127" s="979">
        <v>45897</v>
      </c>
      <c r="B127" s="963" t="s">
        <v>417</v>
      </c>
      <c r="C127" s="963"/>
      <c r="D127" s="980" t="s">
        <v>90</v>
      </c>
      <c r="E127" s="980"/>
      <c r="F127" s="980"/>
      <c r="G127" s="875" t="s">
        <v>609</v>
      </c>
      <c r="H127" s="963"/>
      <c r="I127" s="981"/>
      <c r="J127" s="981" t="s">
        <v>419</v>
      </c>
      <c r="K127" s="981"/>
      <c r="L127" s="981"/>
      <c r="M127" s="981"/>
      <c r="N127" s="981"/>
      <c r="O127" s="982"/>
      <c r="P127" s="980"/>
      <c r="Q127" s="963"/>
      <c r="R127" s="554"/>
      <c r="S127" s="554"/>
      <c r="T127" s="554"/>
      <c r="U127" s="554"/>
      <c r="V127" s="554"/>
      <c r="W127" s="554"/>
      <c r="X127" s="554"/>
    </row>
    <row r="128" spans="1:24" s="889" customFormat="1" ht="24.95" customHeight="1" x14ac:dyDescent="0.35">
      <c r="A128" s="698"/>
      <c r="B128" s="699" t="s">
        <v>7</v>
      </c>
      <c r="C128" s="700"/>
      <c r="D128" s="612" t="s">
        <v>140</v>
      </c>
      <c r="E128" s="700"/>
      <c r="F128" s="700"/>
      <c r="G128" s="614"/>
      <c r="H128" s="701"/>
      <c r="I128" s="891">
        <f>SUM(I91:I111)</f>
        <v>3185916</v>
      </c>
      <c r="J128" s="703">
        <f>SUM(J55:J91)</f>
        <v>6601163.7699999996</v>
      </c>
      <c r="K128" s="703">
        <f>SUM(K51:K89)</f>
        <v>178000</v>
      </c>
      <c r="L128" s="704">
        <f>SUM(L48:L53)</f>
        <v>297900</v>
      </c>
      <c r="M128" s="703">
        <f>SUM(M45:M53)</f>
        <v>631059.82000000007</v>
      </c>
      <c r="N128" s="703"/>
      <c r="O128" s="703">
        <f>SUM(O7:O89)</f>
        <v>7134580.21</v>
      </c>
      <c r="P128" s="705"/>
      <c r="Q128" s="706">
        <f>SUM(J128:P128)</f>
        <v>14842703.800000001</v>
      </c>
      <c r="R128" s="707"/>
    </row>
    <row r="129" spans="1:17" ht="24.95" customHeight="1" x14ac:dyDescent="0.35">
      <c r="A129" s="656" t="s">
        <v>64</v>
      </c>
      <c r="F129" s="658" t="s">
        <v>64</v>
      </c>
      <c r="H129" s="660"/>
    </row>
    <row r="130" spans="1:17" ht="24.95" customHeight="1" x14ac:dyDescent="0.35">
      <c r="H130" s="660"/>
    </row>
    <row r="131" spans="1:17" ht="24.95" customHeight="1" x14ac:dyDescent="0.35">
      <c r="E131" s="524" t="s">
        <v>486</v>
      </c>
      <c r="O131" s="662"/>
    </row>
    <row r="132" spans="1:17" ht="24.95" customHeight="1" x14ac:dyDescent="0.35">
      <c r="F132" s="658" t="s">
        <v>64</v>
      </c>
      <c r="O132" s="662"/>
    </row>
    <row r="133" spans="1:17" ht="23.25" customHeight="1" x14ac:dyDescent="0.35">
      <c r="G133" s="524"/>
      <c r="H133" s="524"/>
      <c r="I133" s="524"/>
      <c r="J133" s="524" t="s">
        <v>64</v>
      </c>
      <c r="K133" s="524"/>
      <c r="O133" s="662"/>
      <c r="P133" s="524"/>
    </row>
    <row r="134" spans="1:17" ht="24.95" customHeight="1" x14ac:dyDescent="0.35">
      <c r="O134" s="662"/>
      <c r="Q134" s="662"/>
    </row>
    <row r="135" spans="1:17" ht="24.95" customHeight="1" x14ac:dyDescent="0.35">
      <c r="O135" s="662"/>
    </row>
    <row r="136" spans="1:17" ht="24.95" customHeight="1" x14ac:dyDescent="0.35">
      <c r="O136" s="662"/>
    </row>
    <row r="137" spans="1:17" ht="24.95" customHeight="1" x14ac:dyDescent="0.35">
      <c r="O137" s="662"/>
    </row>
    <row r="138" spans="1:17" ht="24.95" customHeight="1" x14ac:dyDescent="0.35">
      <c r="O138" s="662"/>
    </row>
    <row r="139" spans="1:17" ht="24.95" customHeight="1" x14ac:dyDescent="0.35">
      <c r="O139" s="662"/>
    </row>
    <row r="140" spans="1:17" ht="24.95" customHeight="1" x14ac:dyDescent="0.35">
      <c r="O140" s="662"/>
    </row>
    <row r="141" spans="1:17" ht="24.95" customHeight="1" x14ac:dyDescent="0.35">
      <c r="O141" s="662"/>
    </row>
    <row r="142" spans="1:17" ht="24.95" customHeight="1" x14ac:dyDescent="0.35">
      <c r="O142" s="665"/>
    </row>
    <row r="143" spans="1:17" ht="24.95" customHeight="1" x14ac:dyDescent="0.35">
      <c r="O143" s="666"/>
    </row>
    <row r="144" spans="1:17" ht="24.95" customHeight="1" x14ac:dyDescent="0.35">
      <c r="O144" s="667"/>
    </row>
    <row r="145" spans="15:15" ht="24.95" customHeight="1" x14ac:dyDescent="0.35">
      <c r="O145" s="666"/>
    </row>
    <row r="146" spans="15:15" ht="24.95" customHeight="1" x14ac:dyDescent="0.35">
      <c r="O146" s="667"/>
    </row>
  </sheetData>
  <pageMargins left="0.70866141732283472" right="0.70866141732283472" top="0.74803149606299213" bottom="0.74803149606299213" header="0.31496062992125984" footer="0.31496062992125984"/>
  <pageSetup scale="35" fitToHeight="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9"/>
  <sheetViews>
    <sheetView topLeftCell="A85" workbookViewId="0">
      <selection activeCell="G94" sqref="G94"/>
    </sheetView>
  </sheetViews>
  <sheetFormatPr defaultColWidth="23.85546875" defaultRowHeight="23.25" x14ac:dyDescent="0.35"/>
  <cols>
    <col min="1" max="1" width="23.85546875" style="940"/>
    <col min="2" max="2" width="56.28515625" style="623" customWidth="1"/>
    <col min="3" max="3" width="15.85546875" style="524" customWidth="1"/>
    <col min="4" max="4" width="13" style="657" customWidth="1"/>
    <col min="5" max="5" width="14.28515625" style="524" customWidth="1"/>
    <col min="6" max="6" width="12.28515625" style="658" customWidth="1"/>
    <col min="7" max="7" width="23.85546875" style="659"/>
    <col min="8" max="8" width="13.85546875" style="664" customWidth="1"/>
    <col min="9" max="9" width="26"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29" ht="24.95" customHeight="1" x14ac:dyDescent="0.35">
      <c r="A1" s="935" t="s">
        <v>598</v>
      </c>
      <c r="B1" s="942"/>
      <c r="C1" s="518"/>
      <c r="D1" s="942"/>
      <c r="E1" s="516"/>
      <c r="F1" s="516"/>
      <c r="G1" s="518"/>
      <c r="H1" s="519"/>
      <c r="I1" s="520"/>
      <c r="J1" s="521"/>
      <c r="K1" s="521"/>
      <c r="L1" s="521"/>
      <c r="M1" s="521"/>
      <c r="N1" s="521"/>
      <c r="O1" s="522"/>
      <c r="P1" s="523"/>
    </row>
    <row r="2" spans="1:29" ht="24.95" customHeight="1" x14ac:dyDescent="0.35">
      <c r="A2" s="936" t="s">
        <v>9</v>
      </c>
      <c r="B2" s="943"/>
      <c r="C2" s="529"/>
      <c r="D2" s="943"/>
      <c r="E2" s="527"/>
      <c r="F2" s="527"/>
      <c r="G2" s="529"/>
      <c r="H2" s="530"/>
      <c r="I2" s="531"/>
      <c r="J2" s="532"/>
      <c r="K2" s="532"/>
      <c r="L2" s="532"/>
      <c r="M2" s="532"/>
      <c r="N2" s="532"/>
      <c r="O2" s="533"/>
      <c r="P2" s="534"/>
    </row>
    <row r="3" spans="1:29" ht="24.95" customHeight="1" x14ac:dyDescent="0.35">
      <c r="A3" s="936" t="s">
        <v>10</v>
      </c>
      <c r="B3" s="943"/>
      <c r="C3" s="529"/>
      <c r="D3" s="943"/>
      <c r="E3" s="527"/>
      <c r="F3" s="527"/>
      <c r="G3" s="529"/>
      <c r="H3" s="530"/>
      <c r="I3" s="535"/>
      <c r="J3" s="536"/>
      <c r="K3" s="536"/>
      <c r="L3" s="536"/>
      <c r="M3" s="536"/>
      <c r="N3" s="536"/>
      <c r="O3" s="537"/>
      <c r="P3" s="538"/>
    </row>
    <row r="4" spans="1:29" ht="24.95" customHeight="1" x14ac:dyDescent="0.35">
      <c r="A4" s="936" t="s">
        <v>630</v>
      </c>
      <c r="B4" s="943"/>
      <c r="C4" s="529"/>
      <c r="D4" s="943"/>
      <c r="E4" s="527"/>
      <c r="F4" s="527"/>
      <c r="G4" s="529"/>
      <c r="H4" s="530"/>
      <c r="I4" s="535"/>
      <c r="J4" s="536"/>
      <c r="K4" s="536"/>
      <c r="L4" s="536"/>
      <c r="M4" s="536"/>
      <c r="N4" s="536"/>
      <c r="O4" s="537"/>
      <c r="P4" s="538"/>
    </row>
    <row r="5" spans="1:29" ht="24.95" customHeight="1" x14ac:dyDescent="0.35">
      <c r="A5" s="938"/>
      <c r="B5" s="526"/>
      <c r="C5" s="527"/>
      <c r="D5" s="528"/>
      <c r="E5" s="527"/>
      <c r="F5" s="527"/>
      <c r="G5" s="529"/>
      <c r="H5" s="540"/>
      <c r="I5" s="541"/>
      <c r="J5" s="542"/>
      <c r="K5" s="542"/>
      <c r="L5" s="542"/>
      <c r="M5" s="542"/>
      <c r="N5" s="542"/>
      <c r="O5" s="542"/>
      <c r="P5" s="543"/>
    </row>
    <row r="6" spans="1:29" s="565" customFormat="1" ht="24.95" customHeight="1" x14ac:dyDescent="0.35">
      <c r="A6" s="937"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t="s">
        <v>323</v>
      </c>
      <c r="Q6" s="553" t="s">
        <v>7</v>
      </c>
      <c r="R6" s="554" t="s">
        <v>6</v>
      </c>
    </row>
    <row r="7" spans="1:29" s="760" customFormat="1" ht="24.95" customHeight="1" x14ac:dyDescent="0.35">
      <c r="A7" s="967">
        <v>43878</v>
      </c>
      <c r="B7" s="925" t="s">
        <v>63</v>
      </c>
      <c r="C7" s="925"/>
      <c r="D7" s="925" t="s">
        <v>90</v>
      </c>
      <c r="E7" s="925"/>
      <c r="F7" s="925"/>
      <c r="G7" s="925" t="s">
        <v>102</v>
      </c>
      <c r="H7" s="925"/>
      <c r="I7" s="965"/>
      <c r="J7" s="965"/>
      <c r="K7" s="965"/>
      <c r="L7" s="965"/>
      <c r="M7" s="965"/>
      <c r="N7" s="965"/>
      <c r="O7" s="965">
        <v>33421.01</v>
      </c>
      <c r="P7" s="925" t="s">
        <v>22</v>
      </c>
      <c r="Q7" s="950"/>
      <c r="R7" s="951"/>
      <c r="S7" s="951"/>
      <c r="T7" s="951"/>
      <c r="U7" s="951"/>
      <c r="V7" s="951"/>
      <c r="W7" s="951"/>
      <c r="X7" s="951"/>
      <c r="Y7" s="944"/>
      <c r="Z7" s="944"/>
      <c r="AA7" s="944"/>
      <c r="AB7" s="944"/>
      <c r="AC7" s="944"/>
    </row>
    <row r="8" spans="1:29" s="771" customFormat="1" ht="24.95" customHeight="1" x14ac:dyDescent="0.35">
      <c r="A8" s="968">
        <v>44092</v>
      </c>
      <c r="B8" s="925" t="s">
        <v>78</v>
      </c>
      <c r="C8" s="925"/>
      <c r="D8" s="925" t="s">
        <v>92</v>
      </c>
      <c r="E8" s="925"/>
      <c r="F8" s="964"/>
      <c r="G8" s="964" t="s">
        <v>77</v>
      </c>
      <c r="H8" s="925"/>
      <c r="I8" s="965"/>
      <c r="J8" s="965"/>
      <c r="K8" s="965"/>
      <c r="L8" s="965"/>
      <c r="M8" s="965"/>
      <c r="N8" s="965"/>
      <c r="O8" s="966">
        <v>108000</v>
      </c>
      <c r="P8" s="925"/>
      <c r="Q8" s="952"/>
      <c r="R8" s="953"/>
      <c r="S8" s="953"/>
      <c r="T8" s="953"/>
      <c r="U8" s="953"/>
      <c r="V8" s="953"/>
      <c r="W8" s="953"/>
      <c r="X8" s="953"/>
      <c r="Y8" s="945"/>
      <c r="Z8" s="945"/>
      <c r="AA8" s="945"/>
      <c r="AB8" s="945"/>
      <c r="AC8" s="945"/>
    </row>
    <row r="9" spans="1:29" s="782" customFormat="1" ht="24.95" customHeight="1" x14ac:dyDescent="0.35">
      <c r="A9" s="968">
        <v>44352</v>
      </c>
      <c r="B9" s="925" t="s">
        <v>107</v>
      </c>
      <c r="C9" s="925"/>
      <c r="D9" s="925" t="s">
        <v>90</v>
      </c>
      <c r="E9" s="964"/>
      <c r="F9" s="964">
        <v>1918</v>
      </c>
      <c r="G9" s="964">
        <v>4457</v>
      </c>
      <c r="H9" s="925"/>
      <c r="I9" s="965"/>
      <c r="J9" s="965"/>
      <c r="K9" s="965"/>
      <c r="L9" s="965"/>
      <c r="M9" s="965"/>
      <c r="N9" s="965"/>
      <c r="O9" s="966">
        <v>36289.599999999999</v>
      </c>
      <c r="P9" s="964"/>
      <c r="Q9" s="952"/>
      <c r="R9" s="953"/>
      <c r="S9" s="953"/>
      <c r="T9" s="953"/>
      <c r="U9" s="953"/>
      <c r="V9" s="953"/>
      <c r="W9" s="953"/>
      <c r="X9" s="953"/>
      <c r="Y9" s="945"/>
      <c r="Z9" s="945"/>
      <c r="AA9" s="945"/>
      <c r="AB9" s="945"/>
      <c r="AC9" s="945"/>
    </row>
    <row r="10" spans="1:29" s="782" customFormat="1" ht="24.95" customHeight="1" x14ac:dyDescent="0.35">
      <c r="A10" s="968">
        <v>44413</v>
      </c>
      <c r="B10" s="925" t="s">
        <v>107</v>
      </c>
      <c r="C10" s="925"/>
      <c r="D10" s="925" t="s">
        <v>90</v>
      </c>
      <c r="E10" s="964"/>
      <c r="F10" s="964"/>
      <c r="G10" s="964">
        <v>4457</v>
      </c>
      <c r="H10" s="925"/>
      <c r="I10" s="965"/>
      <c r="J10" s="965"/>
      <c r="K10" s="965"/>
      <c r="L10" s="965"/>
      <c r="M10" s="965"/>
      <c r="N10" s="965"/>
      <c r="O10" s="966">
        <v>176976.8</v>
      </c>
      <c r="P10" s="964"/>
      <c r="Q10" s="952"/>
      <c r="R10" s="953"/>
      <c r="S10" s="953"/>
      <c r="T10" s="953"/>
      <c r="U10" s="953"/>
      <c r="V10" s="953"/>
      <c r="W10" s="953"/>
      <c r="X10" s="953"/>
      <c r="Y10" s="945"/>
      <c r="Z10" s="945"/>
      <c r="AA10" s="945"/>
      <c r="AB10" s="945"/>
      <c r="AC10" s="945"/>
    </row>
    <row r="11" spans="1:29" s="782" customFormat="1" ht="24.95" customHeight="1" x14ac:dyDescent="0.35">
      <c r="A11" s="968">
        <v>44420</v>
      </c>
      <c r="B11" s="925" t="s">
        <v>108</v>
      </c>
      <c r="C11" s="925"/>
      <c r="D11" s="925" t="s">
        <v>90</v>
      </c>
      <c r="E11" s="964"/>
      <c r="F11" s="964"/>
      <c r="G11" s="964" t="s">
        <v>120</v>
      </c>
      <c r="H11" s="925"/>
      <c r="I11" s="965"/>
      <c r="J11" s="965"/>
      <c r="K11" s="965"/>
      <c r="L11" s="965"/>
      <c r="M11" s="965"/>
      <c r="N11" s="965"/>
      <c r="O11" s="965">
        <v>470000</v>
      </c>
      <c r="P11" s="964"/>
      <c r="Q11" s="952"/>
      <c r="R11" s="953" t="s">
        <v>121</v>
      </c>
      <c r="S11" s="953"/>
      <c r="T11" s="953"/>
      <c r="U11" s="953"/>
      <c r="V11" s="953"/>
      <c r="W11" s="953"/>
      <c r="X11" s="953"/>
      <c r="Y11" s="945"/>
      <c r="Z11" s="945"/>
      <c r="AA11" s="945"/>
      <c r="AB11" s="945"/>
      <c r="AC11" s="945"/>
    </row>
    <row r="12" spans="1:29" s="775" customFormat="1" ht="24.95" customHeight="1" x14ac:dyDescent="0.35">
      <c r="A12" s="968">
        <v>44480</v>
      </c>
      <c r="B12" s="925" t="s">
        <v>43</v>
      </c>
      <c r="C12" s="925"/>
      <c r="D12" s="964" t="s">
        <v>90</v>
      </c>
      <c r="E12" s="964"/>
      <c r="F12" s="925">
        <v>2019</v>
      </c>
      <c r="G12" s="964" t="s">
        <v>132</v>
      </c>
      <c r="H12" s="925"/>
      <c r="I12" s="965"/>
      <c r="J12" s="965"/>
      <c r="K12" s="965"/>
      <c r="L12" s="965"/>
      <c r="M12" s="965"/>
      <c r="N12" s="965"/>
      <c r="O12" s="965">
        <v>147281.20000000001</v>
      </c>
      <c r="P12" s="964"/>
      <c r="Q12" s="952"/>
      <c r="R12" s="954" t="s">
        <v>133</v>
      </c>
      <c r="S12" s="955"/>
      <c r="T12" s="955"/>
      <c r="U12" s="955"/>
      <c r="V12" s="955"/>
      <c r="W12" s="955"/>
      <c r="X12" s="955"/>
      <c r="Y12" s="946"/>
      <c r="Z12" s="946"/>
      <c r="AA12" s="946"/>
      <c r="AB12" s="946"/>
      <c r="AC12" s="946"/>
    </row>
    <row r="13" spans="1:29" s="782" customFormat="1" ht="27.75" customHeight="1" x14ac:dyDescent="0.35">
      <c r="A13" s="968">
        <v>44589</v>
      </c>
      <c r="B13" s="925" t="s">
        <v>125</v>
      </c>
      <c r="C13" s="925"/>
      <c r="D13" s="925" t="s">
        <v>90</v>
      </c>
      <c r="E13" s="964"/>
      <c r="F13" s="964"/>
      <c r="G13" s="964">
        <v>4880</v>
      </c>
      <c r="H13" s="925"/>
      <c r="I13" s="965"/>
      <c r="J13" s="965"/>
      <c r="K13" s="965"/>
      <c r="L13" s="965"/>
      <c r="M13" s="965"/>
      <c r="N13" s="965"/>
      <c r="O13" s="965">
        <v>37000</v>
      </c>
      <c r="P13" s="925" t="s">
        <v>22</v>
      </c>
      <c r="Q13" s="952"/>
      <c r="R13" s="953" t="s">
        <v>126</v>
      </c>
      <c r="S13" s="953"/>
      <c r="T13" s="953"/>
      <c r="U13" s="953"/>
      <c r="V13" s="953"/>
      <c r="W13" s="953"/>
      <c r="X13" s="953"/>
      <c r="Y13" s="945"/>
      <c r="Z13" s="945"/>
      <c r="AA13" s="945"/>
      <c r="AB13" s="945"/>
      <c r="AC13" s="945"/>
    </row>
    <row r="14" spans="1:29" s="782" customFormat="1" ht="24.95" customHeight="1" x14ac:dyDescent="0.35">
      <c r="A14" s="968">
        <v>44607</v>
      </c>
      <c r="B14" s="925" t="s">
        <v>59</v>
      </c>
      <c r="C14" s="925"/>
      <c r="D14" s="925" t="s">
        <v>90</v>
      </c>
      <c r="E14" s="964" t="s">
        <v>135</v>
      </c>
      <c r="F14" s="964"/>
      <c r="G14" s="964" t="s">
        <v>131</v>
      </c>
      <c r="H14" s="925"/>
      <c r="I14" s="965"/>
      <c r="J14" s="965"/>
      <c r="K14" s="965"/>
      <c r="L14" s="965"/>
      <c r="M14" s="965"/>
      <c r="N14" s="965"/>
      <c r="O14" s="965">
        <v>16076.04</v>
      </c>
      <c r="P14" s="925" t="s">
        <v>22</v>
      </c>
      <c r="Q14" s="952"/>
      <c r="R14" s="954" t="s">
        <v>134</v>
      </c>
      <c r="S14" s="953"/>
      <c r="T14" s="953"/>
      <c r="U14" s="953"/>
      <c r="V14" s="953"/>
      <c r="W14" s="953"/>
      <c r="X14" s="953"/>
      <c r="Y14" s="945"/>
      <c r="Z14" s="945"/>
      <c r="AA14" s="945"/>
      <c r="AB14" s="945"/>
      <c r="AC14" s="945"/>
    </row>
    <row r="15" spans="1:29" s="800" customFormat="1" ht="24.95" customHeight="1" x14ac:dyDescent="0.35">
      <c r="A15" s="968" t="s">
        <v>64</v>
      </c>
      <c r="B15" s="925" t="s">
        <v>59</v>
      </c>
      <c r="C15" s="925"/>
      <c r="D15" s="925" t="s">
        <v>90</v>
      </c>
      <c r="E15" s="964" t="s">
        <v>129</v>
      </c>
      <c r="F15" s="964"/>
      <c r="G15" s="964" t="s">
        <v>118</v>
      </c>
      <c r="H15" s="925"/>
      <c r="I15" s="965"/>
      <c r="J15" s="965"/>
      <c r="K15" s="965"/>
      <c r="L15" s="965"/>
      <c r="M15" s="965"/>
      <c r="N15" s="965"/>
      <c r="O15" s="965">
        <v>7186.99</v>
      </c>
      <c r="P15" s="925" t="s">
        <v>22</v>
      </c>
      <c r="Q15" s="20"/>
      <c r="R15" s="956" t="s">
        <v>130</v>
      </c>
      <c r="S15" s="956"/>
      <c r="T15" s="956"/>
      <c r="U15" s="956"/>
      <c r="V15" s="956"/>
      <c r="W15" s="956"/>
      <c r="X15" s="956"/>
      <c r="Y15" s="947"/>
      <c r="Z15" s="947"/>
      <c r="AA15" s="947"/>
      <c r="AB15" s="947"/>
      <c r="AC15" s="947"/>
    </row>
    <row r="16" spans="1:29" s="782" customFormat="1" ht="24.95" customHeight="1" x14ac:dyDescent="0.35">
      <c r="A16" s="968">
        <v>44614</v>
      </c>
      <c r="B16" s="925" t="s">
        <v>136</v>
      </c>
      <c r="C16" s="925"/>
      <c r="D16" s="925" t="s">
        <v>92</v>
      </c>
      <c r="E16" s="964"/>
      <c r="F16" s="964"/>
      <c r="G16" s="964" t="s">
        <v>376</v>
      </c>
      <c r="H16" s="925"/>
      <c r="I16" s="965"/>
      <c r="J16" s="965"/>
      <c r="K16" s="965"/>
      <c r="L16" s="965"/>
      <c r="M16" s="965"/>
      <c r="N16" s="965"/>
      <c r="O16" s="965">
        <v>526625</v>
      </c>
      <c r="P16" s="925"/>
      <c r="Q16" s="20"/>
      <c r="R16" s="953" t="s">
        <v>193</v>
      </c>
      <c r="S16" s="953"/>
      <c r="T16" s="953"/>
      <c r="U16" s="953"/>
      <c r="V16" s="953"/>
      <c r="W16" s="953"/>
      <c r="X16" s="953"/>
      <c r="Y16" s="945"/>
      <c r="Z16" s="945"/>
      <c r="AA16" s="945"/>
      <c r="AB16" s="945"/>
      <c r="AC16" s="945"/>
    </row>
    <row r="17" spans="1:29" s="782" customFormat="1" ht="24.95" customHeight="1" x14ac:dyDescent="0.35">
      <c r="A17" s="968">
        <v>44631</v>
      </c>
      <c r="B17" s="925" t="s">
        <v>136</v>
      </c>
      <c r="C17" s="925"/>
      <c r="D17" s="925" t="s">
        <v>92</v>
      </c>
      <c r="E17" s="964"/>
      <c r="F17" s="964"/>
      <c r="G17" s="964">
        <v>4943</v>
      </c>
      <c r="H17" s="925"/>
      <c r="I17" s="965"/>
      <c r="J17" s="965"/>
      <c r="K17" s="965"/>
      <c r="L17" s="965"/>
      <c r="M17" s="965"/>
      <c r="N17" s="965"/>
      <c r="O17" s="965">
        <v>5975</v>
      </c>
      <c r="P17" s="964"/>
      <c r="Q17" s="20"/>
      <c r="R17" s="953" t="s">
        <v>138</v>
      </c>
      <c r="S17" s="953"/>
      <c r="T17" s="953"/>
      <c r="U17" s="953"/>
      <c r="V17" s="953"/>
      <c r="W17" s="953"/>
      <c r="X17" s="953"/>
      <c r="Y17" s="945"/>
      <c r="Z17" s="945"/>
      <c r="AA17" s="945"/>
      <c r="AB17" s="945"/>
      <c r="AC17" s="945"/>
    </row>
    <row r="18" spans="1:29" s="782" customFormat="1" ht="24.95" customHeight="1" x14ac:dyDescent="0.35">
      <c r="A18" s="968">
        <v>44638</v>
      </c>
      <c r="B18" s="925" t="s">
        <v>136</v>
      </c>
      <c r="C18" s="925"/>
      <c r="D18" s="925" t="s">
        <v>92</v>
      </c>
      <c r="E18" s="964"/>
      <c r="F18" s="964"/>
      <c r="G18" s="964">
        <v>4953</v>
      </c>
      <c r="H18" s="925"/>
      <c r="I18" s="965"/>
      <c r="J18" s="965"/>
      <c r="K18" s="965"/>
      <c r="L18" s="965"/>
      <c r="M18" s="965"/>
      <c r="N18" s="965"/>
      <c r="O18" s="965">
        <v>4950</v>
      </c>
      <c r="P18" s="964"/>
      <c r="Q18" s="20"/>
      <c r="R18" s="953" t="s">
        <v>139</v>
      </c>
      <c r="S18" s="953"/>
      <c r="T18" s="953"/>
      <c r="U18" s="953"/>
      <c r="V18" s="953"/>
      <c r="W18" s="953"/>
      <c r="X18" s="953"/>
      <c r="Y18" s="945"/>
      <c r="Z18" s="945"/>
      <c r="AA18" s="945"/>
      <c r="AB18" s="945"/>
      <c r="AC18" s="945"/>
    </row>
    <row r="19" spans="1:29" s="782" customFormat="1" ht="24.95" customHeight="1" x14ac:dyDescent="0.35">
      <c r="A19" s="968">
        <v>44711</v>
      </c>
      <c r="B19" s="925" t="s">
        <v>153</v>
      </c>
      <c r="C19" s="925"/>
      <c r="D19" s="925" t="s">
        <v>92</v>
      </c>
      <c r="E19" s="964"/>
      <c r="F19" s="964"/>
      <c r="G19" s="964" t="s">
        <v>181</v>
      </c>
      <c r="H19" s="925"/>
      <c r="I19" s="965"/>
      <c r="J19" s="965"/>
      <c r="K19" s="965"/>
      <c r="L19" s="965"/>
      <c r="M19" s="965"/>
      <c r="N19" s="965"/>
      <c r="O19" s="965">
        <v>164667</v>
      </c>
      <c r="P19" s="925"/>
      <c r="Q19" s="20"/>
      <c r="R19" s="954" t="s">
        <v>182</v>
      </c>
      <c r="S19" s="953"/>
      <c r="T19" s="953"/>
      <c r="U19" s="953"/>
      <c r="V19" s="953"/>
      <c r="W19" s="953"/>
      <c r="X19" s="953"/>
      <c r="Y19" s="945"/>
      <c r="Z19" s="945"/>
      <c r="AA19" s="945"/>
      <c r="AB19" s="945"/>
      <c r="AC19" s="945"/>
    </row>
    <row r="20" spans="1:29" s="800" customFormat="1" ht="24.95" customHeight="1" x14ac:dyDescent="0.35">
      <c r="A20" s="968">
        <v>44714</v>
      </c>
      <c r="B20" s="925" t="s">
        <v>59</v>
      </c>
      <c r="C20" s="925"/>
      <c r="D20" s="925" t="s">
        <v>90</v>
      </c>
      <c r="E20" s="964"/>
      <c r="F20" s="964">
        <v>2062</v>
      </c>
      <c r="G20" s="964" t="s">
        <v>118</v>
      </c>
      <c r="H20" s="925"/>
      <c r="I20" s="965"/>
      <c r="J20" s="965"/>
      <c r="K20" s="965"/>
      <c r="L20" s="965"/>
      <c r="M20" s="965"/>
      <c r="N20" s="965"/>
      <c r="O20" s="965">
        <v>77456</v>
      </c>
      <c r="P20" s="925" t="s">
        <v>22</v>
      </c>
      <c r="Q20" s="20"/>
      <c r="R20" s="957" t="s">
        <v>142</v>
      </c>
      <c r="S20" s="956"/>
      <c r="T20" s="956"/>
      <c r="U20" s="956"/>
      <c r="V20" s="956"/>
      <c r="W20" s="956"/>
      <c r="X20" s="956"/>
      <c r="Y20" s="947"/>
      <c r="Z20" s="947"/>
      <c r="AA20" s="947"/>
      <c r="AB20" s="947"/>
      <c r="AC20" s="947"/>
    </row>
    <row r="21" spans="1:29" s="800" customFormat="1" ht="24.95" customHeight="1" x14ac:dyDescent="0.35">
      <c r="A21" s="968">
        <v>44714</v>
      </c>
      <c r="B21" s="925" t="s">
        <v>59</v>
      </c>
      <c r="C21" s="925"/>
      <c r="D21" s="925" t="s">
        <v>90</v>
      </c>
      <c r="E21" s="964" t="s">
        <v>143</v>
      </c>
      <c r="F21" s="964"/>
      <c r="G21" s="964" t="s">
        <v>118</v>
      </c>
      <c r="H21" s="925"/>
      <c r="I21" s="965"/>
      <c r="J21" s="965"/>
      <c r="K21" s="965"/>
      <c r="L21" s="965"/>
      <c r="M21" s="965"/>
      <c r="N21" s="965"/>
      <c r="O21" s="965">
        <v>72499.08</v>
      </c>
      <c r="P21" s="925" t="s">
        <v>22</v>
      </c>
      <c r="Q21" s="20"/>
      <c r="R21" s="957" t="s">
        <v>144</v>
      </c>
      <c r="S21" s="956"/>
      <c r="T21" s="956"/>
      <c r="U21" s="956"/>
      <c r="V21" s="956"/>
      <c r="W21" s="956"/>
      <c r="X21" s="956"/>
      <c r="Y21" s="947"/>
      <c r="Z21" s="947"/>
      <c r="AA21" s="947"/>
      <c r="AB21" s="947"/>
      <c r="AC21" s="947"/>
    </row>
    <row r="22" spans="1:29" s="800" customFormat="1" ht="24.95" customHeight="1" x14ac:dyDescent="0.35">
      <c r="A22" s="968">
        <v>44741</v>
      </c>
      <c r="B22" s="925" t="s">
        <v>59</v>
      </c>
      <c r="C22" s="925"/>
      <c r="D22" s="925" t="s">
        <v>90</v>
      </c>
      <c r="E22" s="964" t="s">
        <v>166</v>
      </c>
      <c r="F22" s="964"/>
      <c r="G22" s="964">
        <v>5908</v>
      </c>
      <c r="H22" s="925"/>
      <c r="I22" s="965"/>
      <c r="J22" s="965"/>
      <c r="K22" s="965"/>
      <c r="L22" s="965"/>
      <c r="M22" s="965"/>
      <c r="N22" s="965"/>
      <c r="O22" s="965">
        <v>510</v>
      </c>
      <c r="P22" s="925" t="s">
        <v>22</v>
      </c>
      <c r="Q22" s="20"/>
      <c r="R22" s="957" t="s">
        <v>167</v>
      </c>
      <c r="S22" s="956"/>
      <c r="T22" s="956"/>
      <c r="U22" s="956"/>
      <c r="V22" s="956"/>
      <c r="W22" s="956"/>
      <c r="X22" s="956"/>
      <c r="Y22" s="947"/>
      <c r="Z22" s="947"/>
      <c r="AA22" s="947"/>
      <c r="AB22" s="947"/>
      <c r="AC22" s="947"/>
    </row>
    <row r="23" spans="1:29" s="782" customFormat="1" ht="24.95" customHeight="1" x14ac:dyDescent="0.35">
      <c r="A23" s="968">
        <v>44768</v>
      </c>
      <c r="B23" s="925" t="s">
        <v>159</v>
      </c>
      <c r="C23" s="925"/>
      <c r="D23" s="925" t="s">
        <v>90</v>
      </c>
      <c r="E23" s="964"/>
      <c r="F23" s="964"/>
      <c r="G23" s="964" t="s">
        <v>151</v>
      </c>
      <c r="H23" s="925"/>
      <c r="I23" s="965"/>
      <c r="J23" s="965"/>
      <c r="K23" s="965"/>
      <c r="L23" s="965"/>
      <c r="M23" s="965"/>
      <c r="N23" s="965"/>
      <c r="O23" s="965" t="s">
        <v>479</v>
      </c>
      <c r="P23" s="925" t="s">
        <v>22</v>
      </c>
      <c r="Q23" s="20"/>
      <c r="R23" s="958" t="s">
        <v>199</v>
      </c>
      <c r="S23" s="953"/>
      <c r="T23" s="953"/>
      <c r="U23" s="953"/>
      <c r="V23" s="953"/>
      <c r="W23" s="953"/>
      <c r="X23" s="953"/>
      <c r="Y23" s="945"/>
      <c r="Z23" s="945"/>
      <c r="AA23" s="945"/>
      <c r="AB23" s="945"/>
      <c r="AC23" s="945"/>
    </row>
    <row r="24" spans="1:29" s="782" customFormat="1" ht="24.95" customHeight="1" x14ac:dyDescent="0.35">
      <c r="A24" s="968">
        <v>44786</v>
      </c>
      <c r="B24" s="925" t="s">
        <v>150</v>
      </c>
      <c r="C24" s="925"/>
      <c r="D24" s="925" t="s">
        <v>94</v>
      </c>
      <c r="E24" s="964"/>
      <c r="F24" s="964">
        <v>2136</v>
      </c>
      <c r="G24" s="964" t="s">
        <v>170</v>
      </c>
      <c r="H24" s="925"/>
      <c r="I24" s="965"/>
      <c r="J24" s="965"/>
      <c r="K24" s="965"/>
      <c r="L24" s="965"/>
      <c r="M24" s="965"/>
      <c r="N24" s="965"/>
      <c r="O24" s="965">
        <v>193400</v>
      </c>
      <c r="P24" s="964" t="s">
        <v>22</v>
      </c>
      <c r="Q24" s="20"/>
      <c r="R24" s="954" t="s">
        <v>171</v>
      </c>
      <c r="S24" s="953"/>
      <c r="T24" s="953"/>
      <c r="U24" s="953"/>
      <c r="V24" s="953"/>
      <c r="W24" s="953"/>
      <c r="X24" s="953"/>
      <c r="Y24" s="945"/>
      <c r="Z24" s="945"/>
      <c r="AA24" s="945"/>
      <c r="AB24" s="945"/>
      <c r="AC24" s="945"/>
    </row>
    <row r="25" spans="1:29" s="782" customFormat="1" ht="24.95" customHeight="1" x14ac:dyDescent="0.35">
      <c r="A25" s="968">
        <v>44824</v>
      </c>
      <c r="B25" s="925" t="s">
        <v>43</v>
      </c>
      <c r="C25" s="925"/>
      <c r="D25" s="925" t="s">
        <v>90</v>
      </c>
      <c r="E25" s="964"/>
      <c r="F25" s="964">
        <v>2162</v>
      </c>
      <c r="G25" s="964">
        <v>5218</v>
      </c>
      <c r="H25" s="925"/>
      <c r="I25" s="965"/>
      <c r="J25" s="965"/>
      <c r="K25" s="965"/>
      <c r="L25" s="965"/>
      <c r="M25" s="965"/>
      <c r="N25" s="965"/>
      <c r="O25" s="965">
        <v>54650</v>
      </c>
      <c r="P25" s="964"/>
      <c r="Q25" s="20"/>
      <c r="R25" s="954" t="s">
        <v>174</v>
      </c>
      <c r="S25" s="953"/>
      <c r="T25" s="953"/>
      <c r="U25" s="953"/>
      <c r="V25" s="953"/>
      <c r="W25" s="953"/>
      <c r="X25" s="953"/>
      <c r="Y25" s="945"/>
      <c r="Z25" s="945"/>
      <c r="AA25" s="945"/>
      <c r="AB25" s="945"/>
      <c r="AC25" s="945"/>
    </row>
    <row r="26" spans="1:29" s="782" customFormat="1" ht="24.95" customHeight="1" x14ac:dyDescent="0.35">
      <c r="A26" s="968">
        <v>44839</v>
      </c>
      <c r="B26" s="925" t="s">
        <v>43</v>
      </c>
      <c r="C26" s="925"/>
      <c r="D26" s="925" t="s">
        <v>90</v>
      </c>
      <c r="E26" s="964"/>
      <c r="F26" s="964">
        <v>2140</v>
      </c>
      <c r="G26" s="964">
        <v>5248</v>
      </c>
      <c r="H26" s="925"/>
      <c r="I26" s="965"/>
      <c r="J26" s="965"/>
      <c r="K26" s="965"/>
      <c r="L26" s="965"/>
      <c r="M26" s="965"/>
      <c r="N26" s="965"/>
      <c r="O26" s="965">
        <v>25000</v>
      </c>
      <c r="P26" s="964"/>
      <c r="Q26" s="20"/>
      <c r="R26" s="954" t="s">
        <v>160</v>
      </c>
      <c r="S26" s="953"/>
      <c r="T26" s="953"/>
      <c r="U26" s="953"/>
      <c r="V26" s="953"/>
      <c r="W26" s="953"/>
      <c r="X26" s="953"/>
      <c r="Y26" s="945"/>
      <c r="Z26" s="945"/>
      <c r="AA26" s="945"/>
      <c r="AB26" s="945"/>
      <c r="AC26" s="945"/>
    </row>
    <row r="27" spans="1:29" s="800" customFormat="1" ht="24.95" customHeight="1" x14ac:dyDescent="0.35">
      <c r="A27" s="968">
        <v>44855</v>
      </c>
      <c r="B27" s="925" t="s">
        <v>59</v>
      </c>
      <c r="C27" s="925"/>
      <c r="D27" s="925" t="s">
        <v>90</v>
      </c>
      <c r="E27" s="964" t="s">
        <v>164</v>
      </c>
      <c r="F27" s="964"/>
      <c r="G27" s="964">
        <v>5739</v>
      </c>
      <c r="H27" s="925"/>
      <c r="I27" s="965"/>
      <c r="J27" s="965"/>
      <c r="K27" s="965"/>
      <c r="L27" s="965"/>
      <c r="M27" s="965"/>
      <c r="N27" s="965"/>
      <c r="O27" s="965">
        <v>6650</v>
      </c>
      <c r="P27" s="925" t="s">
        <v>22</v>
      </c>
      <c r="Q27" s="20"/>
      <c r="R27" s="957" t="s">
        <v>165</v>
      </c>
      <c r="S27" s="956"/>
      <c r="T27" s="956"/>
      <c r="U27" s="956"/>
      <c r="V27" s="956"/>
      <c r="W27" s="956"/>
      <c r="X27" s="956"/>
      <c r="Y27" s="947"/>
      <c r="Z27" s="947"/>
      <c r="AA27" s="947"/>
      <c r="AB27" s="947"/>
      <c r="AC27" s="947"/>
    </row>
    <row r="28" spans="1:29" s="800" customFormat="1" ht="24.95" customHeight="1" x14ac:dyDescent="0.35">
      <c r="A28" s="968">
        <v>44855</v>
      </c>
      <c r="B28" s="925" t="s">
        <v>59</v>
      </c>
      <c r="C28" s="925"/>
      <c r="D28" s="925" t="s">
        <v>90</v>
      </c>
      <c r="E28" s="964" t="s">
        <v>168</v>
      </c>
      <c r="F28" s="964"/>
      <c r="G28" s="964" t="s">
        <v>118</v>
      </c>
      <c r="H28" s="925"/>
      <c r="I28" s="965"/>
      <c r="J28" s="965"/>
      <c r="K28" s="965"/>
      <c r="L28" s="965"/>
      <c r="M28" s="965"/>
      <c r="N28" s="965"/>
      <c r="O28" s="965">
        <v>3000</v>
      </c>
      <c r="P28" s="925" t="s">
        <v>22</v>
      </c>
      <c r="Q28" s="20"/>
      <c r="R28" s="957" t="s">
        <v>169</v>
      </c>
      <c r="S28" s="956"/>
      <c r="T28" s="956"/>
      <c r="U28" s="956"/>
      <c r="V28" s="956"/>
      <c r="W28" s="956"/>
      <c r="X28" s="956"/>
      <c r="Y28" s="947"/>
      <c r="Z28" s="947"/>
      <c r="AA28" s="947"/>
      <c r="AB28" s="947"/>
      <c r="AC28" s="947"/>
    </row>
    <row r="29" spans="1:29" s="800" customFormat="1" ht="24.95" customHeight="1" x14ac:dyDescent="0.35">
      <c r="A29" s="968">
        <v>44916</v>
      </c>
      <c r="B29" s="925" t="s">
        <v>59</v>
      </c>
      <c r="C29" s="925"/>
      <c r="D29" s="925" t="s">
        <v>90</v>
      </c>
      <c r="E29" s="964"/>
      <c r="F29" s="964">
        <v>2176</v>
      </c>
      <c r="G29" s="964" t="s">
        <v>118</v>
      </c>
      <c r="H29" s="925"/>
      <c r="I29" s="965"/>
      <c r="J29" s="965"/>
      <c r="K29" s="965"/>
      <c r="L29" s="965"/>
      <c r="M29" s="965"/>
      <c r="N29" s="965"/>
      <c r="O29" s="965">
        <v>186146</v>
      </c>
      <c r="P29" s="964"/>
      <c r="Q29" s="20"/>
      <c r="R29" s="957" t="s">
        <v>179</v>
      </c>
      <c r="S29" s="956"/>
      <c r="T29" s="956"/>
      <c r="U29" s="956"/>
      <c r="V29" s="956"/>
      <c r="W29" s="956"/>
      <c r="X29" s="956"/>
      <c r="Y29" s="947"/>
      <c r="Z29" s="947"/>
      <c r="AA29" s="947"/>
      <c r="AB29" s="947"/>
      <c r="AC29" s="947"/>
    </row>
    <row r="30" spans="1:29" s="813" customFormat="1" ht="24.95" customHeight="1" x14ac:dyDescent="0.35">
      <c r="A30" s="968">
        <v>44954</v>
      </c>
      <c r="B30" s="925" t="s">
        <v>145</v>
      </c>
      <c r="C30" s="925"/>
      <c r="D30" s="925" t="s">
        <v>92</v>
      </c>
      <c r="E30" s="964" t="s">
        <v>260</v>
      </c>
      <c r="F30" s="964"/>
      <c r="G30" s="964" t="s">
        <v>262</v>
      </c>
      <c r="H30" s="925"/>
      <c r="I30" s="965"/>
      <c r="J30" s="965"/>
      <c r="K30" s="965"/>
      <c r="L30" s="965"/>
      <c r="M30" s="965"/>
      <c r="N30" s="965"/>
      <c r="O30" s="965">
        <v>666000</v>
      </c>
      <c r="P30" s="925"/>
      <c r="Q30" s="20"/>
      <c r="R30" s="959" t="s">
        <v>264</v>
      </c>
      <c r="S30" s="960"/>
      <c r="T30" s="960"/>
      <c r="U30" s="960"/>
      <c r="V30" s="960"/>
      <c r="W30" s="960"/>
      <c r="X30" s="960"/>
      <c r="Y30" s="948"/>
      <c r="Z30" s="948"/>
      <c r="AA30" s="948"/>
      <c r="AB30" s="948"/>
      <c r="AC30" s="948"/>
    </row>
    <row r="31" spans="1:29" s="813" customFormat="1" ht="24.95" customHeight="1" x14ac:dyDescent="0.35">
      <c r="A31" s="968">
        <v>44954</v>
      </c>
      <c r="B31" s="925" t="s">
        <v>145</v>
      </c>
      <c r="C31" s="925"/>
      <c r="D31" s="925" t="s">
        <v>92</v>
      </c>
      <c r="E31" s="964" t="s">
        <v>261</v>
      </c>
      <c r="F31" s="964"/>
      <c r="G31" s="964" t="s">
        <v>263</v>
      </c>
      <c r="H31" s="925"/>
      <c r="I31" s="965"/>
      <c r="J31" s="965"/>
      <c r="K31" s="965"/>
      <c r="L31" s="965"/>
      <c r="M31" s="965"/>
      <c r="N31" s="965"/>
      <c r="O31" s="965">
        <v>657658.5</v>
      </c>
      <c r="P31" s="925"/>
      <c r="Q31" s="20"/>
      <c r="R31" s="959" t="s">
        <v>265</v>
      </c>
      <c r="S31" s="960"/>
      <c r="T31" s="960"/>
      <c r="U31" s="960"/>
      <c r="V31" s="960"/>
      <c r="W31" s="960"/>
      <c r="X31" s="960"/>
      <c r="Y31" s="948"/>
      <c r="Z31" s="948"/>
      <c r="AA31" s="948"/>
      <c r="AB31" s="948"/>
      <c r="AC31" s="948"/>
    </row>
    <row r="32" spans="1:29" s="782" customFormat="1" ht="24.95" customHeight="1" x14ac:dyDescent="0.35">
      <c r="A32" s="968">
        <v>44977</v>
      </c>
      <c r="B32" s="925" t="s">
        <v>110</v>
      </c>
      <c r="C32" s="925"/>
      <c r="D32" s="964" t="s">
        <v>92</v>
      </c>
      <c r="E32" s="964"/>
      <c r="F32" s="964"/>
      <c r="G32" s="964">
        <v>5407</v>
      </c>
      <c r="H32" s="925"/>
      <c r="I32" s="965"/>
      <c r="J32" s="965"/>
      <c r="K32" s="965"/>
      <c r="L32" s="965"/>
      <c r="M32" s="965"/>
      <c r="N32" s="965"/>
      <c r="O32" s="965">
        <v>89500</v>
      </c>
      <c r="P32" s="964"/>
      <c r="Q32" s="20"/>
      <c r="R32" s="954" t="s">
        <v>185</v>
      </c>
      <c r="S32" s="953"/>
      <c r="T32" s="953"/>
      <c r="U32" s="953"/>
      <c r="V32" s="953"/>
      <c r="W32" s="953"/>
      <c r="X32" s="953"/>
      <c r="Y32" s="945"/>
      <c r="Z32" s="945"/>
      <c r="AA32" s="945"/>
      <c r="AB32" s="945"/>
      <c r="AC32" s="945"/>
    </row>
    <row r="33" spans="1:29" s="782" customFormat="1" ht="24.95" customHeight="1" x14ac:dyDescent="0.35">
      <c r="A33" s="968" t="s">
        <v>190</v>
      </c>
      <c r="B33" s="925" t="s">
        <v>191</v>
      </c>
      <c r="C33" s="925"/>
      <c r="D33" s="925" t="s">
        <v>92</v>
      </c>
      <c r="E33" s="964"/>
      <c r="F33" s="964"/>
      <c r="G33" s="964" t="s">
        <v>118</v>
      </c>
      <c r="H33" s="925"/>
      <c r="I33" s="965"/>
      <c r="J33" s="965"/>
      <c r="K33" s="965"/>
      <c r="L33" s="965"/>
      <c r="M33" s="965"/>
      <c r="N33" s="965"/>
      <c r="O33" s="965">
        <v>67000</v>
      </c>
      <c r="P33" s="925" t="s">
        <v>22</v>
      </c>
      <c r="Q33" s="20"/>
      <c r="R33" s="954"/>
      <c r="S33" s="953"/>
      <c r="T33" s="953"/>
      <c r="U33" s="953"/>
      <c r="V33" s="953"/>
      <c r="W33" s="953"/>
      <c r="X33" s="953"/>
      <c r="Y33" s="945"/>
      <c r="Z33" s="945"/>
      <c r="AA33" s="945"/>
      <c r="AB33" s="945"/>
      <c r="AC33" s="945"/>
    </row>
    <row r="34" spans="1:29" s="813" customFormat="1" ht="24.95" customHeight="1" x14ac:dyDescent="0.35">
      <c r="A34" s="968">
        <v>45017</v>
      </c>
      <c r="B34" s="925" t="s">
        <v>145</v>
      </c>
      <c r="C34" s="925"/>
      <c r="D34" s="925" t="s">
        <v>92</v>
      </c>
      <c r="E34" s="964"/>
      <c r="F34" s="964"/>
      <c r="G34" s="964">
        <v>5460</v>
      </c>
      <c r="H34" s="925" t="s">
        <v>257</v>
      </c>
      <c r="I34" s="965"/>
      <c r="J34" s="965"/>
      <c r="K34" s="965"/>
      <c r="L34" s="965"/>
      <c r="M34" s="965"/>
      <c r="N34" s="965"/>
      <c r="O34" s="965">
        <v>413995.98</v>
      </c>
      <c r="P34" s="964"/>
      <c r="Q34" s="20"/>
      <c r="R34" s="959" t="s">
        <v>276</v>
      </c>
      <c r="S34" s="960"/>
      <c r="T34" s="960"/>
      <c r="U34" s="960"/>
      <c r="V34" s="960"/>
      <c r="W34" s="960"/>
      <c r="X34" s="960"/>
      <c r="Y34" s="948"/>
      <c r="Z34" s="948"/>
      <c r="AA34" s="948"/>
      <c r="AB34" s="948"/>
      <c r="AC34" s="948"/>
    </row>
    <row r="35" spans="1:29" s="749" customFormat="1" ht="24.95" customHeight="1" x14ac:dyDescent="0.35">
      <c r="A35" s="968">
        <v>45147</v>
      </c>
      <c r="B35" s="925" t="s">
        <v>205</v>
      </c>
      <c r="C35" s="925"/>
      <c r="D35" s="925" t="s">
        <v>92</v>
      </c>
      <c r="E35" s="964"/>
      <c r="F35" s="964"/>
      <c r="G35" s="964">
        <v>5568</v>
      </c>
      <c r="H35" s="925"/>
      <c r="I35" s="965"/>
      <c r="J35" s="965"/>
      <c r="K35" s="965"/>
      <c r="L35" s="965"/>
      <c r="M35" s="965"/>
      <c r="N35" s="965"/>
      <c r="O35" s="965">
        <v>10000</v>
      </c>
      <c r="P35" s="925" t="s">
        <v>210</v>
      </c>
      <c r="Q35" s="20"/>
      <c r="R35" s="951" t="s">
        <v>206</v>
      </c>
      <c r="S35" s="951"/>
      <c r="T35" s="951"/>
      <c r="U35" s="951"/>
      <c r="V35" s="951"/>
      <c r="W35" s="951"/>
      <c r="X35" s="951"/>
      <c r="Y35" s="944"/>
      <c r="Z35" s="944"/>
      <c r="AA35" s="944"/>
      <c r="AB35" s="944"/>
      <c r="AC35" s="944"/>
    </row>
    <row r="36" spans="1:29" s="813" customFormat="1" ht="24.95" customHeight="1" x14ac:dyDescent="0.35">
      <c r="A36" s="968">
        <v>45181</v>
      </c>
      <c r="B36" s="925" t="s">
        <v>145</v>
      </c>
      <c r="C36" s="925"/>
      <c r="D36" s="925" t="s">
        <v>90</v>
      </c>
      <c r="E36" s="964" t="s">
        <v>277</v>
      </c>
      <c r="F36" s="964"/>
      <c r="G36" s="964">
        <v>5606</v>
      </c>
      <c r="H36" s="925"/>
      <c r="I36" s="965"/>
      <c r="J36" s="965"/>
      <c r="K36" s="965"/>
      <c r="L36" s="965"/>
      <c r="M36" s="965"/>
      <c r="N36" s="965"/>
      <c r="O36" s="965">
        <v>676930.8</v>
      </c>
      <c r="P36" s="964"/>
      <c r="Q36" s="20"/>
      <c r="R36" s="959" t="s">
        <v>278</v>
      </c>
      <c r="S36" s="960"/>
      <c r="T36" s="960"/>
      <c r="U36" s="960"/>
      <c r="V36" s="960"/>
      <c r="W36" s="960"/>
      <c r="X36" s="960"/>
      <c r="Y36" s="948"/>
      <c r="Z36" s="948"/>
      <c r="AA36" s="948"/>
      <c r="AB36" s="948"/>
      <c r="AC36" s="948"/>
    </row>
    <row r="37" spans="1:29" s="782" customFormat="1" ht="24.95" customHeight="1" x14ac:dyDescent="0.35">
      <c r="A37" s="968">
        <v>45195</v>
      </c>
      <c r="B37" s="925" t="s">
        <v>271</v>
      </c>
      <c r="C37" s="925"/>
      <c r="D37" s="925" t="s">
        <v>92</v>
      </c>
      <c r="E37" s="964"/>
      <c r="F37" s="964"/>
      <c r="G37" s="964" t="s">
        <v>272</v>
      </c>
      <c r="H37" s="925"/>
      <c r="I37" s="965"/>
      <c r="J37" s="965"/>
      <c r="K37" s="965"/>
      <c r="L37" s="965"/>
      <c r="M37" s="965"/>
      <c r="N37" s="965"/>
      <c r="O37" s="965">
        <v>2339.29</v>
      </c>
      <c r="P37" s="964" t="s">
        <v>22</v>
      </c>
      <c r="Q37" s="20"/>
      <c r="R37" s="961" t="s">
        <v>273</v>
      </c>
      <c r="S37" s="953"/>
      <c r="T37" s="953"/>
      <c r="U37" s="953"/>
      <c r="V37" s="953"/>
      <c r="W37" s="953"/>
      <c r="X37" s="953"/>
      <c r="Y37" s="945"/>
      <c r="Z37" s="945"/>
      <c r="AA37" s="945"/>
      <c r="AB37" s="945"/>
      <c r="AC37" s="945"/>
    </row>
    <row r="38" spans="1:29" s="782" customFormat="1" ht="24.95" customHeight="1" x14ac:dyDescent="0.35">
      <c r="A38" s="968">
        <v>45310</v>
      </c>
      <c r="B38" s="964" t="s">
        <v>109</v>
      </c>
      <c r="C38" s="925"/>
      <c r="D38" s="964" t="s">
        <v>90</v>
      </c>
      <c r="E38" s="964"/>
      <c r="F38" s="964"/>
      <c r="G38" s="964" t="s">
        <v>327</v>
      </c>
      <c r="H38" s="925"/>
      <c r="I38" s="965"/>
      <c r="J38" s="965"/>
      <c r="K38" s="965"/>
      <c r="L38" s="965"/>
      <c r="M38" s="965"/>
      <c r="N38" s="965"/>
      <c r="O38" s="965">
        <v>16550</v>
      </c>
      <c r="P38" s="964" t="s">
        <v>22</v>
      </c>
      <c r="Q38" s="20"/>
      <c r="R38" s="954" t="s">
        <v>328</v>
      </c>
      <c r="S38" s="953"/>
      <c r="T38" s="953"/>
      <c r="U38" s="953"/>
      <c r="V38" s="953"/>
      <c r="W38" s="953"/>
      <c r="X38" s="953"/>
      <c r="Y38" s="945"/>
      <c r="Z38" s="945"/>
      <c r="AA38" s="945"/>
      <c r="AB38" s="945"/>
      <c r="AC38" s="945"/>
    </row>
    <row r="39" spans="1:29" s="813" customFormat="1" ht="24.95" customHeight="1" x14ac:dyDescent="0.35">
      <c r="A39" s="968">
        <f>SUM(G138)</f>
        <v>0</v>
      </c>
      <c r="B39" s="964" t="s">
        <v>37</v>
      </c>
      <c r="C39" s="925"/>
      <c r="D39" s="964" t="s">
        <v>90</v>
      </c>
      <c r="E39" s="964" t="s">
        <v>233</v>
      </c>
      <c r="F39" s="964"/>
      <c r="G39" s="964">
        <v>5714</v>
      </c>
      <c r="H39" s="925"/>
      <c r="I39" s="965"/>
      <c r="J39" s="965"/>
      <c r="K39" s="965"/>
      <c r="L39" s="965"/>
      <c r="M39" s="965"/>
      <c r="N39" s="965"/>
      <c r="O39" s="965">
        <v>150000</v>
      </c>
      <c r="P39" s="964"/>
      <c r="Q39" s="20"/>
      <c r="R39" s="959" t="s">
        <v>234</v>
      </c>
      <c r="S39" s="960"/>
      <c r="T39" s="960"/>
      <c r="U39" s="960"/>
      <c r="V39" s="960"/>
      <c r="W39" s="960"/>
      <c r="X39" s="960"/>
      <c r="Y39" s="948"/>
      <c r="Z39" s="948"/>
      <c r="AA39" s="948"/>
      <c r="AB39" s="948"/>
      <c r="AC39" s="948"/>
    </row>
    <row r="40" spans="1:29" s="782" customFormat="1" ht="24.95" customHeight="1" x14ac:dyDescent="0.35">
      <c r="A40" s="968">
        <v>45313</v>
      </c>
      <c r="B40" s="925" t="s">
        <v>230</v>
      </c>
      <c r="C40" s="925"/>
      <c r="D40" s="925" t="s">
        <v>92</v>
      </c>
      <c r="E40" s="964"/>
      <c r="F40" s="964"/>
      <c r="G40" s="964">
        <v>5715</v>
      </c>
      <c r="H40" s="925"/>
      <c r="I40" s="965"/>
      <c r="J40" s="965"/>
      <c r="K40" s="965"/>
      <c r="L40" s="965"/>
      <c r="M40" s="965"/>
      <c r="N40" s="965"/>
      <c r="O40" s="965">
        <v>78</v>
      </c>
      <c r="P40" s="925" t="s">
        <v>255</v>
      </c>
      <c r="Q40" s="20"/>
      <c r="R40" s="954" t="s">
        <v>231</v>
      </c>
      <c r="S40" s="953"/>
      <c r="T40" s="953"/>
      <c r="U40" s="953"/>
      <c r="V40" s="953"/>
      <c r="W40" s="953"/>
      <c r="X40" s="953"/>
      <c r="Y40" s="945"/>
      <c r="Z40" s="945"/>
      <c r="AA40" s="945"/>
      <c r="AB40" s="945"/>
      <c r="AC40" s="945"/>
    </row>
    <row r="41" spans="1:29" s="800" customFormat="1" ht="24.95" customHeight="1" x14ac:dyDescent="0.35">
      <c r="A41" s="968">
        <v>45343</v>
      </c>
      <c r="B41" s="925" t="s">
        <v>59</v>
      </c>
      <c r="C41" s="925"/>
      <c r="D41" s="925" t="s">
        <v>90</v>
      </c>
      <c r="E41" s="964" t="s">
        <v>238</v>
      </c>
      <c r="F41" s="964"/>
      <c r="G41" s="964" t="s">
        <v>118</v>
      </c>
      <c r="H41" s="925"/>
      <c r="I41" s="965"/>
      <c r="J41" s="965"/>
      <c r="K41" s="965"/>
      <c r="L41" s="965"/>
      <c r="M41" s="965"/>
      <c r="N41" s="965"/>
      <c r="O41" s="965">
        <v>22500</v>
      </c>
      <c r="P41" s="925" t="s">
        <v>22</v>
      </c>
      <c r="Q41" s="20"/>
      <c r="R41" s="957" t="s">
        <v>239</v>
      </c>
      <c r="S41" s="956"/>
      <c r="T41" s="956"/>
      <c r="U41" s="956"/>
      <c r="V41" s="956"/>
      <c r="W41" s="956"/>
      <c r="X41" s="956"/>
      <c r="Y41" s="947"/>
      <c r="Z41" s="947"/>
      <c r="AA41" s="947"/>
      <c r="AB41" s="947"/>
      <c r="AC41" s="947"/>
    </row>
    <row r="42" spans="1:29" s="782" customFormat="1" ht="24.95" customHeight="1" x14ac:dyDescent="0.35">
      <c r="A42" s="968">
        <v>45371</v>
      </c>
      <c r="B42" s="925" t="s">
        <v>250</v>
      </c>
      <c r="C42" s="925"/>
      <c r="D42" s="964" t="s">
        <v>221</v>
      </c>
      <c r="E42" s="964"/>
      <c r="F42" s="964"/>
      <c r="G42" s="964">
        <v>5769</v>
      </c>
      <c r="H42" s="925"/>
      <c r="I42" s="965"/>
      <c r="J42" s="965"/>
      <c r="K42" s="965"/>
      <c r="L42" s="965"/>
      <c r="M42" s="965"/>
      <c r="N42" s="965"/>
      <c r="O42" s="965">
        <v>250</v>
      </c>
      <c r="P42" s="925" t="s">
        <v>22</v>
      </c>
      <c r="Q42" s="20"/>
      <c r="R42" s="954" t="s">
        <v>251</v>
      </c>
      <c r="S42" s="953"/>
      <c r="T42" s="953"/>
      <c r="U42" s="953"/>
      <c r="V42" s="953"/>
      <c r="W42" s="953"/>
      <c r="X42" s="953"/>
      <c r="Y42" s="945"/>
      <c r="Z42" s="945"/>
      <c r="AA42" s="945"/>
      <c r="AB42" s="945"/>
      <c r="AC42" s="945"/>
    </row>
    <row r="43" spans="1:29" s="813" customFormat="1" ht="24.95" customHeight="1" x14ac:dyDescent="0.35">
      <c r="A43" s="968">
        <v>45386</v>
      </c>
      <c r="B43" s="925" t="s">
        <v>145</v>
      </c>
      <c r="C43" s="925"/>
      <c r="D43" s="964" t="s">
        <v>90</v>
      </c>
      <c r="E43" s="964"/>
      <c r="F43" s="964"/>
      <c r="G43" s="964">
        <v>5776</v>
      </c>
      <c r="H43" s="925"/>
      <c r="I43" s="965"/>
      <c r="J43" s="965"/>
      <c r="K43" s="965" t="s">
        <v>64</v>
      </c>
      <c r="L43" s="965"/>
      <c r="M43" s="965"/>
      <c r="N43" s="965"/>
      <c r="O43" s="965">
        <v>455997.92</v>
      </c>
      <c r="P43" s="925" t="s">
        <v>22</v>
      </c>
      <c r="Q43" s="20"/>
      <c r="R43" s="959" t="s">
        <v>256</v>
      </c>
      <c r="S43" s="960"/>
      <c r="T43" s="960"/>
      <c r="U43" s="960"/>
      <c r="V43" s="960"/>
      <c r="W43" s="960"/>
      <c r="X43" s="960"/>
      <c r="Y43" s="948"/>
      <c r="Z43" s="948"/>
      <c r="AA43" s="948"/>
      <c r="AB43" s="948"/>
      <c r="AC43" s="948"/>
    </row>
    <row r="44" spans="1:29" s="782" customFormat="1" ht="24.95" customHeight="1" x14ac:dyDescent="0.35">
      <c r="A44" s="968">
        <v>45458</v>
      </c>
      <c r="B44" s="925" t="s">
        <v>43</v>
      </c>
      <c r="C44" s="925"/>
      <c r="D44" s="964" t="s">
        <v>90</v>
      </c>
      <c r="E44" s="964"/>
      <c r="F44" s="964">
        <v>2355</v>
      </c>
      <c r="G44" s="964" t="s">
        <v>290</v>
      </c>
      <c r="H44" s="925"/>
      <c r="I44" s="965"/>
      <c r="J44" s="965"/>
      <c r="K44" s="965"/>
      <c r="L44" s="965"/>
      <c r="M44" s="965">
        <v>11059.82</v>
      </c>
      <c r="N44" s="965"/>
      <c r="O44" s="966"/>
      <c r="P44" s="964" t="s">
        <v>22</v>
      </c>
      <c r="Q44" s="20"/>
      <c r="R44" s="953" t="s">
        <v>350</v>
      </c>
      <c r="S44" s="953"/>
      <c r="T44" s="953"/>
      <c r="U44" s="953"/>
      <c r="V44" s="953"/>
      <c r="W44" s="953"/>
      <c r="X44" s="953"/>
      <c r="Y44" s="945"/>
      <c r="Z44" s="945"/>
      <c r="AA44" s="945"/>
      <c r="AB44" s="945"/>
      <c r="AC44" s="945"/>
    </row>
    <row r="45" spans="1:29" s="782" customFormat="1" ht="24.95" customHeight="1" x14ac:dyDescent="0.35">
      <c r="A45" s="968">
        <v>45512</v>
      </c>
      <c r="B45" s="925" t="s">
        <v>301</v>
      </c>
      <c r="C45" s="925"/>
      <c r="D45" s="964" t="s">
        <v>90</v>
      </c>
      <c r="E45" s="964"/>
      <c r="F45" s="964"/>
      <c r="G45" s="964">
        <v>5860</v>
      </c>
      <c r="H45" s="925"/>
      <c r="I45" s="965"/>
      <c r="J45" s="965"/>
      <c r="K45" s="965"/>
      <c r="L45" s="965"/>
      <c r="M45" s="965">
        <v>194000</v>
      </c>
      <c r="N45" s="965"/>
      <c r="O45" s="966"/>
      <c r="P45" s="964"/>
      <c r="Q45" s="20"/>
      <c r="R45" s="953"/>
      <c r="S45" s="953"/>
      <c r="T45" s="953"/>
      <c r="U45" s="953"/>
      <c r="V45" s="953"/>
      <c r="W45" s="953"/>
      <c r="X45" s="953"/>
      <c r="Y45" s="945"/>
      <c r="Z45" s="945"/>
      <c r="AA45" s="945"/>
      <c r="AB45" s="945"/>
      <c r="AC45" s="945"/>
    </row>
    <row r="46" spans="1:29" s="782" customFormat="1" ht="24.95" customHeight="1" x14ac:dyDescent="0.35">
      <c r="A46" s="968">
        <v>45539</v>
      </c>
      <c r="B46" s="925" t="s">
        <v>301</v>
      </c>
      <c r="C46" s="925"/>
      <c r="D46" s="964" t="s">
        <v>90</v>
      </c>
      <c r="E46" s="964"/>
      <c r="F46" s="964">
        <v>2387</v>
      </c>
      <c r="G46" s="964">
        <v>5879</v>
      </c>
      <c r="H46" s="925"/>
      <c r="I46" s="965"/>
      <c r="J46" s="965"/>
      <c r="K46" s="965"/>
      <c r="L46" s="965"/>
      <c r="M46" s="965"/>
      <c r="N46" s="965"/>
      <c r="O46" s="966">
        <v>1238500</v>
      </c>
      <c r="P46" s="964"/>
      <c r="Q46" s="20"/>
      <c r="R46" s="953"/>
      <c r="S46" s="953"/>
      <c r="T46" s="953"/>
      <c r="U46" s="953"/>
      <c r="V46" s="953"/>
      <c r="W46" s="953"/>
      <c r="X46" s="953"/>
      <c r="Y46" s="945"/>
      <c r="Z46" s="945"/>
      <c r="AA46" s="945"/>
      <c r="AB46" s="945"/>
      <c r="AC46" s="945"/>
    </row>
    <row r="47" spans="1:29" s="782" customFormat="1" ht="24.95" customHeight="1" x14ac:dyDescent="0.35">
      <c r="A47" s="968">
        <v>45539</v>
      </c>
      <c r="B47" s="925" t="s">
        <v>301</v>
      </c>
      <c r="C47" s="925"/>
      <c r="D47" s="964" t="s">
        <v>90</v>
      </c>
      <c r="E47" s="964"/>
      <c r="F47" s="964"/>
      <c r="G47" s="964">
        <v>5881</v>
      </c>
      <c r="H47" s="925"/>
      <c r="I47" s="965"/>
      <c r="J47" s="965"/>
      <c r="K47" s="965"/>
      <c r="L47" s="965"/>
      <c r="M47" s="965"/>
      <c r="N47" s="965"/>
      <c r="O47" s="966" t="s">
        <v>419</v>
      </c>
      <c r="P47" s="964"/>
      <c r="Q47" s="20"/>
      <c r="R47" s="953"/>
      <c r="S47" s="953"/>
      <c r="T47" s="953"/>
      <c r="U47" s="953"/>
      <c r="V47" s="953"/>
      <c r="W47" s="953"/>
      <c r="X47" s="953"/>
      <c r="Y47" s="945"/>
      <c r="Z47" s="945"/>
      <c r="AA47" s="945"/>
      <c r="AB47" s="945"/>
      <c r="AC47" s="945"/>
    </row>
    <row r="48" spans="1:29" s="782" customFormat="1" ht="24.95" customHeight="1" x14ac:dyDescent="0.35">
      <c r="A48" s="968">
        <v>45582</v>
      </c>
      <c r="B48" s="925" t="s">
        <v>417</v>
      </c>
      <c r="C48" s="925"/>
      <c r="D48" s="964" t="s">
        <v>90</v>
      </c>
      <c r="E48" s="964"/>
      <c r="F48" s="964"/>
      <c r="G48" s="964" t="s">
        <v>451</v>
      </c>
      <c r="H48" s="925"/>
      <c r="I48" s="965"/>
      <c r="J48" s="965"/>
      <c r="K48" s="965"/>
      <c r="L48" s="965"/>
      <c r="M48" s="965"/>
      <c r="N48" s="965"/>
      <c r="O48" s="965">
        <v>273520</v>
      </c>
      <c r="P48" s="964" t="s">
        <v>478</v>
      </c>
      <c r="Q48" s="20"/>
      <c r="R48" s="953" t="s">
        <v>412</v>
      </c>
      <c r="S48" s="953"/>
      <c r="T48" s="953"/>
      <c r="U48" s="953"/>
      <c r="V48" s="953"/>
      <c r="W48" s="953"/>
      <c r="X48" s="953"/>
      <c r="Y48" s="945"/>
      <c r="Z48" s="945"/>
      <c r="AA48" s="945"/>
      <c r="AB48" s="945"/>
      <c r="AC48" s="945"/>
    </row>
    <row r="49" spans="1:29" s="813" customFormat="1" ht="24.95" customHeight="1" x14ac:dyDescent="0.35">
      <c r="A49" s="968">
        <v>45601</v>
      </c>
      <c r="B49" s="925" t="s">
        <v>145</v>
      </c>
      <c r="C49" s="925"/>
      <c r="D49" s="964" t="s">
        <v>90</v>
      </c>
      <c r="E49" s="964"/>
      <c r="F49" s="964"/>
      <c r="G49" s="964">
        <v>5920</v>
      </c>
      <c r="H49" s="925"/>
      <c r="I49" s="965"/>
      <c r="J49" s="965" t="s">
        <v>354</v>
      </c>
      <c r="K49" s="965"/>
      <c r="L49" s="965"/>
      <c r="M49" s="965">
        <v>310000</v>
      </c>
      <c r="N49" s="965"/>
      <c r="O49" s="966"/>
      <c r="P49" s="964"/>
      <c r="Q49" s="20"/>
      <c r="R49" s="960" t="s">
        <v>355</v>
      </c>
      <c r="S49" s="960"/>
      <c r="T49" s="960"/>
      <c r="U49" s="960"/>
      <c r="V49" s="960"/>
      <c r="W49" s="960"/>
      <c r="X49" s="960"/>
      <c r="Y49" s="948"/>
      <c r="Z49" s="948"/>
      <c r="AA49" s="948"/>
      <c r="AB49" s="948"/>
      <c r="AC49" s="948"/>
    </row>
    <row r="50" spans="1:29" s="813" customFormat="1" ht="24.95" customHeight="1" x14ac:dyDescent="0.35">
      <c r="A50" s="968">
        <v>45601</v>
      </c>
      <c r="B50" s="925" t="s">
        <v>145</v>
      </c>
      <c r="C50" s="925"/>
      <c r="D50" s="964" t="s">
        <v>90</v>
      </c>
      <c r="E50" s="964"/>
      <c r="F50" s="964"/>
      <c r="G50" s="964">
        <v>5920</v>
      </c>
      <c r="H50" s="925"/>
      <c r="I50" s="965"/>
      <c r="J50" s="965" t="s">
        <v>354</v>
      </c>
      <c r="K50" s="965"/>
      <c r="L50" s="965"/>
      <c r="M50" s="965">
        <v>310000</v>
      </c>
      <c r="N50" s="965"/>
      <c r="O50" s="966"/>
      <c r="P50" s="964"/>
      <c r="Q50" s="20"/>
      <c r="R50" s="960" t="s">
        <v>355</v>
      </c>
      <c r="S50" s="960"/>
      <c r="T50" s="960"/>
      <c r="U50" s="960"/>
      <c r="V50" s="960"/>
      <c r="W50" s="960"/>
      <c r="X50" s="960"/>
      <c r="Y50" s="948"/>
      <c r="Z50" s="948"/>
      <c r="AA50" s="948"/>
      <c r="AB50" s="948"/>
      <c r="AC50" s="948"/>
    </row>
    <row r="51" spans="1:29" s="782" customFormat="1" ht="24.95" customHeight="1" x14ac:dyDescent="0.35">
      <c r="A51" s="968">
        <v>45630</v>
      </c>
      <c r="B51" s="925" t="s">
        <v>411</v>
      </c>
      <c r="C51" s="925"/>
      <c r="D51" s="964" t="s">
        <v>92</v>
      </c>
      <c r="E51" s="964"/>
      <c r="F51" s="964"/>
      <c r="G51" s="964">
        <v>5939</v>
      </c>
      <c r="H51" s="925"/>
      <c r="I51" s="965"/>
      <c r="J51" s="965"/>
      <c r="K51" s="965"/>
      <c r="L51" s="965"/>
      <c r="M51" s="965"/>
      <c r="N51" s="965"/>
      <c r="O51" s="965">
        <v>297900</v>
      </c>
      <c r="P51" s="964"/>
      <c r="Q51" s="20"/>
      <c r="R51" s="953" t="s">
        <v>399</v>
      </c>
      <c r="S51" s="953"/>
      <c r="T51" s="953"/>
      <c r="U51" s="953"/>
      <c r="V51" s="953"/>
      <c r="W51" s="953"/>
      <c r="X51" s="953"/>
      <c r="Y51" s="945"/>
      <c r="Z51" s="945"/>
      <c r="AA51" s="945"/>
      <c r="AB51" s="945"/>
      <c r="AC51" s="945"/>
    </row>
    <row r="52" spans="1:29" s="813" customFormat="1" ht="24.95" customHeight="1" x14ac:dyDescent="0.35">
      <c r="A52" s="968">
        <v>45680</v>
      </c>
      <c r="B52" s="925" t="s">
        <v>429</v>
      </c>
      <c r="C52" s="925"/>
      <c r="D52" s="964" t="s">
        <v>90</v>
      </c>
      <c r="E52" s="964"/>
      <c r="F52" s="964">
        <v>2343</v>
      </c>
      <c r="G52" s="964">
        <v>5979</v>
      </c>
      <c r="H52" s="925"/>
      <c r="I52" s="965"/>
      <c r="J52" s="965"/>
      <c r="K52" s="965"/>
      <c r="L52" s="965"/>
      <c r="M52" s="965"/>
      <c r="N52" s="965"/>
      <c r="O52" s="965">
        <v>45000</v>
      </c>
      <c r="P52" s="964"/>
      <c r="Q52" s="20"/>
      <c r="R52" s="960"/>
      <c r="S52" s="960"/>
      <c r="T52" s="960"/>
      <c r="U52" s="960"/>
      <c r="V52" s="960"/>
      <c r="W52" s="960"/>
      <c r="X52" s="960"/>
      <c r="Y52" s="948"/>
      <c r="Z52" s="948"/>
      <c r="AA52" s="948"/>
      <c r="AB52" s="948"/>
      <c r="AC52" s="948"/>
    </row>
    <row r="53" spans="1:29" s="782" customFormat="1" ht="24.95" customHeight="1" x14ac:dyDescent="0.35">
      <c r="A53" s="968">
        <v>45682</v>
      </c>
      <c r="B53" s="925" t="s">
        <v>431</v>
      </c>
      <c r="C53" s="925"/>
      <c r="D53" s="964" t="s">
        <v>92</v>
      </c>
      <c r="E53" s="964"/>
      <c r="F53" s="964"/>
      <c r="G53" s="964">
        <v>6012</v>
      </c>
      <c r="H53" s="925"/>
      <c r="I53" s="965"/>
      <c r="J53" s="965"/>
      <c r="K53" s="965"/>
      <c r="L53" s="965"/>
      <c r="M53" s="965"/>
      <c r="N53" s="965"/>
      <c r="O53" s="965">
        <v>32500</v>
      </c>
      <c r="P53" s="964"/>
      <c r="Q53" s="20"/>
      <c r="R53" s="953"/>
      <c r="S53" s="953"/>
      <c r="T53" s="953"/>
      <c r="U53" s="953"/>
      <c r="V53" s="953"/>
      <c r="W53" s="953"/>
      <c r="X53" s="953"/>
      <c r="Y53" s="945"/>
      <c r="Z53" s="945"/>
      <c r="AA53" s="945"/>
      <c r="AB53" s="945"/>
      <c r="AC53" s="945"/>
    </row>
    <row r="54" spans="1:29" s="782" customFormat="1" ht="24.95" customHeight="1" x14ac:dyDescent="0.35">
      <c r="A54" s="968"/>
      <c r="B54" s="925" t="s">
        <v>270</v>
      </c>
      <c r="C54" s="925"/>
      <c r="D54" s="964" t="s">
        <v>90</v>
      </c>
      <c r="E54" s="964"/>
      <c r="F54" s="964"/>
      <c r="G54" s="964">
        <v>5950</v>
      </c>
      <c r="H54" s="925"/>
      <c r="I54" s="965"/>
      <c r="J54" s="965"/>
      <c r="K54" s="965"/>
      <c r="L54" s="965"/>
      <c r="M54" s="965"/>
      <c r="N54" s="965"/>
      <c r="O54" s="965" t="s">
        <v>419</v>
      </c>
      <c r="P54" s="964"/>
      <c r="Q54" s="20"/>
      <c r="R54" s="953"/>
      <c r="S54" s="953"/>
      <c r="T54" s="953"/>
      <c r="U54" s="953"/>
      <c r="V54" s="953"/>
      <c r="W54" s="953"/>
      <c r="X54" s="953"/>
      <c r="Y54" s="945"/>
      <c r="Z54" s="945"/>
      <c r="AA54" s="945"/>
      <c r="AB54" s="945"/>
      <c r="AC54" s="945"/>
    </row>
    <row r="55" spans="1:29" s="941" customFormat="1" ht="24.95" customHeight="1" x14ac:dyDescent="0.35">
      <c r="A55" s="968">
        <v>45685</v>
      </c>
      <c r="B55" s="925" t="s">
        <v>473</v>
      </c>
      <c r="C55" s="925"/>
      <c r="D55" s="964" t="s">
        <v>90</v>
      </c>
      <c r="E55" s="964"/>
      <c r="F55" s="964"/>
      <c r="G55" s="964">
        <v>5982</v>
      </c>
      <c r="H55" s="925"/>
      <c r="I55" s="965"/>
      <c r="J55" s="965"/>
      <c r="K55" s="965"/>
      <c r="L55" s="965"/>
      <c r="M55" s="965"/>
      <c r="N55" s="965"/>
      <c r="O55" s="965">
        <v>133000</v>
      </c>
      <c r="P55" s="964"/>
      <c r="Q55" s="20"/>
      <c r="R55" s="962"/>
      <c r="S55" s="962"/>
      <c r="T55" s="962"/>
      <c r="U55" s="962"/>
      <c r="V55" s="962"/>
      <c r="W55" s="962"/>
      <c r="X55" s="962"/>
      <c r="Y55" s="949"/>
      <c r="Z55" s="949"/>
      <c r="AA55" s="949"/>
      <c r="AB55" s="949"/>
      <c r="AC55" s="949"/>
    </row>
    <row r="56" spans="1:29" s="941" customFormat="1" ht="24.95" customHeight="1" x14ac:dyDescent="0.35">
      <c r="A56" s="968" t="s">
        <v>421</v>
      </c>
      <c r="B56" s="925" t="s">
        <v>301</v>
      </c>
      <c r="C56" s="925"/>
      <c r="D56" s="964" t="s">
        <v>90</v>
      </c>
      <c r="E56" s="964"/>
      <c r="F56" s="964"/>
      <c r="G56" s="964">
        <v>5984</v>
      </c>
      <c r="H56" s="925"/>
      <c r="I56" s="965"/>
      <c r="J56" s="965"/>
      <c r="K56" s="965"/>
      <c r="L56" s="965"/>
      <c r="M56" s="965"/>
      <c r="N56" s="965"/>
      <c r="O56" s="965">
        <v>698000</v>
      </c>
      <c r="P56" s="964"/>
      <c r="Q56" s="20"/>
      <c r="R56" s="962"/>
      <c r="S56" s="962"/>
      <c r="T56" s="962"/>
      <c r="U56" s="962"/>
      <c r="V56" s="962"/>
      <c r="W56" s="962"/>
      <c r="X56" s="962"/>
      <c r="Y56" s="949"/>
      <c r="Z56" s="949"/>
      <c r="AA56" s="949"/>
      <c r="AB56" s="949"/>
      <c r="AC56" s="949"/>
    </row>
    <row r="57" spans="1:29" s="749" customFormat="1" ht="24.95" customHeight="1" x14ac:dyDescent="0.35">
      <c r="A57" s="968" t="s">
        <v>421</v>
      </c>
      <c r="B57" s="925" t="s">
        <v>301</v>
      </c>
      <c r="C57" s="925"/>
      <c r="D57" s="964" t="s">
        <v>90</v>
      </c>
      <c r="E57" s="964"/>
      <c r="F57" s="964"/>
      <c r="G57" s="964">
        <v>5985</v>
      </c>
      <c r="H57" s="925"/>
      <c r="I57" s="965"/>
      <c r="J57" s="965"/>
      <c r="K57" s="965"/>
      <c r="L57" s="965"/>
      <c r="M57" s="965"/>
      <c r="N57" s="965"/>
      <c r="O57" s="965">
        <v>695000</v>
      </c>
      <c r="P57" s="964"/>
      <c r="Q57" s="20"/>
      <c r="R57" s="951"/>
      <c r="S57" s="951" t="s">
        <v>435</v>
      </c>
      <c r="T57" s="951"/>
      <c r="U57" s="951"/>
      <c r="V57" s="951"/>
      <c r="W57" s="951"/>
      <c r="X57" s="951"/>
      <c r="Y57" s="944"/>
      <c r="Z57" s="944"/>
      <c r="AA57" s="944"/>
      <c r="AB57" s="944"/>
      <c r="AC57" s="944"/>
    </row>
    <row r="58" spans="1:29" s="749" customFormat="1" ht="24.95" customHeight="1" x14ac:dyDescent="0.35">
      <c r="A58" s="968">
        <v>45700</v>
      </c>
      <c r="B58" s="925" t="s">
        <v>439</v>
      </c>
      <c r="C58" s="925"/>
      <c r="D58" s="964" t="s">
        <v>90</v>
      </c>
      <c r="E58" s="964" t="s">
        <v>519</v>
      </c>
      <c r="F58" s="964"/>
      <c r="G58" s="964">
        <v>5990</v>
      </c>
      <c r="H58" s="925"/>
      <c r="I58" s="965"/>
      <c r="J58" s="965"/>
      <c r="K58" s="965"/>
      <c r="L58" s="965"/>
      <c r="M58" s="965"/>
      <c r="N58" s="965"/>
      <c r="O58" s="965" t="s">
        <v>440</v>
      </c>
      <c r="P58" s="964"/>
      <c r="Q58" s="20"/>
      <c r="R58" s="951"/>
      <c r="S58" s="951"/>
      <c r="T58" s="951"/>
      <c r="U58" s="951"/>
      <c r="V58" s="951"/>
      <c r="W58" s="951"/>
      <c r="X58" s="951"/>
      <c r="Y58" s="944"/>
      <c r="Z58" s="944"/>
      <c r="AA58" s="944"/>
      <c r="AB58" s="944"/>
      <c r="AC58" s="944"/>
    </row>
    <row r="59" spans="1:29" s="749" customFormat="1" ht="24.95" customHeight="1" x14ac:dyDescent="0.35">
      <c r="A59" s="968" t="s">
        <v>421</v>
      </c>
      <c r="B59" s="925" t="s">
        <v>301</v>
      </c>
      <c r="C59" s="925"/>
      <c r="D59" s="964" t="s">
        <v>90</v>
      </c>
      <c r="E59" s="964"/>
      <c r="F59" s="964"/>
      <c r="G59" s="964">
        <v>5992</v>
      </c>
      <c r="H59" s="925"/>
      <c r="I59" s="965"/>
      <c r="J59" s="965"/>
      <c r="K59" s="965"/>
      <c r="L59" s="965"/>
      <c r="M59" s="965"/>
      <c r="N59" s="965"/>
      <c r="O59" s="965">
        <v>54500</v>
      </c>
      <c r="P59" s="964"/>
      <c r="Q59" s="20"/>
      <c r="R59" s="951"/>
      <c r="S59" s="951"/>
      <c r="T59" s="951"/>
      <c r="U59" s="951"/>
      <c r="V59" s="951"/>
      <c r="W59" s="951"/>
      <c r="X59" s="951"/>
      <c r="Y59" s="944"/>
      <c r="Z59" s="944"/>
      <c r="AA59" s="944"/>
      <c r="AB59" s="944"/>
      <c r="AC59" s="944"/>
    </row>
    <row r="60" spans="1:29" s="749" customFormat="1" ht="24.95" customHeight="1" x14ac:dyDescent="0.35">
      <c r="A60" s="968">
        <v>45708</v>
      </c>
      <c r="B60" s="925" t="s">
        <v>436</v>
      </c>
      <c r="C60" s="925"/>
      <c r="D60" s="964" t="s">
        <v>92</v>
      </c>
      <c r="E60" s="964"/>
      <c r="F60" s="964"/>
      <c r="G60" s="964" t="s">
        <v>443</v>
      </c>
      <c r="H60" s="925"/>
      <c r="I60" s="965"/>
      <c r="J60" s="965"/>
      <c r="K60" s="965"/>
      <c r="L60" s="965"/>
      <c r="M60" s="965"/>
      <c r="N60" s="965"/>
      <c r="O60" s="965" t="s">
        <v>419</v>
      </c>
      <c r="P60" s="964"/>
      <c r="Q60" s="20"/>
      <c r="R60" s="951"/>
      <c r="S60" s="951"/>
      <c r="T60" s="951"/>
      <c r="U60" s="951"/>
      <c r="V60" s="951"/>
      <c r="W60" s="951"/>
      <c r="X60" s="951"/>
      <c r="Y60" s="944"/>
      <c r="Z60" s="944"/>
      <c r="AA60" s="944"/>
      <c r="AB60" s="944"/>
      <c r="AC60" s="944"/>
    </row>
    <row r="61" spans="1:29" s="749" customFormat="1" ht="24.95" customHeight="1" x14ac:dyDescent="0.35">
      <c r="A61" s="968">
        <v>45708</v>
      </c>
      <c r="B61" s="925" t="s">
        <v>237</v>
      </c>
      <c r="C61" s="925"/>
      <c r="D61" s="964" t="s">
        <v>90</v>
      </c>
      <c r="E61" s="964"/>
      <c r="F61" s="964"/>
      <c r="G61" s="964" t="s">
        <v>610</v>
      </c>
      <c r="H61" s="925"/>
      <c r="I61" s="965"/>
      <c r="J61" s="965"/>
      <c r="K61" s="965"/>
      <c r="L61" s="965"/>
      <c r="M61" s="965"/>
      <c r="N61" s="965"/>
      <c r="O61" s="965">
        <v>353248.55</v>
      </c>
      <c r="P61" s="964" t="s">
        <v>616</v>
      </c>
      <c r="Q61" s="20"/>
      <c r="R61" s="951"/>
      <c r="S61" s="951"/>
      <c r="T61" s="951"/>
      <c r="U61" s="951"/>
      <c r="V61" s="951"/>
      <c r="W61" s="951"/>
      <c r="X61" s="951"/>
      <c r="Y61" s="944"/>
      <c r="Z61" s="944"/>
      <c r="AA61" s="944"/>
      <c r="AB61" s="944"/>
      <c r="AC61" s="944"/>
    </row>
    <row r="62" spans="1:29" s="749" customFormat="1" ht="24.95" customHeight="1" x14ac:dyDescent="0.35">
      <c r="A62" s="968" t="s">
        <v>421</v>
      </c>
      <c r="B62" s="925" t="s">
        <v>321</v>
      </c>
      <c r="C62" s="925"/>
      <c r="D62" s="964" t="s">
        <v>90</v>
      </c>
      <c r="E62" s="964"/>
      <c r="F62" s="964"/>
      <c r="G62" s="964" t="s">
        <v>452</v>
      </c>
      <c r="H62" s="925"/>
      <c r="I62" s="965"/>
      <c r="J62" s="965"/>
      <c r="K62" s="965"/>
      <c r="L62" s="965"/>
      <c r="M62" s="965"/>
      <c r="N62" s="965"/>
      <c r="O62" s="965">
        <v>263066.96999999997</v>
      </c>
      <c r="P62" s="964" t="s">
        <v>616</v>
      </c>
      <c r="Q62" s="20"/>
      <c r="R62" s="951"/>
      <c r="S62" s="951"/>
      <c r="T62" s="951"/>
      <c r="U62" s="951"/>
      <c r="V62" s="951"/>
      <c r="W62" s="951"/>
      <c r="X62" s="951"/>
      <c r="Y62" s="944"/>
      <c r="Z62" s="944"/>
      <c r="AA62" s="944"/>
      <c r="AB62" s="944"/>
      <c r="AC62" s="944"/>
    </row>
    <row r="63" spans="1:29" s="749" customFormat="1" ht="24.95" customHeight="1" x14ac:dyDescent="0.35">
      <c r="A63" s="968" t="s">
        <v>421</v>
      </c>
      <c r="B63" s="925" t="s">
        <v>417</v>
      </c>
      <c r="C63" s="925"/>
      <c r="D63" s="964" t="s">
        <v>90</v>
      </c>
      <c r="E63" s="964"/>
      <c r="F63" s="964"/>
      <c r="G63" s="964" t="s">
        <v>456</v>
      </c>
      <c r="H63" s="925"/>
      <c r="I63" s="965"/>
      <c r="J63" s="965"/>
      <c r="K63" s="965"/>
      <c r="L63" s="965"/>
      <c r="M63" s="965"/>
      <c r="N63" s="965"/>
      <c r="O63" s="965" t="s">
        <v>419</v>
      </c>
      <c r="P63" s="964"/>
      <c r="Q63" s="20"/>
      <c r="R63" s="951"/>
      <c r="S63" s="951"/>
      <c r="T63" s="951"/>
      <c r="U63" s="951"/>
      <c r="V63" s="951"/>
      <c r="W63" s="951"/>
      <c r="X63" s="951"/>
      <c r="Y63" s="944"/>
      <c r="Z63" s="944"/>
      <c r="AA63" s="944"/>
      <c r="AB63" s="944"/>
      <c r="AC63" s="944"/>
    </row>
    <row r="64" spans="1:29" s="749" customFormat="1" ht="24.95" customHeight="1" x14ac:dyDescent="0.35">
      <c r="A64" s="968">
        <v>45723</v>
      </c>
      <c r="B64" s="925" t="s">
        <v>474</v>
      </c>
      <c r="C64" s="925"/>
      <c r="D64" s="964" t="s">
        <v>92</v>
      </c>
      <c r="E64" s="964"/>
      <c r="F64" s="964"/>
      <c r="G64" s="964">
        <v>5993</v>
      </c>
      <c r="H64" s="925"/>
      <c r="I64" s="965"/>
      <c r="J64" s="965"/>
      <c r="K64" s="965"/>
      <c r="L64" s="965"/>
      <c r="M64" s="965"/>
      <c r="N64" s="965" t="s">
        <v>419</v>
      </c>
      <c r="O64" s="966"/>
      <c r="P64" s="964"/>
      <c r="Q64" s="20"/>
      <c r="R64" s="951"/>
      <c r="S64" s="951"/>
      <c r="T64" s="951"/>
      <c r="U64" s="951"/>
      <c r="V64" s="951"/>
      <c r="W64" s="951"/>
      <c r="X64" s="951"/>
      <c r="Y64" s="944"/>
      <c r="Z64" s="944"/>
      <c r="AA64" s="944"/>
      <c r="AB64" s="944"/>
      <c r="AC64" s="944"/>
    </row>
    <row r="65" spans="1:29" s="749" customFormat="1" ht="24.95" customHeight="1" x14ac:dyDescent="0.35">
      <c r="A65" s="968">
        <v>45727</v>
      </c>
      <c r="B65" s="925" t="s">
        <v>301</v>
      </c>
      <c r="C65" s="925"/>
      <c r="D65" s="964" t="s">
        <v>90</v>
      </c>
      <c r="E65" s="964"/>
      <c r="F65" s="964"/>
      <c r="G65" s="964" t="s">
        <v>599</v>
      </c>
      <c r="H65" s="925"/>
      <c r="I65" s="965"/>
      <c r="J65" s="965"/>
      <c r="K65" s="965"/>
      <c r="L65" s="965"/>
      <c r="M65" s="965"/>
      <c r="N65" s="965">
        <v>2198000</v>
      </c>
      <c r="O65" s="966"/>
      <c r="P65" s="964"/>
      <c r="Q65" s="20"/>
      <c r="R65" s="951"/>
      <c r="S65" s="951"/>
      <c r="T65" s="951"/>
      <c r="U65" s="951"/>
      <c r="V65" s="951"/>
      <c r="W65" s="951"/>
      <c r="X65" s="951"/>
      <c r="Y65" s="944"/>
      <c r="Z65" s="944"/>
      <c r="AA65" s="944"/>
      <c r="AB65" s="944"/>
      <c r="AC65" s="944"/>
    </row>
    <row r="66" spans="1:29" s="749" customFormat="1" ht="24.95" customHeight="1" x14ac:dyDescent="0.35">
      <c r="A66" s="968">
        <v>45727</v>
      </c>
      <c r="B66" s="925" t="s">
        <v>477</v>
      </c>
      <c r="C66" s="925"/>
      <c r="D66" s="964" t="s">
        <v>90</v>
      </c>
      <c r="E66" s="964"/>
      <c r="F66" s="964"/>
      <c r="G66" s="964" t="s">
        <v>475</v>
      </c>
      <c r="H66" s="925"/>
      <c r="I66" s="965"/>
      <c r="J66" s="965"/>
      <c r="K66" s="965"/>
      <c r="L66" s="965"/>
      <c r="M66" s="965"/>
      <c r="N66" s="965">
        <v>246350</v>
      </c>
      <c r="O66" s="966"/>
      <c r="P66" s="964"/>
      <c r="Q66" s="950"/>
      <c r="R66" s="951"/>
      <c r="S66" s="951"/>
      <c r="T66" s="951"/>
      <c r="U66" s="951"/>
      <c r="V66" s="951"/>
      <c r="W66" s="951"/>
      <c r="X66" s="951"/>
      <c r="Y66" s="944"/>
      <c r="Z66" s="944"/>
      <c r="AA66" s="944"/>
      <c r="AB66" s="944"/>
      <c r="AC66" s="944"/>
    </row>
    <row r="67" spans="1:29" s="749" customFormat="1" ht="24.95" customHeight="1" x14ac:dyDescent="0.35">
      <c r="A67" s="968">
        <v>45731</v>
      </c>
      <c r="B67" s="925" t="s">
        <v>480</v>
      </c>
      <c r="C67" s="925"/>
      <c r="D67" s="964" t="s">
        <v>90</v>
      </c>
      <c r="E67" s="964"/>
      <c r="F67" s="964"/>
      <c r="G67" s="964" t="s">
        <v>481</v>
      </c>
      <c r="H67" s="925"/>
      <c r="I67" s="965"/>
      <c r="J67" s="965"/>
      <c r="K67" s="965"/>
      <c r="L67" s="965"/>
      <c r="M67" s="965"/>
      <c r="N67" s="965" t="s">
        <v>419</v>
      </c>
      <c r="O67" s="966"/>
      <c r="P67" s="964"/>
      <c r="Q67" s="950"/>
      <c r="R67" s="951"/>
      <c r="S67" s="951"/>
      <c r="T67" s="951"/>
      <c r="U67" s="951"/>
      <c r="V67" s="951"/>
      <c r="W67" s="951"/>
      <c r="X67" s="951"/>
      <c r="Y67" s="944"/>
      <c r="Z67" s="944"/>
      <c r="AA67" s="944"/>
      <c r="AB67" s="944"/>
      <c r="AC67" s="944"/>
    </row>
    <row r="68" spans="1:29" s="749" customFormat="1" ht="24.95" customHeight="1" x14ac:dyDescent="0.35">
      <c r="A68" s="968" t="s">
        <v>421</v>
      </c>
      <c r="B68" s="925" t="s">
        <v>409</v>
      </c>
      <c r="C68" s="925"/>
      <c r="D68" s="964" t="s">
        <v>90</v>
      </c>
      <c r="E68" s="964"/>
      <c r="F68" s="964"/>
      <c r="G68" s="964">
        <v>5987</v>
      </c>
      <c r="H68" s="925"/>
      <c r="I68" s="965"/>
      <c r="J68" s="965"/>
      <c r="K68" s="965"/>
      <c r="L68" s="965"/>
      <c r="M68" s="965"/>
      <c r="N68" s="965" t="s">
        <v>419</v>
      </c>
      <c r="O68" s="966"/>
      <c r="P68" s="964"/>
      <c r="Q68" s="950"/>
      <c r="R68" s="951"/>
      <c r="S68" s="951"/>
      <c r="T68" s="951"/>
      <c r="U68" s="951"/>
      <c r="V68" s="951"/>
      <c r="W68" s="951"/>
      <c r="X68" s="951"/>
      <c r="Y68" s="944"/>
      <c r="Z68" s="944"/>
      <c r="AA68" s="944"/>
      <c r="AB68" s="944"/>
      <c r="AC68" s="944"/>
    </row>
    <row r="69" spans="1:29" s="749" customFormat="1" ht="24.95" customHeight="1" x14ac:dyDescent="0.35">
      <c r="A69" s="968">
        <v>45748</v>
      </c>
      <c r="B69" s="925" t="s">
        <v>489</v>
      </c>
      <c r="C69" s="925"/>
      <c r="D69" s="964" t="s">
        <v>90</v>
      </c>
      <c r="E69" s="964"/>
      <c r="F69" s="964"/>
      <c r="G69" s="964" t="s">
        <v>587</v>
      </c>
      <c r="H69" s="925"/>
      <c r="I69" s="965"/>
      <c r="J69" s="965"/>
      <c r="K69" s="965"/>
      <c r="L69" s="965"/>
      <c r="M69" s="965"/>
      <c r="N69" s="965">
        <v>244995</v>
      </c>
      <c r="O69" s="966"/>
      <c r="P69" s="964"/>
      <c r="Q69" s="950"/>
      <c r="R69" s="951"/>
      <c r="S69" s="951"/>
      <c r="T69" s="951"/>
      <c r="U69" s="951"/>
      <c r="V69" s="951"/>
      <c r="W69" s="951"/>
      <c r="X69" s="951"/>
      <c r="Y69" s="944"/>
      <c r="Z69" s="944"/>
      <c r="AA69" s="944"/>
      <c r="AB69" s="944"/>
      <c r="AC69" s="944"/>
    </row>
    <row r="70" spans="1:29" s="749" customFormat="1" ht="24.95" customHeight="1" x14ac:dyDescent="0.35">
      <c r="A70" s="968">
        <v>45749</v>
      </c>
      <c r="B70" s="925" t="s">
        <v>431</v>
      </c>
      <c r="C70" s="925"/>
      <c r="D70" s="964" t="s">
        <v>90</v>
      </c>
      <c r="E70" s="964"/>
      <c r="F70" s="964"/>
      <c r="G70" s="964" t="s">
        <v>493</v>
      </c>
      <c r="H70" s="925"/>
      <c r="I70" s="965"/>
      <c r="J70" s="965"/>
      <c r="K70" s="965"/>
      <c r="L70" s="965"/>
      <c r="M70" s="965"/>
      <c r="N70" s="965">
        <v>32500</v>
      </c>
      <c r="O70" s="966"/>
      <c r="P70" s="964"/>
      <c r="Q70" s="950"/>
      <c r="R70" s="951"/>
      <c r="S70" s="951"/>
      <c r="T70" s="951"/>
      <c r="U70" s="951"/>
      <c r="V70" s="951"/>
      <c r="W70" s="951"/>
      <c r="X70" s="951"/>
      <c r="Y70" s="944"/>
      <c r="Z70" s="944"/>
      <c r="AA70" s="944"/>
      <c r="AB70" s="944"/>
      <c r="AC70" s="944"/>
    </row>
    <row r="71" spans="1:29" s="749" customFormat="1" ht="24.95" customHeight="1" x14ac:dyDescent="0.35">
      <c r="A71" s="968">
        <v>45749</v>
      </c>
      <c r="B71" s="925" t="s">
        <v>431</v>
      </c>
      <c r="C71" s="925"/>
      <c r="D71" s="964" t="s">
        <v>90</v>
      </c>
      <c r="E71" s="964"/>
      <c r="F71" s="964"/>
      <c r="G71" s="964" t="s">
        <v>494</v>
      </c>
      <c r="H71" s="925"/>
      <c r="I71" s="965"/>
      <c r="J71" s="965"/>
      <c r="K71" s="965"/>
      <c r="L71" s="965"/>
      <c r="M71" s="965"/>
      <c r="N71" s="965">
        <v>7500</v>
      </c>
      <c r="O71" s="966"/>
      <c r="P71" s="964"/>
      <c r="Q71" s="950"/>
      <c r="R71" s="951"/>
      <c r="S71" s="951"/>
      <c r="T71" s="951"/>
      <c r="U71" s="951"/>
      <c r="V71" s="951"/>
      <c r="W71" s="951"/>
      <c r="X71" s="951"/>
      <c r="Y71" s="944"/>
      <c r="Z71" s="944"/>
      <c r="AA71" s="944"/>
      <c r="AB71" s="944"/>
      <c r="AC71" s="944"/>
    </row>
    <row r="72" spans="1:29" s="749" customFormat="1" ht="24.95" customHeight="1" x14ac:dyDescent="0.35">
      <c r="A72" s="968">
        <v>45750</v>
      </c>
      <c r="B72" s="925" t="s">
        <v>446</v>
      </c>
      <c r="C72" s="925"/>
      <c r="D72" s="964" t="s">
        <v>90</v>
      </c>
      <c r="E72" s="964"/>
      <c r="F72" s="964"/>
      <c r="G72" s="964" t="s">
        <v>495</v>
      </c>
      <c r="H72" s="925"/>
      <c r="I72" s="965"/>
      <c r="J72" s="965"/>
      <c r="K72" s="965"/>
      <c r="L72" s="965"/>
      <c r="M72" s="965"/>
      <c r="N72" s="965">
        <v>339500</v>
      </c>
      <c r="O72" s="966"/>
      <c r="P72" s="964"/>
      <c r="Q72" s="950"/>
      <c r="R72" s="951"/>
      <c r="S72" s="951"/>
      <c r="T72" s="951"/>
      <c r="U72" s="951"/>
      <c r="V72" s="951"/>
      <c r="W72" s="951"/>
      <c r="X72" s="951"/>
      <c r="Y72" s="944"/>
      <c r="Z72" s="944"/>
      <c r="AA72" s="944"/>
      <c r="AB72" s="944"/>
      <c r="AC72" s="944"/>
    </row>
    <row r="73" spans="1:29" s="749" customFormat="1" ht="24.95" customHeight="1" x14ac:dyDescent="0.35">
      <c r="A73" s="968">
        <v>45750</v>
      </c>
      <c r="B73" s="925" t="s">
        <v>446</v>
      </c>
      <c r="C73" s="925"/>
      <c r="D73" s="964" t="s">
        <v>90</v>
      </c>
      <c r="E73" s="964"/>
      <c r="F73" s="964"/>
      <c r="G73" s="964" t="s">
        <v>496</v>
      </c>
      <c r="H73" s="925"/>
      <c r="I73" s="965"/>
      <c r="J73" s="965"/>
      <c r="K73" s="965"/>
      <c r="L73" s="965"/>
      <c r="M73" s="965"/>
      <c r="N73" s="965">
        <v>339500</v>
      </c>
      <c r="O73" s="966"/>
      <c r="P73" s="964"/>
      <c r="Q73" s="950"/>
      <c r="R73" s="951"/>
      <c r="S73" s="951"/>
      <c r="T73" s="951"/>
      <c r="U73" s="951"/>
      <c r="V73" s="951"/>
      <c r="W73" s="951"/>
      <c r="X73" s="951"/>
      <c r="Y73" s="944"/>
      <c r="Z73" s="944"/>
      <c r="AA73" s="944"/>
      <c r="AB73" s="944"/>
      <c r="AC73" s="944"/>
    </row>
    <row r="74" spans="1:29" s="749" customFormat="1" ht="24.95" customHeight="1" x14ac:dyDescent="0.35">
      <c r="A74" s="968" t="s">
        <v>421</v>
      </c>
      <c r="B74" s="925" t="s">
        <v>301</v>
      </c>
      <c r="C74" s="925"/>
      <c r="D74" s="964" t="s">
        <v>90</v>
      </c>
      <c r="E74" s="964"/>
      <c r="F74" s="964"/>
      <c r="G74" s="964" t="s">
        <v>498</v>
      </c>
      <c r="H74" s="925"/>
      <c r="I74" s="965"/>
      <c r="J74" s="965"/>
      <c r="K74" s="965"/>
      <c r="L74" s="965"/>
      <c r="M74" s="965"/>
      <c r="N74" s="965">
        <v>167500</v>
      </c>
      <c r="O74" s="966"/>
      <c r="P74" s="964"/>
      <c r="Q74" s="950"/>
      <c r="R74" s="951"/>
      <c r="S74" s="951"/>
      <c r="T74" s="951"/>
      <c r="U74" s="951"/>
      <c r="V74" s="951"/>
      <c r="W74" s="951"/>
      <c r="X74" s="951"/>
      <c r="Y74" s="944"/>
      <c r="Z74" s="944"/>
      <c r="AA74" s="944"/>
      <c r="AB74" s="944"/>
      <c r="AC74" s="944"/>
    </row>
    <row r="75" spans="1:29" s="749" customFormat="1" ht="24.95" customHeight="1" x14ac:dyDescent="0.35">
      <c r="A75" s="968">
        <v>45751</v>
      </c>
      <c r="B75" s="925" t="s">
        <v>237</v>
      </c>
      <c r="C75" s="925"/>
      <c r="D75" s="964" t="s">
        <v>90</v>
      </c>
      <c r="E75" s="964"/>
      <c r="F75" s="964"/>
      <c r="G75" s="964" t="s">
        <v>499</v>
      </c>
      <c r="H75" s="925"/>
      <c r="I75" s="965"/>
      <c r="J75" s="965"/>
      <c r="K75" s="965"/>
      <c r="L75" s="965"/>
      <c r="M75" s="965"/>
      <c r="N75" s="965" t="s">
        <v>419</v>
      </c>
      <c r="O75" s="966"/>
      <c r="P75" s="964"/>
      <c r="Q75" s="950"/>
      <c r="R75" s="951"/>
      <c r="S75" s="951"/>
      <c r="T75" s="951"/>
      <c r="U75" s="951"/>
      <c r="V75" s="951"/>
      <c r="W75" s="951"/>
      <c r="X75" s="951"/>
      <c r="Y75" s="944"/>
      <c r="Z75" s="944"/>
      <c r="AA75" s="944"/>
      <c r="AB75" s="944"/>
      <c r="AC75" s="944"/>
    </row>
    <row r="76" spans="1:29" s="749" customFormat="1" ht="24.95" customHeight="1" x14ac:dyDescent="0.35">
      <c r="A76" s="968" t="s">
        <v>421</v>
      </c>
      <c r="B76" s="925" t="s">
        <v>500</v>
      </c>
      <c r="C76" s="925"/>
      <c r="D76" s="964" t="s">
        <v>92</v>
      </c>
      <c r="E76" s="964"/>
      <c r="F76" s="964"/>
      <c r="G76" s="964" t="s">
        <v>501</v>
      </c>
      <c r="H76" s="925"/>
      <c r="I76" s="965"/>
      <c r="J76" s="965"/>
      <c r="K76" s="965"/>
      <c r="L76" s="965"/>
      <c r="M76" s="965"/>
      <c r="N76" s="965" t="s">
        <v>419</v>
      </c>
      <c r="O76" s="966"/>
      <c r="P76" s="964"/>
      <c r="Q76" s="950"/>
      <c r="R76" s="951"/>
      <c r="S76" s="951"/>
      <c r="T76" s="951"/>
      <c r="U76" s="951"/>
      <c r="V76" s="951"/>
      <c r="W76" s="951"/>
      <c r="X76" s="951"/>
      <c r="Y76" s="944"/>
      <c r="Z76" s="944"/>
      <c r="AA76" s="944"/>
      <c r="AB76" s="944"/>
      <c r="AC76" s="944"/>
    </row>
    <row r="77" spans="1:29" s="749" customFormat="1" ht="24.95" customHeight="1" x14ac:dyDescent="0.35">
      <c r="A77" s="968" t="s">
        <v>421</v>
      </c>
      <c r="B77" s="925" t="s">
        <v>301</v>
      </c>
      <c r="C77" s="925"/>
      <c r="D77" s="964" t="s">
        <v>90</v>
      </c>
      <c r="E77" s="964"/>
      <c r="F77" s="964"/>
      <c r="G77" s="964" t="s">
        <v>503</v>
      </c>
      <c r="H77" s="925"/>
      <c r="I77" s="965"/>
      <c r="J77" s="965"/>
      <c r="K77" s="965"/>
      <c r="L77" s="965"/>
      <c r="M77" s="965"/>
      <c r="N77" s="965" t="s">
        <v>419</v>
      </c>
      <c r="O77" s="966"/>
      <c r="P77" s="964"/>
      <c r="Q77" s="950"/>
      <c r="R77" s="951"/>
      <c r="S77" s="951"/>
      <c r="T77" s="951"/>
      <c r="U77" s="951"/>
      <c r="V77" s="951"/>
      <c r="W77" s="951"/>
      <c r="X77" s="951"/>
      <c r="Y77" s="944"/>
      <c r="Z77" s="944"/>
      <c r="AA77" s="944"/>
      <c r="AB77" s="944"/>
      <c r="AC77" s="944"/>
    </row>
    <row r="78" spans="1:29" s="749" customFormat="1" ht="24.95" customHeight="1" x14ac:dyDescent="0.35">
      <c r="A78" s="968" t="s">
        <v>421</v>
      </c>
      <c r="B78" s="925" t="s">
        <v>505</v>
      </c>
      <c r="C78" s="925"/>
      <c r="D78" s="964" t="s">
        <v>92</v>
      </c>
      <c r="E78" s="964"/>
      <c r="F78" s="964"/>
      <c r="G78" s="964" t="s">
        <v>506</v>
      </c>
      <c r="H78" s="925"/>
      <c r="I78" s="965"/>
      <c r="J78" s="965"/>
      <c r="K78" s="965"/>
      <c r="L78" s="965"/>
      <c r="M78" s="965"/>
      <c r="N78" s="965">
        <v>130450</v>
      </c>
      <c r="O78" s="966"/>
      <c r="P78" s="964"/>
      <c r="Q78" s="950"/>
      <c r="R78" s="951"/>
      <c r="S78" s="951"/>
      <c r="T78" s="951"/>
      <c r="U78" s="951"/>
      <c r="V78" s="951"/>
      <c r="W78" s="951"/>
      <c r="X78" s="951"/>
      <c r="Y78" s="944"/>
      <c r="Z78" s="944"/>
      <c r="AA78" s="944"/>
      <c r="AB78" s="944"/>
      <c r="AC78" s="944"/>
    </row>
    <row r="79" spans="1:29" s="749" customFormat="1" ht="24.95" customHeight="1" x14ac:dyDescent="0.35">
      <c r="A79" s="968" t="s">
        <v>421</v>
      </c>
      <c r="B79" s="925" t="s">
        <v>237</v>
      </c>
      <c r="C79" s="925"/>
      <c r="D79" s="964" t="s">
        <v>90</v>
      </c>
      <c r="E79" s="964"/>
      <c r="F79" s="964"/>
      <c r="G79" s="964" t="s">
        <v>514</v>
      </c>
      <c r="H79" s="925"/>
      <c r="I79" s="965"/>
      <c r="J79" s="965"/>
      <c r="K79" s="965"/>
      <c r="L79" s="965"/>
      <c r="M79" s="965"/>
      <c r="N79" s="965" t="s">
        <v>419</v>
      </c>
      <c r="O79" s="966"/>
      <c r="P79" s="964"/>
      <c r="Q79" s="950"/>
      <c r="R79" s="951"/>
      <c r="S79" s="951"/>
      <c r="T79" s="951"/>
      <c r="U79" s="951"/>
      <c r="V79" s="951"/>
      <c r="W79" s="951"/>
      <c r="X79" s="951"/>
      <c r="Y79" s="944"/>
      <c r="Z79" s="944"/>
      <c r="AA79" s="944"/>
      <c r="AB79" s="944"/>
      <c r="AC79" s="944"/>
    </row>
    <row r="80" spans="1:29" s="749" customFormat="1" ht="24.95" customHeight="1" x14ac:dyDescent="0.35">
      <c r="A80" s="968">
        <v>45776</v>
      </c>
      <c r="B80" s="925" t="s">
        <v>321</v>
      </c>
      <c r="C80" s="925"/>
      <c r="D80" s="964" t="s">
        <v>90</v>
      </c>
      <c r="E80" s="964"/>
      <c r="F80" s="964"/>
      <c r="G80" s="964" t="s">
        <v>605</v>
      </c>
      <c r="H80" s="925"/>
      <c r="I80" s="965"/>
      <c r="J80" s="965"/>
      <c r="K80" s="965"/>
      <c r="L80" s="965"/>
      <c r="M80" s="965"/>
      <c r="N80" s="965">
        <v>517500</v>
      </c>
      <c r="O80" s="966"/>
      <c r="P80" s="964"/>
      <c r="Q80" s="950"/>
      <c r="R80" s="951"/>
      <c r="S80" s="951"/>
      <c r="T80" s="951"/>
      <c r="U80" s="951"/>
      <c r="V80" s="951"/>
      <c r="W80" s="951"/>
      <c r="X80" s="951"/>
      <c r="Y80" s="944"/>
      <c r="Z80" s="944"/>
      <c r="AA80" s="944"/>
      <c r="AB80" s="944"/>
      <c r="AC80" s="944"/>
    </row>
    <row r="81" spans="1:29" s="749" customFormat="1" ht="24.95" customHeight="1" x14ac:dyDescent="0.35">
      <c r="A81" s="968" t="s">
        <v>421</v>
      </c>
      <c r="B81" s="925" t="s">
        <v>301</v>
      </c>
      <c r="C81" s="925"/>
      <c r="D81" s="964" t="s">
        <v>90</v>
      </c>
      <c r="E81" s="964"/>
      <c r="F81" s="964"/>
      <c r="G81" s="964" t="s">
        <v>518</v>
      </c>
      <c r="H81" s="925"/>
      <c r="I81" s="965"/>
      <c r="J81" s="965"/>
      <c r="K81" s="965"/>
      <c r="L81" s="965"/>
      <c r="M81" s="965"/>
      <c r="N81" s="965">
        <v>280000</v>
      </c>
      <c r="O81" s="966"/>
      <c r="P81" s="964"/>
      <c r="Q81" s="950"/>
      <c r="R81" s="951"/>
      <c r="S81" s="951"/>
      <c r="T81" s="951"/>
      <c r="U81" s="951"/>
      <c r="V81" s="951"/>
      <c r="W81" s="951"/>
      <c r="X81" s="951"/>
      <c r="Y81" s="944"/>
      <c r="Z81" s="944"/>
      <c r="AA81" s="944"/>
      <c r="AB81" s="944"/>
      <c r="AC81" s="944"/>
    </row>
    <row r="82" spans="1:29" s="749" customFormat="1" ht="24.95" customHeight="1" x14ac:dyDescent="0.35">
      <c r="A82" s="968">
        <v>45790</v>
      </c>
      <c r="B82" s="925" t="s">
        <v>483</v>
      </c>
      <c r="C82" s="925"/>
      <c r="D82" s="964" t="s">
        <v>90</v>
      </c>
      <c r="E82" s="964"/>
      <c r="F82" s="964"/>
      <c r="G82" s="964" t="s">
        <v>520</v>
      </c>
      <c r="H82" s="925"/>
      <c r="I82" s="965"/>
      <c r="J82" s="965"/>
      <c r="K82" s="965"/>
      <c r="L82" s="965"/>
      <c r="M82" s="965">
        <v>487467.5</v>
      </c>
      <c r="N82" s="965"/>
      <c r="O82" s="966"/>
      <c r="P82" s="964"/>
      <c r="Q82" s="950"/>
      <c r="R82" s="951"/>
      <c r="S82" s="951"/>
      <c r="T82" s="951"/>
      <c r="U82" s="951"/>
      <c r="V82" s="951"/>
      <c r="W82" s="951"/>
      <c r="X82" s="951"/>
      <c r="Y82" s="944"/>
      <c r="Z82" s="944"/>
      <c r="AA82" s="944"/>
      <c r="AB82" s="944"/>
      <c r="AC82" s="944"/>
    </row>
    <row r="83" spans="1:29" s="749" customFormat="1" ht="24.95" customHeight="1" x14ac:dyDescent="0.35">
      <c r="A83" s="968" t="s">
        <v>421</v>
      </c>
      <c r="B83" s="925" t="s">
        <v>524</v>
      </c>
      <c r="C83" s="925"/>
      <c r="D83" s="964" t="s">
        <v>92</v>
      </c>
      <c r="E83" s="964"/>
      <c r="F83" s="964"/>
      <c r="G83" s="964" t="s">
        <v>525</v>
      </c>
      <c r="H83" s="925"/>
      <c r="I83" s="965"/>
      <c r="J83" s="965"/>
      <c r="K83" s="965"/>
      <c r="L83" s="965"/>
      <c r="M83" s="965">
        <v>77261.850000000006</v>
      </c>
      <c r="N83" s="965"/>
      <c r="O83" s="966"/>
      <c r="P83" s="964"/>
      <c r="Q83" s="950"/>
      <c r="R83" s="951"/>
      <c r="S83" s="951"/>
      <c r="T83" s="951"/>
      <c r="U83" s="951"/>
      <c r="V83" s="951"/>
      <c r="W83" s="951"/>
      <c r="X83" s="951"/>
      <c r="Y83" s="944"/>
      <c r="Z83" s="944"/>
      <c r="AA83" s="944"/>
      <c r="AB83" s="944"/>
      <c r="AC83" s="944"/>
    </row>
    <row r="84" spans="1:29" s="749" customFormat="1" ht="24.95" customHeight="1" x14ac:dyDescent="0.35">
      <c r="A84" s="968" t="s">
        <v>421</v>
      </c>
      <c r="B84" s="925" t="s">
        <v>115</v>
      </c>
      <c r="C84" s="925"/>
      <c r="D84" s="964" t="s">
        <v>90</v>
      </c>
      <c r="E84" s="964"/>
      <c r="F84" s="964"/>
      <c r="G84" s="964" t="s">
        <v>531</v>
      </c>
      <c r="H84" s="925"/>
      <c r="I84" s="965"/>
      <c r="J84" s="965"/>
      <c r="K84" s="965"/>
      <c r="L84" s="965"/>
      <c r="M84" s="965">
        <v>782600</v>
      </c>
      <c r="N84" s="965"/>
      <c r="O84" s="966"/>
      <c r="P84" s="964"/>
      <c r="Q84" s="950"/>
      <c r="R84" s="951"/>
      <c r="S84" s="951"/>
      <c r="T84" s="951"/>
      <c r="U84" s="951"/>
      <c r="V84" s="951"/>
      <c r="W84" s="951"/>
      <c r="X84" s="951"/>
      <c r="Y84" s="944"/>
      <c r="Z84" s="944"/>
      <c r="AA84" s="944"/>
      <c r="AB84" s="944"/>
      <c r="AC84" s="944"/>
    </row>
    <row r="85" spans="1:29" s="749" customFormat="1" ht="24.95" customHeight="1" x14ac:dyDescent="0.35">
      <c r="A85" s="968">
        <v>45804</v>
      </c>
      <c r="B85" s="925" t="s">
        <v>533</v>
      </c>
      <c r="C85" s="925"/>
      <c r="D85" s="964" t="s">
        <v>92</v>
      </c>
      <c r="E85" s="964"/>
      <c r="F85" s="964"/>
      <c r="G85" s="964" t="s">
        <v>534</v>
      </c>
      <c r="H85" s="925"/>
      <c r="I85" s="965"/>
      <c r="J85" s="965"/>
      <c r="K85" s="965"/>
      <c r="L85" s="965"/>
      <c r="M85" s="965" t="s">
        <v>419</v>
      </c>
      <c r="N85" s="965"/>
      <c r="O85" s="966"/>
      <c r="P85" s="964"/>
      <c r="Q85" s="950"/>
      <c r="R85" s="951"/>
      <c r="S85" s="951"/>
      <c r="T85" s="951"/>
      <c r="U85" s="951"/>
      <c r="V85" s="951"/>
      <c r="W85" s="951"/>
      <c r="X85" s="951"/>
      <c r="Y85" s="944"/>
      <c r="Z85" s="944"/>
      <c r="AA85" s="944"/>
      <c r="AB85" s="944"/>
      <c r="AC85" s="944"/>
    </row>
    <row r="86" spans="1:29" s="749" customFormat="1" ht="24.95" customHeight="1" x14ac:dyDescent="0.35">
      <c r="A86" s="968">
        <v>45817</v>
      </c>
      <c r="B86" s="925" t="s">
        <v>432</v>
      </c>
      <c r="C86" s="925"/>
      <c r="D86" s="964" t="s">
        <v>90</v>
      </c>
      <c r="E86" s="964"/>
      <c r="F86" s="964"/>
      <c r="G86" s="964" t="s">
        <v>556</v>
      </c>
      <c r="H86" s="925"/>
      <c r="I86" s="965"/>
      <c r="J86" s="965" t="s">
        <v>419</v>
      </c>
      <c r="K86" s="965"/>
      <c r="L86" s="965"/>
      <c r="M86" s="965"/>
      <c r="N86" s="965"/>
      <c r="O86" s="966"/>
      <c r="P86" s="964"/>
      <c r="Q86" s="950"/>
      <c r="R86" s="951"/>
      <c r="S86" s="951"/>
      <c r="T86" s="951"/>
      <c r="U86" s="951"/>
      <c r="V86" s="951"/>
      <c r="W86" s="951"/>
      <c r="X86" s="951"/>
      <c r="Y86" s="944"/>
      <c r="Z86" s="944"/>
      <c r="AA86" s="944"/>
      <c r="AB86" s="944"/>
      <c r="AC86" s="944"/>
    </row>
    <row r="87" spans="1:29" s="749" customFormat="1" ht="24.95" customHeight="1" x14ac:dyDescent="0.35">
      <c r="A87" s="968">
        <v>45818</v>
      </c>
      <c r="B87" s="925" t="s">
        <v>546</v>
      </c>
      <c r="C87" s="925"/>
      <c r="D87" s="964" t="s">
        <v>90</v>
      </c>
      <c r="E87" s="964"/>
      <c r="F87" s="964"/>
      <c r="G87" s="964" t="s">
        <v>547</v>
      </c>
      <c r="H87" s="925"/>
      <c r="I87" s="965"/>
      <c r="J87" s="965">
        <v>173500</v>
      </c>
      <c r="K87" s="965"/>
      <c r="L87" s="965"/>
      <c r="M87" s="965"/>
      <c r="N87" s="965"/>
      <c r="O87" s="966"/>
      <c r="P87" s="964"/>
      <c r="Q87" s="950"/>
      <c r="R87" s="951"/>
      <c r="S87" s="951"/>
      <c r="T87" s="951"/>
      <c r="U87" s="951"/>
      <c r="V87" s="951"/>
      <c r="W87" s="951"/>
      <c r="X87" s="951"/>
      <c r="Y87" s="944"/>
      <c r="Z87" s="944"/>
      <c r="AA87" s="944"/>
      <c r="AB87" s="944"/>
      <c r="AC87" s="944"/>
    </row>
    <row r="88" spans="1:29" s="749" customFormat="1" ht="24.95" customHeight="1" x14ac:dyDescent="0.35">
      <c r="A88" s="968" t="s">
        <v>421</v>
      </c>
      <c r="B88" s="925" t="s">
        <v>301</v>
      </c>
      <c r="C88" s="925"/>
      <c r="D88" s="964" t="s">
        <v>90</v>
      </c>
      <c r="E88" s="964"/>
      <c r="F88" s="964"/>
      <c r="G88" s="964" t="s">
        <v>582</v>
      </c>
      <c r="H88" s="925"/>
      <c r="I88" s="965"/>
      <c r="J88" s="965"/>
      <c r="K88" s="965"/>
      <c r="L88" s="965">
        <v>948000</v>
      </c>
      <c r="M88" s="965"/>
      <c r="N88" s="965"/>
      <c r="O88" s="966"/>
      <c r="P88" s="964"/>
      <c r="Q88" s="950"/>
      <c r="R88" s="951"/>
      <c r="S88" s="951"/>
      <c r="T88" s="951"/>
      <c r="U88" s="951"/>
      <c r="V88" s="951"/>
      <c r="W88" s="951"/>
      <c r="X88" s="951"/>
      <c r="Y88" s="944"/>
      <c r="Z88" s="944"/>
      <c r="AA88" s="944"/>
      <c r="AB88" s="944"/>
      <c r="AC88" s="944"/>
    </row>
    <row r="89" spans="1:29" s="749" customFormat="1" ht="24.95" customHeight="1" x14ac:dyDescent="0.35">
      <c r="A89" s="968">
        <v>45828</v>
      </c>
      <c r="B89" s="925" t="s">
        <v>428</v>
      </c>
      <c r="C89" s="925"/>
      <c r="D89" s="964" t="s">
        <v>92</v>
      </c>
      <c r="E89" s="964"/>
      <c r="F89" s="964"/>
      <c r="G89" s="964" t="s">
        <v>559</v>
      </c>
      <c r="H89" s="925"/>
      <c r="I89" s="965"/>
      <c r="J89" s="965" t="s">
        <v>419</v>
      </c>
      <c r="K89" s="965"/>
      <c r="L89" s="965"/>
      <c r="M89" s="965"/>
      <c r="N89" s="965"/>
      <c r="O89" s="966"/>
      <c r="P89" s="964"/>
      <c r="Q89" s="950"/>
      <c r="R89" s="951"/>
      <c r="S89" s="951"/>
      <c r="T89" s="951"/>
      <c r="U89" s="951"/>
      <c r="V89" s="951"/>
      <c r="W89" s="951"/>
      <c r="X89" s="951"/>
      <c r="Y89" s="944"/>
      <c r="Z89" s="944"/>
      <c r="AA89" s="944"/>
      <c r="AB89" s="944"/>
      <c r="AC89" s="944"/>
    </row>
    <row r="90" spans="1:29" s="749" customFormat="1" ht="24.95" customHeight="1" x14ac:dyDescent="0.35">
      <c r="A90" s="968" t="s">
        <v>421</v>
      </c>
      <c r="B90" s="925" t="s">
        <v>549</v>
      </c>
      <c r="C90" s="925"/>
      <c r="D90" s="964" t="s">
        <v>282</v>
      </c>
      <c r="E90" s="964"/>
      <c r="F90" s="964"/>
      <c r="G90" s="964" t="s">
        <v>611</v>
      </c>
      <c r="H90" s="925"/>
      <c r="I90" s="965"/>
      <c r="J90" s="965"/>
      <c r="K90" s="965"/>
      <c r="L90" s="965">
        <v>296359</v>
      </c>
      <c r="M90" s="965"/>
      <c r="N90" s="965"/>
      <c r="O90" s="966"/>
      <c r="P90" s="964"/>
      <c r="Q90" s="950"/>
      <c r="R90" s="951"/>
      <c r="S90" s="951"/>
      <c r="T90" s="951"/>
      <c r="U90" s="951"/>
      <c r="V90" s="951"/>
      <c r="W90" s="951"/>
      <c r="X90" s="951"/>
      <c r="Y90" s="944"/>
      <c r="Z90" s="944"/>
      <c r="AA90" s="944"/>
      <c r="AB90" s="944"/>
      <c r="AC90" s="944"/>
    </row>
    <row r="91" spans="1:29" s="749" customFormat="1" ht="24.95" customHeight="1" x14ac:dyDescent="0.35">
      <c r="A91" s="968" t="s">
        <v>421</v>
      </c>
      <c r="B91" s="925" t="s">
        <v>301</v>
      </c>
      <c r="C91" s="925"/>
      <c r="D91" s="964" t="s">
        <v>90</v>
      </c>
      <c r="E91" s="964"/>
      <c r="F91" s="964"/>
      <c r="G91" s="964" t="s">
        <v>550</v>
      </c>
      <c r="H91" s="925"/>
      <c r="I91" s="965"/>
      <c r="J91" s="965"/>
      <c r="K91" s="965"/>
      <c r="L91" s="965">
        <v>174800</v>
      </c>
      <c r="M91" s="965"/>
      <c r="N91" s="965"/>
      <c r="O91" s="966"/>
      <c r="P91" s="964"/>
      <c r="Q91" s="963"/>
      <c r="R91" s="554"/>
      <c r="S91" s="554"/>
      <c r="T91" s="554"/>
      <c r="U91" s="554"/>
      <c r="V91" s="554"/>
      <c r="W91" s="554"/>
      <c r="X91" s="554"/>
    </row>
    <row r="92" spans="1:29" s="749" customFormat="1" ht="24.95" customHeight="1" x14ac:dyDescent="0.35">
      <c r="A92" s="968" t="s">
        <v>557</v>
      </c>
      <c r="B92" s="925" t="s">
        <v>446</v>
      </c>
      <c r="C92" s="925"/>
      <c r="D92" s="964" t="s">
        <v>90</v>
      </c>
      <c r="E92" s="964"/>
      <c r="F92" s="964"/>
      <c r="G92" s="964" t="s">
        <v>590</v>
      </c>
      <c r="H92" s="925"/>
      <c r="I92" s="965"/>
      <c r="J92" s="965"/>
      <c r="K92" s="965"/>
      <c r="L92" s="965">
        <v>363300</v>
      </c>
      <c r="M92" s="965"/>
      <c r="N92" s="965"/>
      <c r="O92" s="966"/>
      <c r="P92" s="964"/>
      <c r="Q92" s="963"/>
      <c r="R92" s="554"/>
      <c r="S92" s="554"/>
      <c r="T92" s="554"/>
      <c r="U92" s="554"/>
      <c r="V92" s="554"/>
      <c r="W92" s="554"/>
      <c r="X92" s="554"/>
    </row>
    <row r="93" spans="1:29" s="749" customFormat="1" ht="24.95" customHeight="1" x14ac:dyDescent="0.35">
      <c r="A93" s="968" t="s">
        <v>421</v>
      </c>
      <c r="B93" s="925" t="s">
        <v>446</v>
      </c>
      <c r="C93" s="925"/>
      <c r="D93" s="964" t="s">
        <v>90</v>
      </c>
      <c r="E93" s="964"/>
      <c r="F93" s="964"/>
      <c r="G93" s="964" t="s">
        <v>540</v>
      </c>
      <c r="H93" s="925"/>
      <c r="I93" s="965"/>
      <c r="J93" s="965"/>
      <c r="K93" s="965"/>
      <c r="L93" s="965" t="s">
        <v>419</v>
      </c>
      <c r="M93" s="965"/>
      <c r="N93" s="965"/>
      <c r="O93" s="966"/>
      <c r="P93" s="964"/>
      <c r="Q93" s="963"/>
      <c r="R93" s="554"/>
      <c r="S93" s="554"/>
      <c r="T93" s="554"/>
      <c r="U93" s="554"/>
      <c r="V93" s="554"/>
      <c r="W93" s="554"/>
      <c r="X93" s="554"/>
    </row>
    <row r="94" spans="1:29" s="749" customFormat="1" ht="24.95" customHeight="1" x14ac:dyDescent="0.35">
      <c r="A94" s="968">
        <v>45854</v>
      </c>
      <c r="B94" s="925" t="s">
        <v>560</v>
      </c>
      <c r="C94" s="925"/>
      <c r="D94" s="964" t="s">
        <v>90</v>
      </c>
      <c r="E94" s="964"/>
      <c r="F94" s="964"/>
      <c r="G94" s="964" t="s">
        <v>561</v>
      </c>
      <c r="H94" s="925"/>
      <c r="I94" s="965"/>
      <c r="J94" s="965"/>
      <c r="K94" s="965">
        <v>469985</v>
      </c>
      <c r="L94" s="965"/>
      <c r="M94" s="965"/>
      <c r="N94" s="965"/>
      <c r="O94" s="966"/>
      <c r="P94" s="964"/>
      <c r="Q94" s="963"/>
      <c r="R94" s="554"/>
      <c r="S94" s="554"/>
      <c r="T94" s="554"/>
      <c r="U94" s="554"/>
      <c r="V94" s="554"/>
      <c r="W94" s="554"/>
      <c r="X94" s="554"/>
    </row>
    <row r="95" spans="1:29" s="749" customFormat="1" ht="24.95" customHeight="1" x14ac:dyDescent="0.35">
      <c r="A95" s="968">
        <v>45854</v>
      </c>
      <c r="B95" s="925" t="s">
        <v>560</v>
      </c>
      <c r="C95" s="925"/>
      <c r="D95" s="964" t="s">
        <v>90</v>
      </c>
      <c r="E95" s="964"/>
      <c r="F95" s="964"/>
      <c r="G95" s="964" t="s">
        <v>562</v>
      </c>
      <c r="H95" s="925"/>
      <c r="I95" s="965"/>
      <c r="J95" s="965"/>
      <c r="K95" s="965" t="s">
        <v>419</v>
      </c>
      <c r="L95" s="965"/>
      <c r="M95" s="965"/>
      <c r="N95" s="965"/>
      <c r="O95" s="966"/>
      <c r="P95" s="964"/>
      <c r="Q95" s="963"/>
      <c r="R95" s="554"/>
      <c r="S95" s="554"/>
      <c r="T95" s="554"/>
      <c r="U95" s="554"/>
      <c r="V95" s="554"/>
      <c r="W95" s="554"/>
      <c r="X95" s="554"/>
    </row>
    <row r="96" spans="1:29" s="749" customFormat="1" ht="24.95" customHeight="1" x14ac:dyDescent="0.35">
      <c r="A96" s="968" t="s">
        <v>557</v>
      </c>
      <c r="B96" s="925" t="s">
        <v>563</v>
      </c>
      <c r="C96" s="925"/>
      <c r="D96" s="964" t="s">
        <v>92</v>
      </c>
      <c r="E96" s="964"/>
      <c r="F96" s="964"/>
      <c r="G96" s="964" t="s">
        <v>564</v>
      </c>
      <c r="H96" s="925"/>
      <c r="I96" s="965"/>
      <c r="J96" s="965"/>
      <c r="K96" s="965">
        <v>115000</v>
      </c>
      <c r="L96" s="965"/>
      <c r="M96" s="965"/>
      <c r="N96" s="965"/>
      <c r="O96" s="966"/>
      <c r="P96" s="964"/>
      <c r="Q96" s="963"/>
      <c r="R96" s="554"/>
      <c r="S96" s="554"/>
      <c r="T96" s="554"/>
      <c r="U96" s="554"/>
      <c r="V96" s="554"/>
      <c r="W96" s="554"/>
      <c r="X96" s="554"/>
    </row>
    <row r="97" spans="1:24" s="749" customFormat="1" ht="24.95" customHeight="1" x14ac:dyDescent="0.35">
      <c r="A97" s="968" t="s">
        <v>421</v>
      </c>
      <c r="B97" s="925" t="s">
        <v>563</v>
      </c>
      <c r="C97" s="925"/>
      <c r="D97" s="964" t="s">
        <v>92</v>
      </c>
      <c r="E97" s="964"/>
      <c r="F97" s="964"/>
      <c r="G97" s="964" t="s">
        <v>565</v>
      </c>
      <c r="H97" s="925"/>
      <c r="I97" s="965"/>
      <c r="J97" s="965"/>
      <c r="K97" s="965">
        <v>25895</v>
      </c>
      <c r="L97" s="965"/>
      <c r="M97" s="965"/>
      <c r="N97" s="965"/>
      <c r="O97" s="966"/>
      <c r="P97" s="964"/>
      <c r="Q97" s="963"/>
      <c r="R97" s="554"/>
      <c r="S97" s="554"/>
      <c r="T97" s="554"/>
      <c r="U97" s="554"/>
      <c r="V97" s="554"/>
      <c r="W97" s="554"/>
      <c r="X97" s="554"/>
    </row>
    <row r="98" spans="1:24" s="749" customFormat="1" ht="24.95" customHeight="1" x14ac:dyDescent="0.35">
      <c r="A98" s="968" t="s">
        <v>421</v>
      </c>
      <c r="B98" s="925" t="s">
        <v>446</v>
      </c>
      <c r="C98" s="925"/>
      <c r="D98" s="964" t="s">
        <v>90</v>
      </c>
      <c r="E98" s="964"/>
      <c r="F98" s="964"/>
      <c r="G98" s="964" t="s">
        <v>566</v>
      </c>
      <c r="H98" s="925"/>
      <c r="I98" s="965"/>
      <c r="J98" s="965"/>
      <c r="K98" s="965" t="s">
        <v>419</v>
      </c>
      <c r="L98" s="965"/>
      <c r="M98" s="965"/>
      <c r="N98" s="965"/>
      <c r="O98" s="966"/>
      <c r="P98" s="964"/>
      <c r="Q98" s="963"/>
      <c r="R98" s="554"/>
      <c r="S98" s="554"/>
      <c r="T98" s="554"/>
      <c r="U98" s="554"/>
      <c r="V98" s="554"/>
      <c r="W98" s="554"/>
      <c r="X98" s="554"/>
    </row>
    <row r="99" spans="1:24" s="749" customFormat="1" ht="24.95" customHeight="1" x14ac:dyDescent="0.35">
      <c r="A99" s="968">
        <v>45857</v>
      </c>
      <c r="B99" s="925" t="s">
        <v>432</v>
      </c>
      <c r="C99" s="925"/>
      <c r="D99" s="964" t="s">
        <v>90</v>
      </c>
      <c r="E99" s="964"/>
      <c r="F99" s="964"/>
      <c r="G99" s="964" t="s">
        <v>567</v>
      </c>
      <c r="H99" s="925"/>
      <c r="I99" s="965"/>
      <c r="J99" s="965"/>
      <c r="K99" s="965">
        <v>438000</v>
      </c>
      <c r="L99" s="965"/>
      <c r="M99" s="965"/>
      <c r="N99" s="965"/>
      <c r="O99" s="966"/>
      <c r="P99" s="964"/>
      <c r="Q99" s="963"/>
      <c r="R99" s="554"/>
      <c r="S99" s="554"/>
      <c r="T99" s="554"/>
      <c r="U99" s="554"/>
      <c r="V99" s="554"/>
      <c r="W99" s="554"/>
      <c r="X99" s="554"/>
    </row>
    <row r="100" spans="1:24" s="749" customFormat="1" ht="24.95" customHeight="1" x14ac:dyDescent="0.35">
      <c r="A100" s="968">
        <v>45859</v>
      </c>
      <c r="B100" s="925" t="s">
        <v>573</v>
      </c>
      <c r="C100" s="925"/>
      <c r="D100" s="964" t="s">
        <v>282</v>
      </c>
      <c r="E100" s="964"/>
      <c r="F100" s="964"/>
      <c r="G100" s="964" t="s">
        <v>572</v>
      </c>
      <c r="H100" s="925"/>
      <c r="I100" s="965"/>
      <c r="J100" s="965"/>
      <c r="K100" s="965">
        <v>9850</v>
      </c>
      <c r="L100" s="965"/>
      <c r="M100" s="965"/>
      <c r="N100" s="965"/>
      <c r="O100" s="966"/>
      <c r="P100" s="964"/>
      <c r="Q100" s="963"/>
      <c r="R100" s="554"/>
      <c r="S100" s="554"/>
      <c r="T100" s="554"/>
      <c r="U100" s="554"/>
      <c r="V100" s="554"/>
      <c r="W100" s="554"/>
      <c r="X100" s="554"/>
    </row>
    <row r="101" spans="1:24" s="749" customFormat="1" ht="24.95" customHeight="1" x14ac:dyDescent="0.35">
      <c r="A101" s="968">
        <v>45861</v>
      </c>
      <c r="B101" s="925" t="s">
        <v>569</v>
      </c>
      <c r="C101" s="925"/>
      <c r="D101" s="964" t="s">
        <v>90</v>
      </c>
      <c r="E101" s="964"/>
      <c r="F101" s="964"/>
      <c r="G101" s="964" t="s">
        <v>570</v>
      </c>
      <c r="H101" s="925"/>
      <c r="I101" s="965"/>
      <c r="J101" s="965"/>
      <c r="K101" s="965">
        <v>399000</v>
      </c>
      <c r="L101" s="965"/>
      <c r="M101" s="965"/>
      <c r="N101" s="965"/>
      <c r="O101" s="966"/>
      <c r="P101" s="964"/>
      <c r="Q101" s="963"/>
      <c r="R101" s="554"/>
      <c r="S101" s="554"/>
      <c r="T101" s="554"/>
      <c r="U101" s="554"/>
      <c r="V101" s="554"/>
      <c r="W101" s="554"/>
      <c r="X101" s="554"/>
    </row>
    <row r="102" spans="1:24" s="749" customFormat="1" ht="24.95" customHeight="1" x14ac:dyDescent="0.35">
      <c r="A102" s="968" t="s">
        <v>421</v>
      </c>
      <c r="B102" s="925" t="s">
        <v>491</v>
      </c>
      <c r="C102" s="925"/>
      <c r="D102" s="964" t="s">
        <v>90</v>
      </c>
      <c r="E102" s="964"/>
      <c r="F102" s="964"/>
      <c r="G102" s="964" t="s">
        <v>571</v>
      </c>
      <c r="H102" s="925"/>
      <c r="I102" s="965"/>
      <c r="J102" s="965"/>
      <c r="K102" s="965">
        <v>45000</v>
      </c>
      <c r="L102" s="965"/>
      <c r="M102" s="965"/>
      <c r="N102" s="965"/>
      <c r="O102" s="966"/>
      <c r="P102" s="964"/>
      <c r="Q102" s="963"/>
      <c r="R102" s="554"/>
      <c r="S102" s="554"/>
      <c r="T102" s="554"/>
      <c r="U102" s="554"/>
      <c r="V102" s="554"/>
      <c r="W102" s="554"/>
      <c r="X102" s="554"/>
    </row>
    <row r="103" spans="1:24" s="749" customFormat="1" ht="24.95" customHeight="1" x14ac:dyDescent="0.35">
      <c r="A103" s="968">
        <v>45873</v>
      </c>
      <c r="B103" s="925" t="s">
        <v>549</v>
      </c>
      <c r="C103" s="925"/>
      <c r="D103" s="964" t="s">
        <v>282</v>
      </c>
      <c r="E103" s="964"/>
      <c r="F103" s="964"/>
      <c r="G103" s="964" t="s">
        <v>588</v>
      </c>
      <c r="H103" s="925"/>
      <c r="I103" s="965"/>
      <c r="J103" s="965">
        <v>402400</v>
      </c>
      <c r="K103" s="965"/>
      <c r="L103" s="965"/>
      <c r="M103" s="965"/>
      <c r="N103" s="965"/>
      <c r="O103" s="966"/>
      <c r="P103" s="964"/>
      <c r="Q103" s="963"/>
      <c r="R103" s="554"/>
      <c r="S103" s="554"/>
      <c r="T103" s="554"/>
      <c r="U103" s="554"/>
      <c r="V103" s="554"/>
      <c r="W103" s="554"/>
      <c r="X103" s="554"/>
    </row>
    <row r="104" spans="1:24" s="749" customFormat="1" ht="24.95" customHeight="1" x14ac:dyDescent="0.35">
      <c r="A104" s="968" t="s">
        <v>557</v>
      </c>
      <c r="B104" s="925" t="s">
        <v>301</v>
      </c>
      <c r="C104" s="925"/>
      <c r="D104" s="964" t="s">
        <v>90</v>
      </c>
      <c r="E104" s="964"/>
      <c r="F104" s="964"/>
      <c r="G104" s="964" t="s">
        <v>583</v>
      </c>
      <c r="H104" s="925"/>
      <c r="I104" s="965"/>
      <c r="J104" s="965">
        <v>280000</v>
      </c>
      <c r="K104" s="965"/>
      <c r="L104" s="965"/>
      <c r="M104" s="965"/>
      <c r="N104" s="965"/>
      <c r="O104" s="966"/>
      <c r="P104" s="964"/>
      <c r="Q104" s="963"/>
      <c r="R104" s="554"/>
      <c r="S104" s="554"/>
      <c r="T104" s="554"/>
      <c r="U104" s="554"/>
      <c r="V104" s="554"/>
      <c r="W104" s="554"/>
      <c r="X104" s="554"/>
    </row>
    <row r="105" spans="1:24" s="749" customFormat="1" ht="24.95" customHeight="1" x14ac:dyDescent="0.35">
      <c r="A105" s="968">
        <v>45874</v>
      </c>
      <c r="B105" s="925" t="s">
        <v>526</v>
      </c>
      <c r="C105" s="925"/>
      <c r="D105" s="964" t="s">
        <v>92</v>
      </c>
      <c r="E105" s="964"/>
      <c r="F105" s="964"/>
      <c r="G105" s="964" t="s">
        <v>585</v>
      </c>
      <c r="H105" s="925"/>
      <c r="I105" s="965"/>
      <c r="J105" s="965">
        <v>105000</v>
      </c>
      <c r="K105" s="965"/>
      <c r="L105" s="965"/>
      <c r="M105" s="965"/>
      <c r="N105" s="965"/>
      <c r="O105" s="966"/>
      <c r="P105" s="964"/>
      <c r="Q105" s="963"/>
      <c r="R105" s="554"/>
      <c r="S105" s="554"/>
      <c r="T105" s="554"/>
      <c r="U105" s="554"/>
      <c r="V105" s="554"/>
      <c r="W105" s="554"/>
      <c r="X105" s="554"/>
    </row>
    <row r="106" spans="1:24" s="749" customFormat="1" ht="24.95" customHeight="1" x14ac:dyDescent="0.35">
      <c r="A106" s="968">
        <v>45875</v>
      </c>
      <c r="B106" s="925" t="s">
        <v>43</v>
      </c>
      <c r="C106" s="925"/>
      <c r="D106" s="964" t="s">
        <v>90</v>
      </c>
      <c r="E106" s="964"/>
      <c r="F106" s="964"/>
      <c r="G106" s="964" t="s">
        <v>586</v>
      </c>
      <c r="H106" s="925"/>
      <c r="I106" s="965"/>
      <c r="J106" s="965" t="s">
        <v>419</v>
      </c>
      <c r="K106" s="965"/>
      <c r="L106" s="965"/>
      <c r="M106" s="965"/>
      <c r="N106" s="965"/>
      <c r="O106" s="966"/>
      <c r="P106" s="964"/>
      <c r="Q106" s="963"/>
      <c r="R106" s="554"/>
      <c r="S106" s="554"/>
      <c r="T106" s="554"/>
      <c r="U106" s="554"/>
      <c r="V106" s="554"/>
      <c r="W106" s="554"/>
      <c r="X106" s="554"/>
    </row>
    <row r="107" spans="1:24" s="749" customFormat="1" ht="24.95" customHeight="1" x14ac:dyDescent="0.35">
      <c r="A107" s="968">
        <v>45876</v>
      </c>
      <c r="B107" s="925" t="s">
        <v>576</v>
      </c>
      <c r="C107" s="925"/>
      <c r="D107" s="964" t="s">
        <v>90</v>
      </c>
      <c r="E107" s="964"/>
      <c r="F107" s="964"/>
      <c r="G107" s="964" t="s">
        <v>589</v>
      </c>
      <c r="H107" s="925"/>
      <c r="I107" s="965"/>
      <c r="J107" s="965">
        <v>11400</v>
      </c>
      <c r="K107" s="965"/>
      <c r="L107" s="965"/>
      <c r="M107" s="965"/>
      <c r="N107" s="965"/>
      <c r="O107" s="966"/>
      <c r="P107" s="964"/>
      <c r="Q107" s="963"/>
      <c r="R107" s="554"/>
      <c r="S107" s="554"/>
      <c r="T107" s="554"/>
      <c r="U107" s="554"/>
      <c r="V107" s="554"/>
      <c r="W107" s="554"/>
      <c r="X107" s="554"/>
    </row>
    <row r="108" spans="1:24" s="749" customFormat="1" ht="24.95" customHeight="1" x14ac:dyDescent="0.35">
      <c r="A108" s="968">
        <v>45876</v>
      </c>
      <c r="B108" s="925" t="s">
        <v>591</v>
      </c>
      <c r="C108" s="925"/>
      <c r="D108" s="964" t="s">
        <v>92</v>
      </c>
      <c r="E108" s="964"/>
      <c r="F108" s="964"/>
      <c r="G108" s="964" t="s">
        <v>592</v>
      </c>
      <c r="H108" s="925"/>
      <c r="I108" s="965"/>
      <c r="J108" s="965">
        <v>2350</v>
      </c>
      <c r="K108" s="965"/>
      <c r="L108" s="965"/>
      <c r="M108" s="965"/>
      <c r="N108" s="965"/>
      <c r="O108" s="966"/>
      <c r="P108" s="964"/>
      <c r="Q108" s="963"/>
      <c r="R108" s="554"/>
      <c r="S108" s="554"/>
      <c r="T108" s="554"/>
      <c r="U108" s="554"/>
      <c r="V108" s="554"/>
      <c r="W108" s="554"/>
      <c r="X108" s="554"/>
    </row>
    <row r="109" spans="1:24" s="749" customFormat="1" ht="24.95" customHeight="1" x14ac:dyDescent="0.35">
      <c r="A109" s="968">
        <v>45881</v>
      </c>
      <c r="B109" s="925" t="s">
        <v>281</v>
      </c>
      <c r="C109" s="925"/>
      <c r="D109" s="964" t="s">
        <v>282</v>
      </c>
      <c r="E109" s="964"/>
      <c r="F109" s="964"/>
      <c r="G109" s="964" t="s">
        <v>593</v>
      </c>
      <c r="H109" s="925"/>
      <c r="I109" s="965"/>
      <c r="J109" s="965">
        <v>237780</v>
      </c>
      <c r="K109" s="965"/>
      <c r="L109" s="965"/>
      <c r="M109" s="965"/>
      <c r="N109" s="965"/>
      <c r="O109" s="966"/>
      <c r="P109" s="964"/>
      <c r="Q109" s="963"/>
      <c r="R109" s="554"/>
      <c r="S109" s="554"/>
      <c r="T109" s="554"/>
      <c r="U109" s="554"/>
      <c r="V109" s="554"/>
      <c r="W109" s="554"/>
      <c r="X109" s="554"/>
    </row>
    <row r="110" spans="1:24" s="749" customFormat="1" ht="24.95" customHeight="1" x14ac:dyDescent="0.35">
      <c r="A110" s="968">
        <v>45883</v>
      </c>
      <c r="B110" s="925" t="s">
        <v>594</v>
      </c>
      <c r="C110" s="925"/>
      <c r="D110" s="964" t="s">
        <v>90</v>
      </c>
      <c r="E110" s="964"/>
      <c r="F110" s="964"/>
      <c r="G110" s="964" t="s">
        <v>595</v>
      </c>
      <c r="H110" s="925"/>
      <c r="I110" s="965"/>
      <c r="J110" s="965">
        <v>152000</v>
      </c>
      <c r="K110" s="965"/>
      <c r="L110" s="965"/>
      <c r="M110" s="965"/>
      <c r="N110" s="965"/>
      <c r="O110" s="966"/>
      <c r="P110" s="964"/>
      <c r="Q110" s="963"/>
      <c r="R110" s="554"/>
      <c r="S110" s="554"/>
      <c r="T110" s="554"/>
      <c r="U110" s="554"/>
      <c r="V110" s="554"/>
      <c r="W110" s="554"/>
      <c r="X110" s="554"/>
    </row>
    <row r="111" spans="1:24" s="749" customFormat="1" ht="24.95" customHeight="1" x14ac:dyDescent="0.35">
      <c r="A111" s="968">
        <v>45883</v>
      </c>
      <c r="B111" s="925" t="s">
        <v>596</v>
      </c>
      <c r="C111" s="925"/>
      <c r="D111" s="964" t="s">
        <v>92</v>
      </c>
      <c r="E111" s="964"/>
      <c r="F111" s="964"/>
      <c r="G111" s="964" t="s">
        <v>597</v>
      </c>
      <c r="H111" s="925"/>
      <c r="I111" s="965"/>
      <c r="J111" s="965">
        <v>142240</v>
      </c>
      <c r="K111" s="965"/>
      <c r="L111" s="965"/>
      <c r="M111" s="965"/>
      <c r="N111" s="965"/>
      <c r="O111" s="966"/>
      <c r="P111" s="964"/>
      <c r="Q111" s="963"/>
      <c r="R111" s="554"/>
      <c r="S111" s="554"/>
      <c r="T111" s="554"/>
      <c r="U111" s="554"/>
      <c r="V111" s="554"/>
      <c r="W111" s="554"/>
      <c r="X111" s="554"/>
    </row>
    <row r="112" spans="1:24" s="749" customFormat="1" ht="24.95" customHeight="1" x14ac:dyDescent="0.35">
      <c r="A112" s="968" t="s">
        <v>421</v>
      </c>
      <c r="B112" s="925" t="s">
        <v>321</v>
      </c>
      <c r="C112" s="925"/>
      <c r="D112" s="964" t="s">
        <v>90</v>
      </c>
      <c r="E112" s="964"/>
      <c r="F112" s="964"/>
      <c r="G112" s="964" t="s">
        <v>604</v>
      </c>
      <c r="H112" s="925"/>
      <c r="I112" s="965"/>
      <c r="J112" s="965">
        <v>2977500</v>
      </c>
      <c r="K112" s="965"/>
      <c r="L112" s="965"/>
      <c r="M112" s="965"/>
      <c r="N112" s="965"/>
      <c r="O112" s="966"/>
      <c r="P112" s="964"/>
      <c r="Q112" s="963"/>
      <c r="R112" s="554"/>
      <c r="S112" s="554"/>
      <c r="T112" s="554"/>
      <c r="U112" s="554"/>
      <c r="V112" s="554"/>
      <c r="W112" s="554"/>
      <c r="X112" s="554"/>
    </row>
    <row r="113" spans="1:24" s="749" customFormat="1" ht="24.95" customHeight="1" x14ac:dyDescent="0.35">
      <c r="A113" s="968" t="s">
        <v>421</v>
      </c>
      <c r="B113" s="925" t="s">
        <v>409</v>
      </c>
      <c r="C113" s="925"/>
      <c r="D113" s="964" t="s">
        <v>90</v>
      </c>
      <c r="E113" s="964"/>
      <c r="F113" s="964"/>
      <c r="G113" s="964" t="s">
        <v>600</v>
      </c>
      <c r="H113" s="925"/>
      <c r="I113" s="965"/>
      <c r="J113" s="965">
        <v>250952.38</v>
      </c>
      <c r="K113" s="965"/>
      <c r="L113" s="965"/>
      <c r="M113" s="965"/>
      <c r="N113" s="965"/>
      <c r="O113" s="966"/>
      <c r="P113" s="964"/>
      <c r="Q113" s="963"/>
      <c r="R113" s="554"/>
      <c r="S113" s="554"/>
      <c r="T113" s="554"/>
      <c r="U113" s="554"/>
      <c r="V113" s="554"/>
      <c r="W113" s="554"/>
      <c r="X113" s="554"/>
    </row>
    <row r="114" spans="1:24" s="749" customFormat="1" ht="24.95" customHeight="1" x14ac:dyDescent="0.35">
      <c r="A114" s="968">
        <v>45896</v>
      </c>
      <c r="B114" s="925" t="s">
        <v>439</v>
      </c>
      <c r="C114" s="925"/>
      <c r="D114" s="964" t="s">
        <v>90</v>
      </c>
      <c r="E114" s="964"/>
      <c r="F114" s="964"/>
      <c r="G114" s="964" t="s">
        <v>601</v>
      </c>
      <c r="H114" s="925"/>
      <c r="I114" s="965"/>
      <c r="J114" s="965" t="s">
        <v>419</v>
      </c>
      <c r="K114" s="965"/>
      <c r="L114" s="965"/>
      <c r="M114" s="965"/>
      <c r="N114" s="965"/>
      <c r="O114" s="966"/>
      <c r="P114" s="964"/>
      <c r="Q114" s="963"/>
      <c r="R114" s="554"/>
      <c r="S114" s="554"/>
      <c r="T114" s="554"/>
      <c r="U114" s="554"/>
      <c r="V114" s="554"/>
      <c r="W114" s="554"/>
      <c r="X114" s="554"/>
    </row>
    <row r="115" spans="1:24" s="749" customFormat="1" ht="24.95" customHeight="1" x14ac:dyDescent="0.35">
      <c r="A115" s="968">
        <v>45896</v>
      </c>
      <c r="B115" s="925" t="s">
        <v>619</v>
      </c>
      <c r="C115" s="925"/>
      <c r="D115" s="964" t="s">
        <v>221</v>
      </c>
      <c r="E115" s="964"/>
      <c r="F115" s="964"/>
      <c r="G115" s="964" t="s">
        <v>620</v>
      </c>
      <c r="H115" s="925"/>
      <c r="I115" s="965"/>
      <c r="J115" s="965">
        <v>176994</v>
      </c>
      <c r="K115" s="965"/>
      <c r="L115" s="965"/>
      <c r="M115" s="965"/>
      <c r="N115" s="965"/>
      <c r="O115" s="966"/>
      <c r="P115" s="964"/>
      <c r="Q115" s="963"/>
      <c r="R115" s="554"/>
      <c r="S115" s="554"/>
      <c r="T115" s="554"/>
      <c r="U115" s="554"/>
      <c r="V115" s="554"/>
      <c r="W115" s="554"/>
      <c r="X115" s="554"/>
    </row>
    <row r="116" spans="1:24" s="749" customFormat="1" ht="24.95" customHeight="1" x14ac:dyDescent="0.35">
      <c r="A116" s="968">
        <v>45897</v>
      </c>
      <c r="B116" s="925" t="s">
        <v>449</v>
      </c>
      <c r="C116" s="925"/>
      <c r="D116" s="964" t="s">
        <v>92</v>
      </c>
      <c r="E116" s="964"/>
      <c r="F116" s="964"/>
      <c r="G116" s="964" t="s">
        <v>602</v>
      </c>
      <c r="H116" s="925"/>
      <c r="I116" s="965"/>
      <c r="J116" s="965">
        <v>3500</v>
      </c>
      <c r="K116" s="965"/>
      <c r="L116" s="965"/>
      <c r="M116" s="965"/>
      <c r="N116" s="965"/>
      <c r="O116" s="966"/>
      <c r="P116" s="964"/>
      <c r="Q116" s="963"/>
      <c r="R116" s="554"/>
      <c r="S116" s="554"/>
      <c r="T116" s="554"/>
      <c r="U116" s="554"/>
      <c r="V116" s="554"/>
      <c r="W116" s="554"/>
      <c r="X116" s="554"/>
    </row>
    <row r="117" spans="1:24" s="749" customFormat="1" ht="24.95" customHeight="1" x14ac:dyDescent="0.35">
      <c r="A117" s="968" t="s">
        <v>421</v>
      </c>
      <c r="B117" s="925" t="s">
        <v>301</v>
      </c>
      <c r="C117" s="925"/>
      <c r="D117" s="964" t="s">
        <v>90</v>
      </c>
      <c r="E117" s="964"/>
      <c r="F117" s="964"/>
      <c r="G117" s="964" t="s">
        <v>603</v>
      </c>
      <c r="H117" s="925"/>
      <c r="I117" s="965"/>
      <c r="J117" s="965">
        <v>685000</v>
      </c>
      <c r="K117" s="965"/>
      <c r="L117" s="965"/>
      <c r="M117" s="965"/>
      <c r="N117" s="965"/>
      <c r="O117" s="966"/>
      <c r="P117" s="964"/>
      <c r="Q117" s="963"/>
      <c r="R117" s="554"/>
      <c r="S117" s="554"/>
      <c r="T117" s="554"/>
      <c r="U117" s="554"/>
      <c r="V117" s="554"/>
      <c r="W117" s="554"/>
      <c r="X117" s="554"/>
    </row>
    <row r="118" spans="1:24" s="749" customFormat="1" ht="24.95" customHeight="1" x14ac:dyDescent="0.35">
      <c r="A118" s="968">
        <v>45897</v>
      </c>
      <c r="B118" s="925" t="s">
        <v>607</v>
      </c>
      <c r="C118" s="925"/>
      <c r="D118" s="964" t="s">
        <v>90</v>
      </c>
      <c r="E118" s="964"/>
      <c r="F118" s="964"/>
      <c r="G118" s="964" t="s">
        <v>606</v>
      </c>
      <c r="H118" s="925"/>
      <c r="I118" s="965"/>
      <c r="J118" s="965">
        <v>476000</v>
      </c>
      <c r="K118" s="965"/>
      <c r="L118" s="965"/>
      <c r="M118" s="965"/>
      <c r="N118" s="965"/>
      <c r="O118" s="966"/>
      <c r="P118" s="964"/>
      <c r="Q118" s="963"/>
      <c r="R118" s="554"/>
      <c r="S118" s="554"/>
      <c r="T118" s="554"/>
      <c r="U118" s="554"/>
      <c r="V118" s="554"/>
      <c r="W118" s="554"/>
      <c r="X118" s="554"/>
    </row>
    <row r="119" spans="1:24" s="749" customFormat="1" ht="24.95" customHeight="1" x14ac:dyDescent="0.35">
      <c r="A119" s="968">
        <v>45897</v>
      </c>
      <c r="B119" s="925" t="s">
        <v>607</v>
      </c>
      <c r="C119" s="925"/>
      <c r="D119" s="964" t="s">
        <v>90</v>
      </c>
      <c r="E119" s="964"/>
      <c r="F119" s="964"/>
      <c r="G119" s="964" t="s">
        <v>608</v>
      </c>
      <c r="H119" s="925"/>
      <c r="I119" s="965"/>
      <c r="J119" s="965">
        <v>117000</v>
      </c>
      <c r="K119" s="965"/>
      <c r="L119" s="965"/>
      <c r="M119" s="965"/>
      <c r="N119" s="965"/>
      <c r="O119" s="966"/>
      <c r="P119" s="964"/>
      <c r="Q119" s="963"/>
      <c r="R119" s="554"/>
      <c r="S119" s="554"/>
      <c r="T119" s="554"/>
      <c r="U119" s="554"/>
      <c r="V119" s="554"/>
      <c r="W119" s="554"/>
      <c r="X119" s="554"/>
    </row>
    <row r="120" spans="1:24" s="749" customFormat="1" ht="24.95" customHeight="1" x14ac:dyDescent="0.35">
      <c r="A120" s="968">
        <v>45897</v>
      </c>
      <c r="B120" s="925" t="s">
        <v>417</v>
      </c>
      <c r="C120" s="925"/>
      <c r="D120" s="964" t="s">
        <v>90</v>
      </c>
      <c r="E120" s="964"/>
      <c r="F120" s="964"/>
      <c r="G120" s="964" t="s">
        <v>609</v>
      </c>
      <c r="H120" s="925"/>
      <c r="I120" s="965"/>
      <c r="J120" s="965" t="s">
        <v>419</v>
      </c>
      <c r="K120" s="965"/>
      <c r="L120" s="965"/>
      <c r="M120" s="965"/>
      <c r="N120" s="965"/>
      <c r="O120" s="966"/>
      <c r="P120" s="964"/>
      <c r="Q120" s="963"/>
      <c r="R120" s="554"/>
      <c r="S120" s="554"/>
      <c r="T120" s="554"/>
      <c r="U120" s="554"/>
      <c r="V120" s="554"/>
      <c r="W120" s="554"/>
      <c r="X120" s="554"/>
    </row>
    <row r="121" spans="1:24" s="749" customFormat="1" ht="24.95" customHeight="1" x14ac:dyDescent="0.35">
      <c r="A121" s="968">
        <v>45905</v>
      </c>
      <c r="B121" s="925" t="s">
        <v>285</v>
      </c>
      <c r="C121" s="925"/>
      <c r="D121" s="964" t="s">
        <v>221</v>
      </c>
      <c r="E121" s="964"/>
      <c r="F121" s="964"/>
      <c r="G121" s="964" t="s">
        <v>621</v>
      </c>
      <c r="H121" s="925"/>
      <c r="I121" s="965">
        <v>85058</v>
      </c>
      <c r="J121" s="965"/>
      <c r="K121" s="965"/>
      <c r="L121" s="965"/>
      <c r="M121" s="965"/>
      <c r="N121" s="965"/>
      <c r="O121" s="966"/>
      <c r="P121" s="964"/>
      <c r="Q121" s="963"/>
      <c r="R121" s="554"/>
      <c r="S121" s="554"/>
      <c r="T121" s="554"/>
      <c r="U121" s="554"/>
      <c r="V121" s="554"/>
      <c r="W121" s="554"/>
      <c r="X121" s="554"/>
    </row>
    <row r="122" spans="1:24" s="749" customFormat="1" ht="24.95" customHeight="1" x14ac:dyDescent="0.35">
      <c r="A122" s="968">
        <v>45905</v>
      </c>
      <c r="B122" s="925" t="s">
        <v>285</v>
      </c>
      <c r="C122" s="925"/>
      <c r="D122" s="964" t="s">
        <v>221</v>
      </c>
      <c r="E122" s="964"/>
      <c r="F122" s="964"/>
      <c r="G122" s="964" t="s">
        <v>622</v>
      </c>
      <c r="H122" s="925"/>
      <c r="I122" s="965">
        <v>49968</v>
      </c>
      <c r="J122" s="965"/>
      <c r="K122" s="965"/>
      <c r="L122" s="965"/>
      <c r="M122" s="965"/>
      <c r="N122" s="965"/>
      <c r="O122" s="966"/>
      <c r="P122" s="964"/>
      <c r="Q122" s="963"/>
      <c r="R122" s="554"/>
      <c r="S122" s="554"/>
      <c r="T122" s="554"/>
      <c r="U122" s="554"/>
      <c r="V122" s="554"/>
      <c r="W122" s="554"/>
      <c r="X122" s="554"/>
    </row>
    <row r="123" spans="1:24" s="749" customFormat="1" ht="24.95" customHeight="1" x14ac:dyDescent="0.35">
      <c r="A123" s="968">
        <v>45905</v>
      </c>
      <c r="B123" s="925" t="s">
        <v>285</v>
      </c>
      <c r="C123" s="925"/>
      <c r="D123" s="964" t="s">
        <v>221</v>
      </c>
      <c r="E123" s="964"/>
      <c r="F123" s="964"/>
      <c r="G123" s="964" t="s">
        <v>623</v>
      </c>
      <c r="H123" s="925"/>
      <c r="I123" s="965">
        <v>410116</v>
      </c>
      <c r="J123" s="965"/>
      <c r="K123" s="965"/>
      <c r="L123" s="965"/>
      <c r="M123" s="965"/>
      <c r="N123" s="965"/>
      <c r="O123" s="966"/>
      <c r="P123" s="964"/>
      <c r="Q123" s="963"/>
      <c r="R123" s="554"/>
      <c r="S123" s="554"/>
      <c r="T123" s="554"/>
      <c r="U123" s="554"/>
      <c r="V123" s="554"/>
      <c r="W123" s="554"/>
      <c r="X123" s="554"/>
    </row>
    <row r="124" spans="1:24" s="749" customFormat="1" ht="24.95" customHeight="1" x14ac:dyDescent="0.35">
      <c r="A124" s="968">
        <v>45908</v>
      </c>
      <c r="B124" s="925" t="s">
        <v>439</v>
      </c>
      <c r="C124" s="925"/>
      <c r="D124" s="964" t="s">
        <v>90</v>
      </c>
      <c r="E124" s="964"/>
      <c r="F124" s="964"/>
      <c r="G124" s="964" t="s">
        <v>612</v>
      </c>
      <c r="H124" s="925"/>
      <c r="I124" s="965">
        <v>251968</v>
      </c>
      <c r="J124" s="965"/>
      <c r="K124" s="965"/>
      <c r="L124" s="965"/>
      <c r="M124" s="965"/>
      <c r="N124" s="965"/>
      <c r="O124" s="966"/>
      <c r="P124" s="964"/>
      <c r="Q124" s="963"/>
      <c r="R124" s="554"/>
      <c r="S124" s="554"/>
      <c r="T124" s="554"/>
      <c r="U124" s="554"/>
      <c r="V124" s="554"/>
      <c r="W124" s="554"/>
      <c r="X124" s="554"/>
    </row>
    <row r="125" spans="1:24" s="749" customFormat="1" ht="24.95" customHeight="1" x14ac:dyDescent="0.35">
      <c r="A125" s="968">
        <v>45908</v>
      </c>
      <c r="B125" s="925" t="s">
        <v>439</v>
      </c>
      <c r="C125" s="925"/>
      <c r="D125" s="964" t="s">
        <v>90</v>
      </c>
      <c r="E125" s="964"/>
      <c r="F125" s="964"/>
      <c r="G125" s="964" t="s">
        <v>613</v>
      </c>
      <c r="H125" s="925"/>
      <c r="I125" s="965">
        <v>240350</v>
      </c>
      <c r="J125" s="965"/>
      <c r="K125" s="965"/>
      <c r="L125" s="965"/>
      <c r="M125" s="965"/>
      <c r="N125" s="965"/>
      <c r="O125" s="966"/>
      <c r="P125" s="964"/>
      <c r="Q125" s="963"/>
      <c r="R125" s="554"/>
      <c r="S125" s="554"/>
      <c r="T125" s="554"/>
      <c r="U125" s="554"/>
      <c r="V125" s="554"/>
      <c r="W125" s="554"/>
      <c r="X125" s="554"/>
    </row>
    <row r="126" spans="1:24" s="749" customFormat="1" ht="24.95" customHeight="1" x14ac:dyDescent="0.35">
      <c r="A126" s="968">
        <v>45908</v>
      </c>
      <c r="B126" s="925" t="s">
        <v>614</v>
      </c>
      <c r="C126" s="925"/>
      <c r="D126" s="964" t="s">
        <v>92</v>
      </c>
      <c r="E126" s="964"/>
      <c r="F126" s="964"/>
      <c r="G126" s="964" t="s">
        <v>615</v>
      </c>
      <c r="H126" s="925"/>
      <c r="I126" s="965" t="s">
        <v>419</v>
      </c>
      <c r="J126" s="965"/>
      <c r="K126" s="965"/>
      <c r="L126" s="965"/>
      <c r="M126" s="965"/>
      <c r="N126" s="965"/>
      <c r="O126" s="966"/>
      <c r="P126" s="964"/>
      <c r="Q126" s="963"/>
      <c r="R126" s="554"/>
      <c r="S126" s="554"/>
      <c r="T126" s="554"/>
      <c r="U126" s="554"/>
      <c r="V126" s="554"/>
      <c r="W126" s="554"/>
      <c r="X126" s="554"/>
    </row>
    <row r="127" spans="1:24" s="749" customFormat="1" ht="24.95" customHeight="1" x14ac:dyDescent="0.35">
      <c r="A127" s="968">
        <v>45909</v>
      </c>
      <c r="B127" s="925" t="s">
        <v>617</v>
      </c>
      <c r="C127" s="925"/>
      <c r="D127" s="964" t="s">
        <v>92</v>
      </c>
      <c r="E127" s="964"/>
      <c r="F127" s="964"/>
      <c r="G127" s="964" t="s">
        <v>618</v>
      </c>
      <c r="H127" s="925"/>
      <c r="I127" s="965" t="s">
        <v>419</v>
      </c>
      <c r="J127" s="965"/>
      <c r="K127" s="965"/>
      <c r="L127" s="965"/>
      <c r="M127" s="965"/>
      <c r="N127" s="965"/>
      <c r="O127" s="966"/>
      <c r="P127" s="964"/>
      <c r="Q127" s="963"/>
      <c r="R127" s="554"/>
      <c r="S127" s="554"/>
      <c r="T127" s="554"/>
      <c r="U127" s="554"/>
      <c r="V127" s="554"/>
      <c r="W127" s="554"/>
      <c r="X127" s="554"/>
    </row>
    <row r="128" spans="1:24" s="749" customFormat="1" ht="24.95" customHeight="1" x14ac:dyDescent="0.35">
      <c r="A128" s="968">
        <v>45911</v>
      </c>
      <c r="B128" s="925" t="s">
        <v>395</v>
      </c>
      <c r="C128" s="925"/>
      <c r="D128" s="964" t="s">
        <v>92</v>
      </c>
      <c r="E128" s="964"/>
      <c r="F128" s="964"/>
      <c r="G128" s="964" t="s">
        <v>624</v>
      </c>
      <c r="H128" s="925"/>
      <c r="I128" s="965" t="s">
        <v>419</v>
      </c>
      <c r="J128" s="965"/>
      <c r="K128" s="965"/>
      <c r="L128" s="965"/>
      <c r="M128" s="965"/>
      <c r="N128" s="965"/>
      <c r="O128" s="966"/>
      <c r="P128" s="964"/>
      <c r="Q128" s="963"/>
      <c r="R128" s="554"/>
      <c r="S128" s="554"/>
      <c r="T128" s="554"/>
      <c r="U128" s="554"/>
      <c r="V128" s="554"/>
      <c r="W128" s="554"/>
      <c r="X128" s="554"/>
    </row>
    <row r="129" spans="1:24" s="749" customFormat="1" ht="24.95" customHeight="1" x14ac:dyDescent="0.35">
      <c r="A129" s="968">
        <v>45912</v>
      </c>
      <c r="B129" s="925" t="s">
        <v>395</v>
      </c>
      <c r="C129" s="925"/>
      <c r="D129" s="964" t="s">
        <v>92</v>
      </c>
      <c r="E129" s="964"/>
      <c r="F129" s="964"/>
      <c r="G129" s="964" t="s">
        <v>625</v>
      </c>
      <c r="H129" s="925"/>
      <c r="I129" s="965" t="s">
        <v>419</v>
      </c>
      <c r="J129" s="965"/>
      <c r="K129" s="965"/>
      <c r="L129" s="965"/>
      <c r="M129" s="965"/>
      <c r="N129" s="965"/>
      <c r="O129" s="966"/>
      <c r="P129" s="964"/>
      <c r="Q129" s="963"/>
      <c r="R129" s="554"/>
      <c r="S129" s="554"/>
      <c r="T129" s="554"/>
      <c r="U129" s="554"/>
      <c r="V129" s="554"/>
      <c r="W129" s="554"/>
      <c r="X129" s="554"/>
    </row>
    <row r="130" spans="1:24" s="749" customFormat="1" ht="24.95" customHeight="1" x14ac:dyDescent="0.35">
      <c r="A130" s="968">
        <v>45923</v>
      </c>
      <c r="B130" s="925" t="s">
        <v>614</v>
      </c>
      <c r="C130" s="925"/>
      <c r="D130" s="964" t="s">
        <v>92</v>
      </c>
      <c r="E130" s="964"/>
      <c r="F130" s="964"/>
      <c r="G130" s="964" t="s">
        <v>626</v>
      </c>
      <c r="H130" s="925"/>
      <c r="I130" s="965" t="s">
        <v>419</v>
      </c>
      <c r="J130" s="965"/>
      <c r="K130" s="965"/>
      <c r="L130" s="965"/>
      <c r="M130" s="965"/>
      <c r="N130" s="965"/>
      <c r="O130" s="966"/>
      <c r="P130" s="964"/>
      <c r="Q130" s="963"/>
      <c r="R130" s="554"/>
      <c r="S130" s="554"/>
      <c r="T130" s="554"/>
      <c r="U130" s="554"/>
      <c r="V130" s="554"/>
      <c r="W130" s="554"/>
      <c r="X130" s="554"/>
    </row>
    <row r="131" spans="1:24" s="889" customFormat="1" ht="24.95" customHeight="1" x14ac:dyDescent="0.35">
      <c r="A131" s="939"/>
      <c r="B131" s="699" t="s">
        <v>7</v>
      </c>
      <c r="C131" s="700"/>
      <c r="D131" s="612" t="s">
        <v>140</v>
      </c>
      <c r="E131" s="700"/>
      <c r="F131" s="700"/>
      <c r="G131" s="614"/>
      <c r="H131" s="701"/>
      <c r="I131" s="891">
        <f>SUM(I121:I127)</f>
        <v>1037460</v>
      </c>
      <c r="J131" s="703">
        <f>SUM(J87:J127)</f>
        <v>6193616.3799999999</v>
      </c>
      <c r="K131" s="703">
        <f>SUM(K94:K127)</f>
        <v>1502730</v>
      </c>
      <c r="L131" s="704">
        <f>SUM(L88:L127)</f>
        <v>1782459</v>
      </c>
      <c r="M131" s="703">
        <f>SUM(M82:M127)</f>
        <v>1347329.35</v>
      </c>
      <c r="N131" s="703">
        <f>SUM(N64:N127)</f>
        <v>4503795</v>
      </c>
      <c r="O131" s="703">
        <f>SUM(O7:O127)</f>
        <v>9666795.7300000023</v>
      </c>
      <c r="P131" s="705"/>
      <c r="Q131" s="706">
        <f>SUM(I131:P131)</f>
        <v>26034185.460000001</v>
      </c>
      <c r="R131" s="707"/>
    </row>
    <row r="132" spans="1:24" ht="24.95" customHeight="1" x14ac:dyDescent="0.35">
      <c r="A132" s="940" t="s">
        <v>64</v>
      </c>
      <c r="F132" s="658" t="s">
        <v>64</v>
      </c>
      <c r="H132" s="660"/>
    </row>
    <row r="133" spans="1:24" ht="24.95" customHeight="1" x14ac:dyDescent="0.35">
      <c r="H133" s="660"/>
    </row>
    <row r="134" spans="1:24" ht="24.95" customHeight="1" x14ac:dyDescent="0.35">
      <c r="E134" s="524" t="s">
        <v>486</v>
      </c>
      <c r="O134" s="662"/>
    </row>
    <row r="135" spans="1:24" ht="24.95" customHeight="1" x14ac:dyDescent="0.35">
      <c r="F135" s="658" t="s">
        <v>64</v>
      </c>
      <c r="O135" s="662"/>
    </row>
    <row r="136" spans="1:24" ht="23.25" customHeight="1" x14ac:dyDescent="0.35">
      <c r="D136" s="524"/>
      <c r="G136" s="524"/>
      <c r="H136" s="524"/>
      <c r="I136" s="524"/>
      <c r="J136" s="524" t="s">
        <v>64</v>
      </c>
      <c r="K136" s="524"/>
      <c r="O136" s="662"/>
      <c r="P136" s="524"/>
    </row>
    <row r="137" spans="1:24" ht="24.95" customHeight="1" x14ac:dyDescent="0.35">
      <c r="O137" s="662"/>
      <c r="Q137" s="662"/>
    </row>
    <row r="138" spans="1:24" ht="24.95" customHeight="1" x14ac:dyDescent="0.35">
      <c r="O138" s="662"/>
    </row>
    <row r="139" spans="1:24" ht="24.95" customHeight="1" x14ac:dyDescent="0.35">
      <c r="O139" s="662"/>
    </row>
    <row r="140" spans="1:24" ht="24.95" customHeight="1" x14ac:dyDescent="0.35">
      <c r="O140" s="662"/>
    </row>
    <row r="141" spans="1:24" ht="24.95" customHeight="1" x14ac:dyDescent="0.35">
      <c r="O141" s="662"/>
    </row>
    <row r="142" spans="1:24" ht="24.95" customHeight="1" x14ac:dyDescent="0.35">
      <c r="O142" s="662"/>
    </row>
    <row r="143" spans="1:24" ht="24.95" customHeight="1" x14ac:dyDescent="0.35">
      <c r="O143" s="662"/>
    </row>
    <row r="144" spans="1:24" ht="24.95" customHeight="1" x14ac:dyDescent="0.35">
      <c r="O144" s="662"/>
    </row>
    <row r="145" spans="15:15" ht="24.95" customHeight="1" x14ac:dyDescent="0.35">
      <c r="O145" s="665"/>
    </row>
    <row r="146" spans="15:15" ht="24.95" customHeight="1" x14ac:dyDescent="0.35">
      <c r="O146" s="666"/>
    </row>
    <row r="147" spans="15:15" ht="24.95" customHeight="1" x14ac:dyDescent="0.35">
      <c r="O147" s="667"/>
    </row>
    <row r="148" spans="15:15" ht="24.95" customHeight="1" x14ac:dyDescent="0.35">
      <c r="O148" s="666"/>
    </row>
    <row r="149" spans="15:15" ht="24.95" customHeight="1" x14ac:dyDescent="0.35">
      <c r="O149" s="667"/>
    </row>
  </sheetData>
  <pageMargins left="0.70866141732283472" right="0.70866141732283472" top="0.74803149606299213" bottom="0.74803149606299213" header="0.31496062992125984" footer="0.31496062992125984"/>
  <pageSetup paperSize="9" scale="35" fitToWidth="0" orientation="landscape"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2"/>
  <sheetViews>
    <sheetView workbookViewId="0">
      <pane ySplit="6" topLeftCell="A100" activePane="bottomLeft" state="frozen"/>
      <selection pane="bottomLeft" activeCell="G1" sqref="G1:G1048576"/>
    </sheetView>
  </sheetViews>
  <sheetFormatPr defaultColWidth="23.85546875" defaultRowHeight="23.25" x14ac:dyDescent="0.35"/>
  <cols>
    <col min="1" max="1" width="23.85546875" style="940"/>
    <col min="2" max="2" width="56.28515625" style="623" customWidth="1"/>
    <col min="3" max="3" width="15.85546875" style="524" customWidth="1"/>
    <col min="4" max="4" width="13" style="657" customWidth="1"/>
    <col min="5" max="5" width="14.28515625" style="524" customWidth="1"/>
    <col min="6" max="6" width="12.28515625" style="658" customWidth="1"/>
    <col min="7" max="7" width="23.85546875" style="659" customWidth="1"/>
    <col min="8" max="8" width="13.85546875" style="664" customWidth="1"/>
    <col min="9" max="9" width="26" style="661" customWidth="1"/>
    <col min="10" max="10" width="25.140625" style="662" customWidth="1"/>
    <col min="11" max="11" width="25.28515625" style="662" customWidth="1"/>
    <col min="12" max="12" width="23.42578125" style="662" customWidth="1"/>
    <col min="13" max="13" width="26.42578125" style="662" customWidth="1"/>
    <col min="14" max="14" width="23.85546875" style="662"/>
    <col min="15" max="15" width="23.85546875" style="524"/>
    <col min="16" max="16" width="23.85546875" style="663"/>
    <col min="17" max="16384" width="23.85546875" style="524"/>
  </cols>
  <sheetData>
    <row r="1" spans="1:29" ht="24.95" customHeight="1" x14ac:dyDescent="0.35">
      <c r="A1" s="935" t="s">
        <v>598</v>
      </c>
      <c r="B1" s="942"/>
      <c r="C1" s="518"/>
      <c r="D1" s="942"/>
      <c r="E1" s="516"/>
      <c r="F1" s="516"/>
      <c r="G1" s="518"/>
      <c r="H1" s="519"/>
      <c r="I1" s="520"/>
      <c r="J1" s="521"/>
      <c r="K1" s="521"/>
      <c r="L1" s="521"/>
      <c r="M1" s="521"/>
      <c r="N1" s="521"/>
      <c r="O1" s="522"/>
      <c r="P1" s="523"/>
    </row>
    <row r="2" spans="1:29" ht="24.95" customHeight="1" x14ac:dyDescent="0.35">
      <c r="A2" s="936" t="s">
        <v>9</v>
      </c>
      <c r="B2" s="943"/>
      <c r="C2" s="529"/>
      <c r="D2" s="943"/>
      <c r="E2" s="527"/>
      <c r="F2" s="527"/>
      <c r="G2" s="529"/>
      <c r="H2" s="530"/>
      <c r="I2" s="531"/>
      <c r="J2" s="532"/>
      <c r="K2" s="532"/>
      <c r="L2" s="532"/>
      <c r="M2" s="532"/>
      <c r="N2" s="532"/>
      <c r="O2" s="533"/>
      <c r="P2" s="534"/>
    </row>
    <row r="3" spans="1:29" ht="24.95" customHeight="1" x14ac:dyDescent="0.35">
      <c r="A3" s="936" t="s">
        <v>10</v>
      </c>
      <c r="B3" s="943"/>
      <c r="C3" s="529"/>
      <c r="D3" s="943"/>
      <c r="E3" s="527"/>
      <c r="F3" s="527"/>
      <c r="G3" s="529"/>
      <c r="H3" s="530"/>
      <c r="I3" s="535"/>
      <c r="J3" s="536"/>
      <c r="K3" s="536"/>
      <c r="L3" s="536"/>
      <c r="M3" s="536"/>
      <c r="N3" s="536"/>
      <c r="O3" s="537"/>
      <c r="P3" s="538"/>
    </row>
    <row r="4" spans="1:29" ht="24.95" customHeight="1" x14ac:dyDescent="0.35">
      <c r="A4" s="936" t="s">
        <v>632</v>
      </c>
      <c r="B4" s="943"/>
      <c r="C4" s="529"/>
      <c r="D4" s="943"/>
      <c r="E4" s="527"/>
      <c r="F4" s="527"/>
      <c r="G4" s="529"/>
      <c r="H4" s="530"/>
      <c r="I4" s="535"/>
      <c r="J4" s="536"/>
      <c r="K4" s="536"/>
      <c r="L4" s="536"/>
      <c r="M4" s="536"/>
      <c r="N4" s="536"/>
      <c r="O4" s="537"/>
      <c r="P4" s="538"/>
    </row>
    <row r="5" spans="1:29" ht="24.95" customHeight="1" x14ac:dyDescent="0.35">
      <c r="A5" s="938"/>
      <c r="B5" s="526"/>
      <c r="C5" s="527"/>
      <c r="D5" s="528"/>
      <c r="E5" s="527"/>
      <c r="F5" s="527"/>
      <c r="G5" s="529"/>
      <c r="H5" s="540"/>
      <c r="I5" s="541"/>
      <c r="J5" s="542"/>
      <c r="K5" s="542"/>
      <c r="L5" s="542"/>
      <c r="M5" s="542"/>
      <c r="N5" s="542"/>
      <c r="O5" s="542"/>
      <c r="P5" s="543"/>
    </row>
    <row r="6" spans="1:29" s="565" customFormat="1" ht="24.95" customHeight="1" x14ac:dyDescent="0.35">
      <c r="A6" s="937" t="s">
        <v>0</v>
      </c>
      <c r="B6" s="545" t="s">
        <v>1</v>
      </c>
      <c r="C6" s="546" t="s">
        <v>2</v>
      </c>
      <c r="D6" s="547" t="s">
        <v>89</v>
      </c>
      <c r="E6" s="546" t="s">
        <v>76</v>
      </c>
      <c r="F6" s="546" t="s">
        <v>3</v>
      </c>
      <c r="G6" s="548" t="s">
        <v>4</v>
      </c>
      <c r="H6" s="549"/>
      <c r="I6" s="550" t="s">
        <v>69</v>
      </c>
      <c r="J6" s="551" t="s">
        <v>70</v>
      </c>
      <c r="K6" s="551" t="s">
        <v>71</v>
      </c>
      <c r="L6" s="551" t="s">
        <v>72</v>
      </c>
      <c r="M6" s="551" t="s">
        <v>75</v>
      </c>
      <c r="N6" s="551" t="s">
        <v>73</v>
      </c>
      <c r="O6" s="551" t="s">
        <v>74</v>
      </c>
      <c r="P6" s="552" t="s">
        <v>323</v>
      </c>
      <c r="Q6" s="553" t="s">
        <v>7</v>
      </c>
      <c r="R6" s="554" t="s">
        <v>6</v>
      </c>
    </row>
    <row r="7" spans="1:29" s="760" customFormat="1" ht="24.95" customHeight="1" x14ac:dyDescent="0.35">
      <c r="A7" s="967">
        <v>43878</v>
      </c>
      <c r="B7" s="925" t="s">
        <v>63</v>
      </c>
      <c r="C7" s="925"/>
      <c r="D7" s="925" t="s">
        <v>90</v>
      </c>
      <c r="E7" s="925"/>
      <c r="F7" s="925"/>
      <c r="G7" s="925" t="s">
        <v>102</v>
      </c>
      <c r="H7" s="925"/>
      <c r="I7" s="965"/>
      <c r="J7" s="965"/>
      <c r="K7" s="965"/>
      <c r="L7" s="965"/>
      <c r="M7" s="965"/>
      <c r="N7" s="965"/>
      <c r="O7" s="965">
        <v>33421.01</v>
      </c>
      <c r="P7" s="925" t="s">
        <v>22</v>
      </c>
      <c r="Q7" s="950"/>
      <c r="R7" s="951"/>
      <c r="S7" s="951"/>
      <c r="T7" s="951"/>
      <c r="U7" s="951"/>
      <c r="V7" s="951"/>
      <c r="W7" s="951"/>
      <c r="X7" s="951"/>
      <c r="Y7" s="944"/>
      <c r="Z7" s="944"/>
      <c r="AA7" s="944"/>
      <c r="AB7" s="944"/>
      <c r="AC7" s="944"/>
    </row>
    <row r="8" spans="1:29" s="771" customFormat="1" ht="24.95" customHeight="1" x14ac:dyDescent="0.35">
      <c r="A8" s="968">
        <v>44092</v>
      </c>
      <c r="B8" s="925" t="s">
        <v>78</v>
      </c>
      <c r="C8" s="925"/>
      <c r="D8" s="925" t="s">
        <v>92</v>
      </c>
      <c r="E8" s="925"/>
      <c r="F8" s="964"/>
      <c r="G8" s="964" t="s">
        <v>77</v>
      </c>
      <c r="H8" s="925"/>
      <c r="I8" s="965"/>
      <c r="J8" s="965"/>
      <c r="K8" s="965"/>
      <c r="L8" s="965"/>
      <c r="M8" s="965"/>
      <c r="N8" s="965"/>
      <c r="O8" s="966">
        <v>108000</v>
      </c>
      <c r="P8" s="925"/>
      <c r="Q8" s="952"/>
      <c r="R8" s="953"/>
      <c r="S8" s="953"/>
      <c r="T8" s="953"/>
      <c r="U8" s="953"/>
      <c r="V8" s="953"/>
      <c r="W8" s="953"/>
      <c r="X8" s="953"/>
      <c r="Y8" s="945"/>
      <c r="Z8" s="945"/>
      <c r="AA8" s="945"/>
      <c r="AB8" s="945"/>
      <c r="AC8" s="945"/>
    </row>
    <row r="9" spans="1:29" s="782" customFormat="1" ht="24.95" customHeight="1" x14ac:dyDescent="0.35">
      <c r="A9" s="968">
        <v>44352</v>
      </c>
      <c r="B9" s="925" t="s">
        <v>107</v>
      </c>
      <c r="C9" s="925"/>
      <c r="D9" s="925" t="s">
        <v>90</v>
      </c>
      <c r="E9" s="964"/>
      <c r="F9" s="964">
        <v>1918</v>
      </c>
      <c r="G9" s="964">
        <v>4457</v>
      </c>
      <c r="H9" s="925"/>
      <c r="I9" s="965"/>
      <c r="J9" s="965"/>
      <c r="K9" s="965"/>
      <c r="L9" s="965"/>
      <c r="M9" s="965"/>
      <c r="N9" s="965"/>
      <c r="O9" s="966">
        <v>36289.599999999999</v>
      </c>
      <c r="P9" s="964"/>
      <c r="Q9" s="952"/>
      <c r="R9" s="953"/>
      <c r="S9" s="953"/>
      <c r="T9" s="953"/>
      <c r="U9" s="953"/>
      <c r="V9" s="953"/>
      <c r="W9" s="953"/>
      <c r="X9" s="953"/>
      <c r="Y9" s="945"/>
      <c r="Z9" s="945"/>
      <c r="AA9" s="945"/>
      <c r="AB9" s="945"/>
      <c r="AC9" s="945"/>
    </row>
    <row r="10" spans="1:29" s="782" customFormat="1" ht="24.95" customHeight="1" x14ac:dyDescent="0.35">
      <c r="A10" s="968">
        <v>44413</v>
      </c>
      <c r="B10" s="925" t="s">
        <v>107</v>
      </c>
      <c r="C10" s="925"/>
      <c r="D10" s="925" t="s">
        <v>90</v>
      </c>
      <c r="E10" s="964"/>
      <c r="F10" s="964"/>
      <c r="G10" s="964">
        <v>4457</v>
      </c>
      <c r="H10" s="925"/>
      <c r="I10" s="965"/>
      <c r="J10" s="965"/>
      <c r="K10" s="965"/>
      <c r="L10" s="965"/>
      <c r="M10" s="965"/>
      <c r="N10" s="965"/>
      <c r="O10" s="966">
        <v>176976.8</v>
      </c>
      <c r="P10" s="964"/>
      <c r="Q10" s="952"/>
      <c r="R10" s="953"/>
      <c r="S10" s="953"/>
      <c r="T10" s="953"/>
      <c r="U10" s="953"/>
      <c r="V10" s="953"/>
      <c r="W10" s="953"/>
      <c r="X10" s="953"/>
      <c r="Y10" s="945"/>
      <c r="Z10" s="945"/>
      <c r="AA10" s="945"/>
      <c r="AB10" s="945"/>
      <c r="AC10" s="945"/>
    </row>
    <row r="11" spans="1:29" s="782" customFormat="1" ht="24.95" customHeight="1" x14ac:dyDescent="0.35">
      <c r="A11" s="968">
        <v>44420</v>
      </c>
      <c r="B11" s="925" t="s">
        <v>108</v>
      </c>
      <c r="C11" s="925"/>
      <c r="D11" s="925" t="s">
        <v>90</v>
      </c>
      <c r="E11" s="964"/>
      <c r="F11" s="964"/>
      <c r="G11" s="964" t="s">
        <v>120</v>
      </c>
      <c r="H11" s="925"/>
      <c r="I11" s="965"/>
      <c r="J11" s="965"/>
      <c r="K11" s="965"/>
      <c r="L11" s="965"/>
      <c r="M11" s="965"/>
      <c r="N11" s="965"/>
      <c r="O11" s="965">
        <v>470000</v>
      </c>
      <c r="P11" s="964"/>
      <c r="Q11" s="952"/>
      <c r="R11" s="953" t="s">
        <v>121</v>
      </c>
      <c r="S11" s="953"/>
      <c r="T11" s="953"/>
      <c r="U11" s="953"/>
      <c r="V11" s="953"/>
      <c r="W11" s="953"/>
      <c r="X11" s="953"/>
      <c r="Y11" s="945"/>
      <c r="Z11" s="945"/>
      <c r="AA11" s="945"/>
      <c r="AB11" s="945"/>
      <c r="AC11" s="945"/>
    </row>
    <row r="12" spans="1:29" s="775" customFormat="1" ht="24.95" customHeight="1" x14ac:dyDescent="0.35">
      <c r="A12" s="968">
        <v>44480</v>
      </c>
      <c r="B12" s="925" t="s">
        <v>43</v>
      </c>
      <c r="C12" s="925"/>
      <c r="D12" s="964" t="s">
        <v>90</v>
      </c>
      <c r="E12" s="964"/>
      <c r="F12" s="925">
        <v>2019</v>
      </c>
      <c r="G12" s="964" t="s">
        <v>132</v>
      </c>
      <c r="H12" s="925"/>
      <c r="I12" s="965"/>
      <c r="J12" s="965"/>
      <c r="K12" s="965"/>
      <c r="L12" s="965"/>
      <c r="M12" s="965"/>
      <c r="N12" s="965"/>
      <c r="O12" s="965">
        <v>147281.20000000001</v>
      </c>
      <c r="P12" s="964"/>
      <c r="Q12" s="952"/>
      <c r="R12" s="954" t="s">
        <v>133</v>
      </c>
      <c r="S12" s="955"/>
      <c r="T12" s="955"/>
      <c r="U12" s="955"/>
      <c r="V12" s="955"/>
      <c r="W12" s="955"/>
      <c r="X12" s="955"/>
      <c r="Y12" s="946"/>
      <c r="Z12" s="946"/>
      <c r="AA12" s="946"/>
      <c r="AB12" s="946"/>
      <c r="AC12" s="946"/>
    </row>
    <row r="13" spans="1:29" s="782" customFormat="1" ht="27.75" customHeight="1" x14ac:dyDescent="0.35">
      <c r="A13" s="968">
        <v>44589</v>
      </c>
      <c r="B13" s="925" t="s">
        <v>125</v>
      </c>
      <c r="C13" s="925"/>
      <c r="D13" s="925" t="s">
        <v>90</v>
      </c>
      <c r="E13" s="964"/>
      <c r="F13" s="964"/>
      <c r="G13" s="964">
        <v>4880</v>
      </c>
      <c r="H13" s="925"/>
      <c r="I13" s="965"/>
      <c r="J13" s="965"/>
      <c r="K13" s="965"/>
      <c r="L13" s="965"/>
      <c r="M13" s="965"/>
      <c r="N13" s="965"/>
      <c r="O13" s="965">
        <v>37000</v>
      </c>
      <c r="P13" s="925" t="s">
        <v>22</v>
      </c>
      <c r="Q13" s="952"/>
      <c r="R13" s="953" t="s">
        <v>126</v>
      </c>
      <c r="S13" s="953"/>
      <c r="T13" s="953"/>
      <c r="U13" s="953"/>
      <c r="V13" s="953"/>
      <c r="W13" s="953"/>
      <c r="X13" s="953"/>
      <c r="Y13" s="945"/>
      <c r="Z13" s="945"/>
      <c r="AA13" s="945"/>
      <c r="AB13" s="945"/>
      <c r="AC13" s="945"/>
    </row>
    <row r="14" spans="1:29" s="782" customFormat="1" ht="24.95" customHeight="1" x14ac:dyDescent="0.35">
      <c r="A14" s="968">
        <v>44607</v>
      </c>
      <c r="B14" s="925" t="s">
        <v>59</v>
      </c>
      <c r="C14" s="925"/>
      <c r="D14" s="925" t="s">
        <v>90</v>
      </c>
      <c r="E14" s="964" t="s">
        <v>135</v>
      </c>
      <c r="F14" s="964"/>
      <c r="G14" s="964" t="s">
        <v>131</v>
      </c>
      <c r="H14" s="925"/>
      <c r="I14" s="965"/>
      <c r="J14" s="965"/>
      <c r="K14" s="965"/>
      <c r="L14" s="965"/>
      <c r="M14" s="965"/>
      <c r="N14" s="965"/>
      <c r="O14" s="965">
        <v>16076.04</v>
      </c>
      <c r="P14" s="925" t="s">
        <v>22</v>
      </c>
      <c r="Q14" s="952"/>
      <c r="R14" s="954" t="s">
        <v>134</v>
      </c>
      <c r="S14" s="953"/>
      <c r="T14" s="953"/>
      <c r="U14" s="953"/>
      <c r="V14" s="953"/>
      <c r="W14" s="953"/>
      <c r="X14" s="953"/>
      <c r="Y14" s="945"/>
      <c r="Z14" s="945"/>
      <c r="AA14" s="945"/>
      <c r="AB14" s="945"/>
      <c r="AC14" s="945"/>
    </row>
    <row r="15" spans="1:29" s="800" customFormat="1" ht="24.95" customHeight="1" x14ac:dyDescent="0.35">
      <c r="A15" s="968">
        <v>44609</v>
      </c>
      <c r="B15" s="925" t="s">
        <v>59</v>
      </c>
      <c r="C15" s="925"/>
      <c r="D15" s="925" t="s">
        <v>90</v>
      </c>
      <c r="E15" s="964" t="s">
        <v>129</v>
      </c>
      <c r="F15" s="964"/>
      <c r="G15" s="964" t="s">
        <v>118</v>
      </c>
      <c r="H15" s="925"/>
      <c r="I15" s="965"/>
      <c r="J15" s="965"/>
      <c r="K15" s="978"/>
      <c r="L15" s="965"/>
      <c r="M15" s="965"/>
      <c r="N15" s="965"/>
      <c r="O15" s="965">
        <v>7186.99</v>
      </c>
      <c r="P15" s="925" t="s">
        <v>22</v>
      </c>
      <c r="Q15" s="20"/>
      <c r="R15" s="956" t="s">
        <v>130</v>
      </c>
      <c r="S15" s="956"/>
      <c r="T15" s="956"/>
      <c r="U15" s="956"/>
      <c r="V15" s="956"/>
      <c r="W15" s="956"/>
      <c r="X15" s="956"/>
      <c r="Y15" s="947"/>
      <c r="Z15" s="947"/>
      <c r="AA15" s="947"/>
      <c r="AB15" s="947"/>
      <c r="AC15" s="947"/>
    </row>
    <row r="16" spans="1:29" s="782" customFormat="1" ht="24.95" customHeight="1" x14ac:dyDescent="0.35">
      <c r="A16" s="968">
        <v>44614</v>
      </c>
      <c r="B16" s="925" t="s">
        <v>136</v>
      </c>
      <c r="C16" s="925"/>
      <c r="D16" s="925" t="s">
        <v>92</v>
      </c>
      <c r="E16" s="964"/>
      <c r="F16" s="964"/>
      <c r="G16" s="964" t="s">
        <v>376</v>
      </c>
      <c r="H16" s="925"/>
      <c r="I16" s="965"/>
      <c r="J16" s="965"/>
      <c r="K16" s="978"/>
      <c r="L16" s="965"/>
      <c r="M16" s="965"/>
      <c r="N16" s="965"/>
      <c r="O16" s="965">
        <v>526625</v>
      </c>
      <c r="P16" s="925"/>
      <c r="Q16" s="20"/>
      <c r="R16" s="953" t="s">
        <v>193</v>
      </c>
      <c r="S16" s="953"/>
      <c r="T16" s="953"/>
      <c r="U16" s="953"/>
      <c r="V16" s="953"/>
      <c r="W16" s="953"/>
      <c r="X16" s="953"/>
      <c r="Y16" s="945"/>
      <c r="Z16" s="945"/>
      <c r="AA16" s="945"/>
      <c r="AB16" s="945"/>
      <c r="AC16" s="945"/>
    </row>
    <row r="17" spans="1:29" s="782" customFormat="1" ht="24.95" customHeight="1" x14ac:dyDescent="0.35">
      <c r="A17" s="968">
        <v>44631</v>
      </c>
      <c r="B17" s="925" t="s">
        <v>136</v>
      </c>
      <c r="C17" s="925"/>
      <c r="D17" s="925" t="s">
        <v>92</v>
      </c>
      <c r="E17" s="964"/>
      <c r="F17" s="964"/>
      <c r="G17" s="964">
        <v>4943</v>
      </c>
      <c r="H17" s="925"/>
      <c r="I17" s="965"/>
      <c r="J17" s="965"/>
      <c r="K17" s="965"/>
      <c r="L17" s="965"/>
      <c r="M17" s="965"/>
      <c r="N17" s="965"/>
      <c r="O17" s="965">
        <v>5975</v>
      </c>
      <c r="P17" s="964"/>
      <c r="Q17" s="20"/>
      <c r="R17" s="953" t="s">
        <v>138</v>
      </c>
      <c r="S17" s="953"/>
      <c r="T17" s="953"/>
      <c r="U17" s="953"/>
      <c r="V17" s="953"/>
      <c r="W17" s="953"/>
      <c r="X17" s="953"/>
      <c r="Y17" s="945"/>
      <c r="Z17" s="945"/>
      <c r="AA17" s="945"/>
      <c r="AB17" s="945"/>
      <c r="AC17" s="945"/>
    </row>
    <row r="18" spans="1:29" s="782" customFormat="1" ht="24.95" customHeight="1" x14ac:dyDescent="0.35">
      <c r="A18" s="968">
        <v>44638</v>
      </c>
      <c r="B18" s="925" t="s">
        <v>136</v>
      </c>
      <c r="C18" s="925"/>
      <c r="D18" s="925" t="s">
        <v>92</v>
      </c>
      <c r="E18" s="964"/>
      <c r="F18" s="964"/>
      <c r="G18" s="964">
        <v>4953</v>
      </c>
      <c r="H18" s="925"/>
      <c r="I18" s="965"/>
      <c r="J18" s="965"/>
      <c r="K18" s="965"/>
      <c r="L18" s="965"/>
      <c r="M18" s="965"/>
      <c r="N18" s="965"/>
      <c r="O18" s="965">
        <v>4950</v>
      </c>
      <c r="P18" s="964"/>
      <c r="Q18" s="20"/>
      <c r="R18" s="953" t="s">
        <v>139</v>
      </c>
      <c r="S18" s="953"/>
      <c r="T18" s="953"/>
      <c r="U18" s="953"/>
      <c r="V18" s="953"/>
      <c r="W18" s="953"/>
      <c r="X18" s="953"/>
      <c r="Y18" s="945"/>
      <c r="Z18" s="945"/>
      <c r="AA18" s="945"/>
      <c r="AB18" s="945"/>
      <c r="AC18" s="945"/>
    </row>
    <row r="19" spans="1:29" s="782" customFormat="1" ht="24.95" customHeight="1" x14ac:dyDescent="0.35">
      <c r="A19" s="968">
        <v>44711</v>
      </c>
      <c r="B19" s="925" t="s">
        <v>153</v>
      </c>
      <c r="C19" s="925"/>
      <c r="D19" s="925" t="s">
        <v>92</v>
      </c>
      <c r="E19" s="964"/>
      <c r="F19" s="964"/>
      <c r="G19" s="964" t="s">
        <v>181</v>
      </c>
      <c r="H19" s="925"/>
      <c r="I19" s="965"/>
      <c r="J19" s="965"/>
      <c r="K19" s="965"/>
      <c r="L19" s="965"/>
      <c r="M19" s="965"/>
      <c r="N19" s="965"/>
      <c r="O19" s="965">
        <v>164667</v>
      </c>
      <c r="P19" s="925"/>
      <c r="Q19" s="20"/>
      <c r="R19" s="954" t="s">
        <v>182</v>
      </c>
      <c r="S19" s="953"/>
      <c r="T19" s="953"/>
      <c r="U19" s="953"/>
      <c r="V19" s="953"/>
      <c r="W19" s="953"/>
      <c r="X19" s="953"/>
      <c r="Y19" s="945"/>
      <c r="Z19" s="945"/>
      <c r="AA19" s="945"/>
      <c r="AB19" s="945"/>
      <c r="AC19" s="945"/>
    </row>
    <row r="20" spans="1:29" s="800" customFormat="1" ht="24.95" customHeight="1" x14ac:dyDescent="0.35">
      <c r="A20" s="968">
        <v>44714</v>
      </c>
      <c r="B20" s="925" t="s">
        <v>59</v>
      </c>
      <c r="C20" s="925"/>
      <c r="D20" s="925" t="s">
        <v>90</v>
      </c>
      <c r="E20" s="964"/>
      <c r="F20" s="964">
        <v>2062</v>
      </c>
      <c r="G20" s="964" t="s">
        <v>118</v>
      </c>
      <c r="H20" s="925"/>
      <c r="I20" s="965"/>
      <c r="J20" s="965"/>
      <c r="K20" s="965"/>
      <c r="L20" s="965"/>
      <c r="M20" s="965"/>
      <c r="N20" s="965">
        <f>O14+O15+O20+O21+O22+O27+O28+O29+O41</f>
        <v>392024.11</v>
      </c>
      <c r="O20" s="965">
        <v>77456</v>
      </c>
      <c r="P20" s="925" t="s">
        <v>22</v>
      </c>
      <c r="Q20" s="20"/>
      <c r="R20" s="957" t="s">
        <v>142</v>
      </c>
      <c r="S20" s="956"/>
      <c r="T20" s="956"/>
      <c r="U20" s="956"/>
      <c r="V20" s="956"/>
      <c r="W20" s="956"/>
      <c r="X20" s="956"/>
      <c r="Y20" s="947"/>
      <c r="Z20" s="947"/>
      <c r="AA20" s="947"/>
      <c r="AB20" s="947"/>
      <c r="AC20" s="947"/>
    </row>
    <row r="21" spans="1:29" s="800" customFormat="1" ht="24.95" customHeight="1" x14ac:dyDescent="0.35">
      <c r="A21" s="968">
        <v>44714</v>
      </c>
      <c r="B21" s="925" t="s">
        <v>59</v>
      </c>
      <c r="C21" s="925"/>
      <c r="D21" s="925" t="s">
        <v>90</v>
      </c>
      <c r="E21" s="964" t="s">
        <v>143</v>
      </c>
      <c r="F21" s="964"/>
      <c r="G21" s="964" t="s">
        <v>118</v>
      </c>
      <c r="H21" s="925"/>
      <c r="I21" s="965"/>
      <c r="J21" s="965"/>
      <c r="K21" s="965"/>
      <c r="L21" s="965"/>
      <c r="M21" s="965"/>
      <c r="N21" s="965"/>
      <c r="O21" s="965">
        <v>72499.08</v>
      </c>
      <c r="P21" s="925" t="s">
        <v>22</v>
      </c>
      <c r="Q21" s="20"/>
      <c r="R21" s="957" t="s">
        <v>144</v>
      </c>
      <c r="S21" s="956"/>
      <c r="T21" s="956"/>
      <c r="U21" s="956"/>
      <c r="V21" s="956"/>
      <c r="W21" s="956"/>
      <c r="X21" s="956"/>
      <c r="Y21" s="947"/>
      <c r="Z21" s="947"/>
      <c r="AA21" s="947"/>
      <c r="AB21" s="947"/>
      <c r="AC21" s="947"/>
    </row>
    <row r="22" spans="1:29" s="800" customFormat="1" ht="24.95" customHeight="1" x14ac:dyDescent="0.35">
      <c r="A22" s="968">
        <v>44741</v>
      </c>
      <c r="B22" s="925" t="s">
        <v>59</v>
      </c>
      <c r="C22" s="925"/>
      <c r="D22" s="925" t="s">
        <v>90</v>
      </c>
      <c r="E22" s="964" t="s">
        <v>166</v>
      </c>
      <c r="F22" s="964"/>
      <c r="G22" s="964">
        <v>5908</v>
      </c>
      <c r="H22" s="925"/>
      <c r="I22" s="965"/>
      <c r="J22" s="965"/>
      <c r="K22" s="965"/>
      <c r="L22" s="965"/>
      <c r="M22" s="965"/>
      <c r="N22" s="965"/>
      <c r="O22" s="965">
        <v>510</v>
      </c>
      <c r="P22" s="925" t="s">
        <v>22</v>
      </c>
      <c r="Q22" s="20"/>
      <c r="R22" s="957" t="s">
        <v>167</v>
      </c>
      <c r="S22" s="956"/>
      <c r="T22" s="956"/>
      <c r="U22" s="956"/>
      <c r="V22" s="956"/>
      <c r="W22" s="956"/>
      <c r="X22" s="956"/>
      <c r="Y22" s="947"/>
      <c r="Z22" s="947"/>
      <c r="AA22" s="947"/>
      <c r="AB22" s="947"/>
      <c r="AC22" s="947"/>
    </row>
    <row r="23" spans="1:29" s="782" customFormat="1" ht="24.95" customHeight="1" x14ac:dyDescent="0.35">
      <c r="A23" s="968">
        <v>44768</v>
      </c>
      <c r="B23" s="925" t="s">
        <v>159</v>
      </c>
      <c r="C23" s="925"/>
      <c r="D23" s="925" t="s">
        <v>90</v>
      </c>
      <c r="E23" s="964"/>
      <c r="F23" s="964"/>
      <c r="G23" s="964" t="s">
        <v>151</v>
      </c>
      <c r="H23" s="925"/>
      <c r="I23" s="965"/>
      <c r="J23" s="965"/>
      <c r="K23" s="965"/>
      <c r="L23" s="965"/>
      <c r="M23" s="965"/>
      <c r="N23" s="965"/>
      <c r="O23" s="965" t="s">
        <v>479</v>
      </c>
      <c r="P23" s="925" t="s">
        <v>22</v>
      </c>
      <c r="Q23" s="20"/>
      <c r="R23" s="958" t="s">
        <v>199</v>
      </c>
      <c r="S23" s="953"/>
      <c r="T23" s="953"/>
      <c r="U23" s="953"/>
      <c r="V23" s="953"/>
      <c r="W23" s="953"/>
      <c r="X23" s="953"/>
      <c r="Y23" s="945"/>
      <c r="Z23" s="945"/>
      <c r="AA23" s="945"/>
      <c r="AB23" s="945"/>
      <c r="AC23" s="945"/>
    </row>
    <row r="24" spans="1:29" s="782" customFormat="1" ht="24.95" customHeight="1" x14ac:dyDescent="0.35">
      <c r="A24" s="968">
        <v>44786</v>
      </c>
      <c r="B24" s="925" t="s">
        <v>150</v>
      </c>
      <c r="C24" s="925"/>
      <c r="D24" s="925" t="s">
        <v>94</v>
      </c>
      <c r="E24" s="964"/>
      <c r="F24" s="964">
        <v>2136</v>
      </c>
      <c r="G24" s="964" t="s">
        <v>170</v>
      </c>
      <c r="H24" s="925"/>
      <c r="I24" s="965"/>
      <c r="J24" s="965"/>
      <c r="K24" s="965"/>
      <c r="L24" s="965"/>
      <c r="M24" s="965"/>
      <c r="N24" s="965"/>
      <c r="O24" s="965">
        <v>193400</v>
      </c>
      <c r="P24" s="964" t="s">
        <v>22</v>
      </c>
      <c r="Q24" s="20"/>
      <c r="R24" s="954" t="s">
        <v>171</v>
      </c>
      <c r="S24" s="953"/>
      <c r="T24" s="953"/>
      <c r="U24" s="953"/>
      <c r="V24" s="953"/>
      <c r="W24" s="953"/>
      <c r="X24" s="953"/>
      <c r="Y24" s="945"/>
      <c r="Z24" s="945"/>
      <c r="AA24" s="945"/>
      <c r="AB24" s="945"/>
      <c r="AC24" s="945"/>
    </row>
    <row r="25" spans="1:29" s="782" customFormat="1" ht="24.95" customHeight="1" x14ac:dyDescent="0.35">
      <c r="A25" s="968">
        <v>44824</v>
      </c>
      <c r="B25" s="925" t="s">
        <v>43</v>
      </c>
      <c r="C25" s="925"/>
      <c r="D25" s="925" t="s">
        <v>90</v>
      </c>
      <c r="E25" s="964"/>
      <c r="F25" s="964">
        <v>2162</v>
      </c>
      <c r="G25" s="964">
        <v>5218</v>
      </c>
      <c r="H25" s="925"/>
      <c r="I25" s="965"/>
      <c r="J25" s="965"/>
      <c r="K25" s="965"/>
      <c r="L25" s="965"/>
      <c r="M25" s="965"/>
      <c r="N25" s="965"/>
      <c r="O25" s="965">
        <v>54650</v>
      </c>
      <c r="P25" s="964"/>
      <c r="Q25" s="20"/>
      <c r="R25" s="954" t="s">
        <v>174</v>
      </c>
      <c r="S25" s="953"/>
      <c r="T25" s="953"/>
      <c r="U25" s="953"/>
      <c r="V25" s="953"/>
      <c r="W25" s="953"/>
      <c r="X25" s="953"/>
      <c r="Y25" s="945"/>
      <c r="Z25" s="945"/>
      <c r="AA25" s="945"/>
      <c r="AB25" s="945"/>
      <c r="AC25" s="945"/>
    </row>
    <row r="26" spans="1:29" s="782" customFormat="1" ht="24.95" customHeight="1" x14ac:dyDescent="0.35">
      <c r="A26" s="968">
        <v>44839</v>
      </c>
      <c r="B26" s="925" t="s">
        <v>43</v>
      </c>
      <c r="C26" s="925"/>
      <c r="D26" s="925" t="s">
        <v>90</v>
      </c>
      <c r="E26" s="964"/>
      <c r="F26" s="964">
        <v>2140</v>
      </c>
      <c r="G26" s="964">
        <v>5248</v>
      </c>
      <c r="H26" s="925"/>
      <c r="I26" s="965"/>
      <c r="J26" s="965"/>
      <c r="K26" s="965"/>
      <c r="L26" s="965"/>
      <c r="M26" s="965"/>
      <c r="N26" s="965"/>
      <c r="O26" s="965">
        <v>25000</v>
      </c>
      <c r="P26" s="964"/>
      <c r="Q26" s="20"/>
      <c r="R26" s="954" t="s">
        <v>160</v>
      </c>
      <c r="S26" s="953"/>
      <c r="T26" s="953"/>
      <c r="U26" s="953"/>
      <c r="V26" s="953"/>
      <c r="W26" s="953"/>
      <c r="X26" s="953"/>
      <c r="Y26" s="945"/>
      <c r="Z26" s="945"/>
      <c r="AA26" s="945"/>
      <c r="AB26" s="945"/>
      <c r="AC26" s="945"/>
    </row>
    <row r="27" spans="1:29" s="800" customFormat="1" ht="24.95" customHeight="1" x14ac:dyDescent="0.35">
      <c r="A27" s="968">
        <v>44855</v>
      </c>
      <c r="B27" s="925" t="s">
        <v>59</v>
      </c>
      <c r="C27" s="925"/>
      <c r="D27" s="925" t="s">
        <v>90</v>
      </c>
      <c r="E27" s="964" t="s">
        <v>164</v>
      </c>
      <c r="F27" s="964"/>
      <c r="G27" s="964">
        <v>5739</v>
      </c>
      <c r="H27" s="925"/>
      <c r="I27" s="965"/>
      <c r="J27" s="965"/>
      <c r="K27" s="965"/>
      <c r="L27" s="965"/>
      <c r="M27" s="965"/>
      <c r="N27" s="965"/>
      <c r="O27" s="965">
        <v>6650</v>
      </c>
      <c r="P27" s="925" t="s">
        <v>22</v>
      </c>
      <c r="Q27" s="20"/>
      <c r="R27" s="957" t="s">
        <v>165</v>
      </c>
      <c r="S27" s="956"/>
      <c r="T27" s="956"/>
      <c r="U27" s="956"/>
      <c r="V27" s="956"/>
      <c r="W27" s="956"/>
      <c r="X27" s="956"/>
      <c r="Y27" s="947"/>
      <c r="Z27" s="947"/>
      <c r="AA27" s="947"/>
      <c r="AB27" s="947"/>
      <c r="AC27" s="947"/>
    </row>
    <row r="28" spans="1:29" s="800" customFormat="1" ht="24.95" customHeight="1" x14ac:dyDescent="0.35">
      <c r="A28" s="968">
        <v>44855</v>
      </c>
      <c r="B28" s="925" t="s">
        <v>59</v>
      </c>
      <c r="C28" s="925"/>
      <c r="D28" s="925" t="s">
        <v>90</v>
      </c>
      <c r="E28" s="964" t="s">
        <v>168</v>
      </c>
      <c r="F28" s="964"/>
      <c r="G28" s="964" t="s">
        <v>118</v>
      </c>
      <c r="H28" s="925"/>
      <c r="I28" s="965"/>
      <c r="J28" s="965"/>
      <c r="K28" s="965"/>
      <c r="L28" s="965"/>
      <c r="M28" s="965"/>
      <c r="N28" s="965"/>
      <c r="O28" s="965">
        <v>3000</v>
      </c>
      <c r="P28" s="925" t="s">
        <v>22</v>
      </c>
      <c r="Q28" s="20"/>
      <c r="R28" s="957" t="s">
        <v>169</v>
      </c>
      <c r="S28" s="956"/>
      <c r="T28" s="956"/>
      <c r="U28" s="956"/>
      <c r="V28" s="956"/>
      <c r="W28" s="956"/>
      <c r="X28" s="956"/>
      <c r="Y28" s="947"/>
      <c r="Z28" s="947"/>
      <c r="AA28" s="947"/>
      <c r="AB28" s="947"/>
      <c r="AC28" s="947"/>
    </row>
    <row r="29" spans="1:29" s="800" customFormat="1" ht="24.95" customHeight="1" x14ac:dyDescent="0.35">
      <c r="A29" s="968">
        <v>44916</v>
      </c>
      <c r="B29" s="925" t="s">
        <v>59</v>
      </c>
      <c r="C29" s="925"/>
      <c r="D29" s="925" t="s">
        <v>90</v>
      </c>
      <c r="E29" s="964"/>
      <c r="F29" s="964">
        <v>2176</v>
      </c>
      <c r="G29" s="964" t="s">
        <v>118</v>
      </c>
      <c r="H29" s="925"/>
      <c r="I29" s="965"/>
      <c r="J29" s="965"/>
      <c r="K29" s="965"/>
      <c r="L29" s="965"/>
      <c r="M29" s="965"/>
      <c r="N29" s="965"/>
      <c r="O29" s="965">
        <v>186146</v>
      </c>
      <c r="P29" s="964"/>
      <c r="Q29" s="20"/>
      <c r="R29" s="957" t="s">
        <v>179</v>
      </c>
      <c r="S29" s="956"/>
      <c r="T29" s="956"/>
      <c r="U29" s="956"/>
      <c r="V29" s="956"/>
      <c r="W29" s="956"/>
      <c r="X29" s="956"/>
      <c r="Y29" s="947"/>
      <c r="Z29" s="947"/>
      <c r="AA29" s="947"/>
      <c r="AB29" s="947"/>
      <c r="AC29" s="947"/>
    </row>
    <row r="30" spans="1:29" s="813" customFormat="1" ht="24.95" customHeight="1" x14ac:dyDescent="0.35">
      <c r="A30" s="968">
        <v>44954</v>
      </c>
      <c r="B30" s="925" t="s">
        <v>145</v>
      </c>
      <c r="C30" s="925"/>
      <c r="D30" s="925" t="s">
        <v>92</v>
      </c>
      <c r="E30" s="964" t="s">
        <v>260</v>
      </c>
      <c r="F30" s="964"/>
      <c r="G30" s="964" t="s">
        <v>262</v>
      </c>
      <c r="H30" s="925"/>
      <c r="I30" s="965"/>
      <c r="J30" s="965"/>
      <c r="K30" s="965"/>
      <c r="L30" s="965"/>
      <c r="M30" s="965"/>
      <c r="N30" s="965"/>
      <c r="O30" s="965">
        <v>666000</v>
      </c>
      <c r="P30" s="925"/>
      <c r="Q30" s="20"/>
      <c r="R30" s="959" t="s">
        <v>264</v>
      </c>
      <c r="S30" s="960"/>
      <c r="T30" s="960"/>
      <c r="U30" s="960"/>
      <c r="V30" s="960"/>
      <c r="W30" s="960"/>
      <c r="X30" s="960"/>
      <c r="Y30" s="948"/>
      <c r="Z30" s="948"/>
      <c r="AA30" s="948"/>
      <c r="AB30" s="948"/>
      <c r="AC30" s="948"/>
    </row>
    <row r="31" spans="1:29" s="813" customFormat="1" ht="24.95" customHeight="1" x14ac:dyDescent="0.35">
      <c r="A31" s="968">
        <v>44954</v>
      </c>
      <c r="B31" s="925" t="s">
        <v>145</v>
      </c>
      <c r="C31" s="925"/>
      <c r="D31" s="925" t="s">
        <v>92</v>
      </c>
      <c r="E31" s="964" t="s">
        <v>261</v>
      </c>
      <c r="F31" s="964"/>
      <c r="G31" s="964" t="s">
        <v>263</v>
      </c>
      <c r="H31" s="925"/>
      <c r="I31" s="965"/>
      <c r="J31" s="965"/>
      <c r="K31" s="965"/>
      <c r="L31" s="965"/>
      <c r="M31" s="965"/>
      <c r="N31" s="965"/>
      <c r="O31" s="965">
        <v>657658.5</v>
      </c>
      <c r="P31" s="925"/>
      <c r="Q31" s="20"/>
      <c r="R31" s="959" t="s">
        <v>265</v>
      </c>
      <c r="S31" s="960"/>
      <c r="T31" s="960"/>
      <c r="U31" s="960"/>
      <c r="V31" s="960"/>
      <c r="W31" s="960"/>
      <c r="X31" s="960"/>
      <c r="Y31" s="948"/>
      <c r="Z31" s="948"/>
      <c r="AA31" s="948"/>
      <c r="AB31" s="948"/>
      <c r="AC31" s="948"/>
    </row>
    <row r="32" spans="1:29" s="782" customFormat="1" ht="24.95" customHeight="1" x14ac:dyDescent="0.35">
      <c r="A32" s="968">
        <v>44977</v>
      </c>
      <c r="B32" s="925" t="s">
        <v>110</v>
      </c>
      <c r="C32" s="925"/>
      <c r="D32" s="964" t="s">
        <v>92</v>
      </c>
      <c r="E32" s="964"/>
      <c r="F32" s="964"/>
      <c r="G32" s="964">
        <v>5407</v>
      </c>
      <c r="H32" s="925"/>
      <c r="I32" s="965"/>
      <c r="J32" s="965"/>
      <c r="K32" s="965"/>
      <c r="L32" s="965"/>
      <c r="M32" s="965"/>
      <c r="N32" s="965"/>
      <c r="O32" s="965">
        <v>89500</v>
      </c>
      <c r="P32" s="964"/>
      <c r="Q32" s="20"/>
      <c r="R32" s="954" t="s">
        <v>185</v>
      </c>
      <c r="S32" s="953"/>
      <c r="T32" s="953"/>
      <c r="U32" s="953"/>
      <c r="V32" s="953"/>
      <c r="W32" s="953"/>
      <c r="X32" s="953"/>
      <c r="Y32" s="945"/>
      <c r="Z32" s="945"/>
      <c r="AA32" s="945"/>
      <c r="AB32" s="945"/>
      <c r="AC32" s="945"/>
    </row>
    <row r="33" spans="1:29" s="782" customFormat="1" ht="24.95" customHeight="1" x14ac:dyDescent="0.35">
      <c r="A33" s="968" t="s">
        <v>190</v>
      </c>
      <c r="B33" s="925" t="s">
        <v>191</v>
      </c>
      <c r="C33" s="925"/>
      <c r="D33" s="925" t="s">
        <v>92</v>
      </c>
      <c r="E33" s="964"/>
      <c r="F33" s="964"/>
      <c r="G33" s="964" t="s">
        <v>118</v>
      </c>
      <c r="H33" s="925"/>
      <c r="I33" s="965"/>
      <c r="J33" s="965"/>
      <c r="K33" s="965"/>
      <c r="L33" s="965"/>
      <c r="M33" s="965"/>
      <c r="N33" s="965"/>
      <c r="O33" s="965">
        <v>67000</v>
      </c>
      <c r="P33" s="925" t="s">
        <v>22</v>
      </c>
      <c r="Q33" s="20"/>
      <c r="R33" s="954"/>
      <c r="S33" s="953"/>
      <c r="T33" s="953"/>
      <c r="U33" s="953"/>
      <c r="V33" s="953"/>
      <c r="W33" s="953"/>
      <c r="X33" s="953"/>
      <c r="Y33" s="945"/>
      <c r="Z33" s="945"/>
      <c r="AA33" s="945"/>
      <c r="AB33" s="945"/>
      <c r="AC33" s="945"/>
    </row>
    <row r="34" spans="1:29" s="813" customFormat="1" ht="24.95" customHeight="1" x14ac:dyDescent="0.35">
      <c r="A34" s="968">
        <v>45017</v>
      </c>
      <c r="B34" s="925" t="s">
        <v>145</v>
      </c>
      <c r="C34" s="925"/>
      <c r="D34" s="925" t="s">
        <v>92</v>
      </c>
      <c r="E34" s="964"/>
      <c r="F34" s="964"/>
      <c r="G34" s="964">
        <v>5460</v>
      </c>
      <c r="H34" s="925" t="s">
        <v>257</v>
      </c>
      <c r="I34" s="965"/>
      <c r="J34" s="965"/>
      <c r="K34" s="965"/>
      <c r="L34" s="965"/>
      <c r="M34" s="965"/>
      <c r="N34" s="965"/>
      <c r="O34" s="965">
        <v>413995.98</v>
      </c>
      <c r="P34" s="964"/>
      <c r="Q34" s="20"/>
      <c r="R34" s="959" t="s">
        <v>276</v>
      </c>
      <c r="S34" s="960"/>
      <c r="T34" s="960"/>
      <c r="U34" s="960"/>
      <c r="V34" s="960"/>
      <c r="W34" s="960"/>
      <c r="X34" s="960"/>
      <c r="Y34" s="948"/>
      <c r="Z34" s="948"/>
      <c r="AA34" s="948"/>
      <c r="AB34" s="948"/>
      <c r="AC34" s="948"/>
    </row>
    <row r="35" spans="1:29" s="749" customFormat="1" ht="24.95" customHeight="1" x14ac:dyDescent="0.35">
      <c r="A35" s="968">
        <v>45147</v>
      </c>
      <c r="B35" s="925" t="s">
        <v>205</v>
      </c>
      <c r="C35" s="925"/>
      <c r="D35" s="925" t="s">
        <v>92</v>
      </c>
      <c r="E35" s="964"/>
      <c r="F35" s="964"/>
      <c r="G35" s="964">
        <v>5568</v>
      </c>
      <c r="H35" s="925"/>
      <c r="I35" s="965"/>
      <c r="J35" s="965"/>
      <c r="K35" s="965"/>
      <c r="L35" s="965"/>
      <c r="M35" s="965"/>
      <c r="N35" s="965"/>
      <c r="O35" s="965">
        <v>10000</v>
      </c>
      <c r="P35" s="925" t="s">
        <v>210</v>
      </c>
      <c r="Q35" s="20"/>
      <c r="R35" s="951" t="s">
        <v>206</v>
      </c>
      <c r="S35" s="951"/>
      <c r="T35" s="951"/>
      <c r="U35" s="951"/>
      <c r="V35" s="951"/>
      <c r="W35" s="951"/>
      <c r="X35" s="951"/>
      <c r="Y35" s="944"/>
      <c r="Z35" s="944"/>
      <c r="AA35" s="944"/>
      <c r="AB35" s="944"/>
      <c r="AC35" s="944"/>
    </row>
    <row r="36" spans="1:29" s="813" customFormat="1" ht="24.95" customHeight="1" x14ac:dyDescent="0.35">
      <c r="A36" s="968">
        <v>45181</v>
      </c>
      <c r="B36" s="925" t="s">
        <v>145</v>
      </c>
      <c r="C36" s="925"/>
      <c r="D36" s="925" t="s">
        <v>90</v>
      </c>
      <c r="E36" s="964" t="s">
        <v>277</v>
      </c>
      <c r="F36" s="964"/>
      <c r="G36" s="964">
        <v>5606</v>
      </c>
      <c r="H36" s="925"/>
      <c r="I36" s="965"/>
      <c r="J36" s="965"/>
      <c r="K36" s="965"/>
      <c r="L36" s="965"/>
      <c r="M36" s="965"/>
      <c r="N36" s="965"/>
      <c r="O36" s="965">
        <v>676930.8</v>
      </c>
      <c r="P36" s="964"/>
      <c r="Q36" s="20"/>
      <c r="R36" s="959" t="s">
        <v>278</v>
      </c>
      <c r="S36" s="960"/>
      <c r="T36" s="960"/>
      <c r="U36" s="960"/>
      <c r="V36" s="960"/>
      <c r="W36" s="960"/>
      <c r="X36" s="960"/>
      <c r="Y36" s="948"/>
      <c r="Z36" s="948"/>
      <c r="AA36" s="948"/>
      <c r="AB36" s="948"/>
      <c r="AC36" s="948"/>
    </row>
    <row r="37" spans="1:29" s="782" customFormat="1" ht="24.95" customHeight="1" x14ac:dyDescent="0.35">
      <c r="A37" s="968">
        <v>45195</v>
      </c>
      <c r="B37" s="925" t="s">
        <v>271</v>
      </c>
      <c r="C37" s="925"/>
      <c r="D37" s="925" t="s">
        <v>92</v>
      </c>
      <c r="E37" s="964"/>
      <c r="F37" s="964"/>
      <c r="G37" s="964" t="s">
        <v>272</v>
      </c>
      <c r="H37" s="925"/>
      <c r="I37" s="965"/>
      <c r="J37" s="965"/>
      <c r="K37" s="965"/>
      <c r="L37" s="965"/>
      <c r="M37" s="965"/>
      <c r="N37" s="965"/>
      <c r="O37" s="965">
        <v>2339.29</v>
      </c>
      <c r="P37" s="964" t="s">
        <v>22</v>
      </c>
      <c r="Q37" s="20"/>
      <c r="R37" s="961" t="s">
        <v>273</v>
      </c>
      <c r="S37" s="953"/>
      <c r="T37" s="953"/>
      <c r="U37" s="953"/>
      <c r="V37" s="953"/>
      <c r="W37" s="953"/>
      <c r="X37" s="953"/>
      <c r="Y37" s="945"/>
      <c r="Z37" s="945"/>
      <c r="AA37" s="945"/>
      <c r="AB37" s="945"/>
      <c r="AC37" s="945"/>
    </row>
    <row r="38" spans="1:29" s="782" customFormat="1" ht="24.95" customHeight="1" x14ac:dyDescent="0.35">
      <c r="A38" s="968">
        <v>45310</v>
      </c>
      <c r="B38" s="964" t="s">
        <v>109</v>
      </c>
      <c r="C38" s="925"/>
      <c r="D38" s="964" t="s">
        <v>90</v>
      </c>
      <c r="E38" s="964"/>
      <c r="F38" s="964"/>
      <c r="G38" s="964" t="s">
        <v>327</v>
      </c>
      <c r="H38" s="925"/>
      <c r="I38" s="965"/>
      <c r="J38" s="965"/>
      <c r="K38" s="965"/>
      <c r="L38" s="965"/>
      <c r="M38" s="965"/>
      <c r="N38" s="965"/>
      <c r="O38" s="965">
        <v>16550</v>
      </c>
      <c r="P38" s="964" t="s">
        <v>22</v>
      </c>
      <c r="Q38" s="20"/>
      <c r="R38" s="954" t="s">
        <v>328</v>
      </c>
      <c r="S38" s="953"/>
      <c r="T38" s="953"/>
      <c r="U38" s="953"/>
      <c r="V38" s="953"/>
      <c r="W38" s="953"/>
      <c r="X38" s="953"/>
      <c r="Y38" s="945"/>
      <c r="Z38" s="945"/>
      <c r="AA38" s="945"/>
      <c r="AB38" s="945"/>
      <c r="AC38" s="945"/>
    </row>
    <row r="39" spans="1:29" s="813" customFormat="1" ht="24.95" customHeight="1" x14ac:dyDescent="0.35">
      <c r="A39" s="968">
        <f>SUM(G141)</f>
        <v>0</v>
      </c>
      <c r="B39" s="964" t="s">
        <v>37</v>
      </c>
      <c r="C39" s="925"/>
      <c r="D39" s="964" t="s">
        <v>90</v>
      </c>
      <c r="E39" s="964" t="s">
        <v>233</v>
      </c>
      <c r="F39" s="964"/>
      <c r="G39" s="964">
        <v>5714</v>
      </c>
      <c r="H39" s="925"/>
      <c r="I39" s="965"/>
      <c r="J39" s="965"/>
      <c r="K39" s="965"/>
      <c r="L39" s="965"/>
      <c r="M39" s="965"/>
      <c r="N39" s="965"/>
      <c r="O39" s="965">
        <v>150000</v>
      </c>
      <c r="P39" s="964"/>
      <c r="Q39" s="20"/>
      <c r="R39" s="959" t="s">
        <v>234</v>
      </c>
      <c r="S39" s="960"/>
      <c r="T39" s="960"/>
      <c r="U39" s="960"/>
      <c r="V39" s="960"/>
      <c r="W39" s="960"/>
      <c r="X39" s="960"/>
      <c r="Y39" s="948"/>
      <c r="Z39" s="948"/>
      <c r="AA39" s="948"/>
      <c r="AB39" s="948"/>
      <c r="AC39" s="948"/>
    </row>
    <row r="40" spans="1:29" s="782" customFormat="1" ht="24.95" customHeight="1" x14ac:dyDescent="0.35">
      <c r="A40" s="968">
        <v>45313</v>
      </c>
      <c r="B40" s="925" t="s">
        <v>230</v>
      </c>
      <c r="C40" s="925"/>
      <c r="D40" s="925" t="s">
        <v>92</v>
      </c>
      <c r="E40" s="964"/>
      <c r="F40" s="964"/>
      <c r="G40" s="964">
        <v>5715</v>
      </c>
      <c r="H40" s="925"/>
      <c r="I40" s="965"/>
      <c r="J40" s="965"/>
      <c r="K40" s="965"/>
      <c r="L40" s="965"/>
      <c r="M40" s="965"/>
      <c r="N40" s="965"/>
      <c r="O40" s="965">
        <v>78</v>
      </c>
      <c r="P40" s="925" t="s">
        <v>255</v>
      </c>
      <c r="Q40" s="20"/>
      <c r="R40" s="954" t="s">
        <v>231</v>
      </c>
      <c r="S40" s="953"/>
      <c r="T40" s="953"/>
      <c r="U40" s="953"/>
      <c r="V40" s="953"/>
      <c r="W40" s="953"/>
      <c r="X40" s="953"/>
      <c r="Y40" s="945"/>
      <c r="Z40" s="945"/>
      <c r="AA40" s="945"/>
      <c r="AB40" s="945"/>
      <c r="AC40" s="945"/>
    </row>
    <row r="41" spans="1:29" s="800" customFormat="1" ht="24.95" customHeight="1" x14ac:dyDescent="0.35">
      <c r="A41" s="968">
        <v>45343</v>
      </c>
      <c r="B41" s="925" t="s">
        <v>59</v>
      </c>
      <c r="C41" s="925"/>
      <c r="D41" s="925" t="s">
        <v>90</v>
      </c>
      <c r="E41" s="964" t="s">
        <v>238</v>
      </c>
      <c r="F41" s="964"/>
      <c r="G41" s="964" t="s">
        <v>118</v>
      </c>
      <c r="H41" s="925"/>
      <c r="I41" s="965"/>
      <c r="J41" s="965"/>
      <c r="K41" s="965"/>
      <c r="L41" s="965"/>
      <c r="M41" s="965"/>
      <c r="N41" s="965"/>
      <c r="O41" s="965">
        <v>22500</v>
      </c>
      <c r="P41" s="925" t="s">
        <v>22</v>
      </c>
      <c r="Q41" s="20"/>
      <c r="R41" s="957" t="s">
        <v>239</v>
      </c>
      <c r="S41" s="956"/>
      <c r="T41" s="956"/>
      <c r="U41" s="956"/>
      <c r="V41" s="956"/>
      <c r="W41" s="956"/>
      <c r="X41" s="956"/>
      <c r="Y41" s="947"/>
      <c r="Z41" s="947"/>
      <c r="AA41" s="947"/>
      <c r="AB41" s="947"/>
      <c r="AC41" s="947"/>
    </row>
    <row r="42" spans="1:29" s="782" customFormat="1" ht="24.95" customHeight="1" x14ac:dyDescent="0.35">
      <c r="A42" s="968">
        <v>45371</v>
      </c>
      <c r="B42" s="925" t="s">
        <v>250</v>
      </c>
      <c r="C42" s="925"/>
      <c r="D42" s="964" t="s">
        <v>221</v>
      </c>
      <c r="E42" s="964"/>
      <c r="F42" s="964"/>
      <c r="G42" s="964">
        <v>5769</v>
      </c>
      <c r="H42" s="925"/>
      <c r="I42" s="965"/>
      <c r="J42" s="965"/>
      <c r="K42" s="965"/>
      <c r="L42" s="965"/>
      <c r="M42" s="965"/>
      <c r="N42" s="965"/>
      <c r="O42" s="965">
        <v>250</v>
      </c>
      <c r="P42" s="925" t="s">
        <v>22</v>
      </c>
      <c r="Q42" s="20"/>
      <c r="R42" s="954" t="s">
        <v>251</v>
      </c>
      <c r="S42" s="953"/>
      <c r="T42" s="953"/>
      <c r="U42" s="953"/>
      <c r="V42" s="953"/>
      <c r="W42" s="953"/>
      <c r="X42" s="953"/>
      <c r="Y42" s="945"/>
      <c r="Z42" s="945"/>
      <c r="AA42" s="945"/>
      <c r="AB42" s="945"/>
      <c r="AC42" s="945"/>
    </row>
    <row r="43" spans="1:29" s="813" customFormat="1" ht="24.95" customHeight="1" x14ac:dyDescent="0.35">
      <c r="A43" s="968">
        <v>45386</v>
      </c>
      <c r="B43" s="925" t="s">
        <v>145</v>
      </c>
      <c r="C43" s="925"/>
      <c r="D43" s="964" t="s">
        <v>90</v>
      </c>
      <c r="E43" s="964"/>
      <c r="F43" s="964"/>
      <c r="G43" s="964">
        <v>5776</v>
      </c>
      <c r="H43" s="925"/>
      <c r="I43" s="965"/>
      <c r="J43" s="965"/>
      <c r="K43" s="965" t="s">
        <v>64</v>
      </c>
      <c r="L43" s="965"/>
      <c r="M43" s="965"/>
      <c r="N43" s="965"/>
      <c r="O43" s="965">
        <v>455997.92</v>
      </c>
      <c r="P43" s="925" t="s">
        <v>22</v>
      </c>
      <c r="Q43" s="20"/>
      <c r="R43" s="959" t="s">
        <v>256</v>
      </c>
      <c r="S43" s="960"/>
      <c r="T43" s="960"/>
      <c r="U43" s="960"/>
      <c r="V43" s="960"/>
      <c r="W43" s="960"/>
      <c r="X43" s="960"/>
      <c r="Y43" s="948"/>
      <c r="Z43" s="948"/>
      <c r="AA43" s="948"/>
      <c r="AB43" s="948"/>
      <c r="AC43" s="948"/>
    </row>
    <row r="44" spans="1:29" s="782" customFormat="1" ht="24.95" customHeight="1" x14ac:dyDescent="0.35">
      <c r="A44" s="968">
        <v>45458</v>
      </c>
      <c r="B44" s="925" t="s">
        <v>43</v>
      </c>
      <c r="C44" s="925"/>
      <c r="D44" s="964" t="s">
        <v>90</v>
      </c>
      <c r="E44" s="964"/>
      <c r="F44" s="964">
        <v>2355</v>
      </c>
      <c r="G44" s="964" t="s">
        <v>290</v>
      </c>
      <c r="H44" s="925"/>
      <c r="I44" s="965"/>
      <c r="J44" s="965"/>
      <c r="K44" s="965"/>
      <c r="L44" s="965"/>
      <c r="M44" s="965">
        <v>11059.82</v>
      </c>
      <c r="N44" s="965"/>
      <c r="O44" s="966"/>
      <c r="P44" s="964" t="s">
        <v>22</v>
      </c>
      <c r="Q44" s="20"/>
      <c r="R44" s="953" t="s">
        <v>350</v>
      </c>
      <c r="S44" s="953"/>
      <c r="T44" s="953"/>
      <c r="U44" s="953"/>
      <c r="V44" s="953"/>
      <c r="W44" s="953"/>
      <c r="X44" s="953"/>
      <c r="Y44" s="945"/>
      <c r="Z44" s="945"/>
      <c r="AA44" s="945"/>
      <c r="AB44" s="945"/>
      <c r="AC44" s="945"/>
    </row>
    <row r="45" spans="1:29" s="782" customFormat="1" ht="24.95" customHeight="1" x14ac:dyDescent="0.35">
      <c r="A45" s="968">
        <v>45512</v>
      </c>
      <c r="B45" s="925" t="s">
        <v>301</v>
      </c>
      <c r="C45" s="925"/>
      <c r="D45" s="964" t="s">
        <v>90</v>
      </c>
      <c r="E45" s="964"/>
      <c r="F45" s="964"/>
      <c r="G45" s="964">
        <v>5860</v>
      </c>
      <c r="H45" s="925"/>
      <c r="I45" s="965"/>
      <c r="J45" s="965"/>
      <c r="K45" s="965"/>
      <c r="L45" s="965"/>
      <c r="M45" s="965">
        <v>194000</v>
      </c>
      <c r="N45" s="965"/>
      <c r="O45" s="966"/>
      <c r="P45" s="964"/>
      <c r="Q45" s="20"/>
      <c r="R45" s="953"/>
      <c r="S45" s="953"/>
      <c r="T45" s="953"/>
      <c r="U45" s="953"/>
      <c r="V45" s="953"/>
      <c r="W45" s="953"/>
      <c r="X45" s="953"/>
      <c r="Y45" s="945"/>
      <c r="Z45" s="945"/>
      <c r="AA45" s="945"/>
      <c r="AB45" s="945"/>
      <c r="AC45" s="945"/>
    </row>
    <row r="46" spans="1:29" s="782" customFormat="1" ht="24.95" customHeight="1" x14ac:dyDescent="0.35">
      <c r="A46" s="968">
        <v>45539</v>
      </c>
      <c r="B46" s="925" t="s">
        <v>301</v>
      </c>
      <c r="C46" s="925"/>
      <c r="D46" s="964" t="s">
        <v>90</v>
      </c>
      <c r="E46" s="964"/>
      <c r="F46" s="964"/>
      <c r="G46" s="964">
        <v>5881</v>
      </c>
      <c r="H46" s="925"/>
      <c r="I46" s="965"/>
      <c r="J46" s="965"/>
      <c r="K46" s="965"/>
      <c r="L46" s="965"/>
      <c r="M46" s="965"/>
      <c r="N46" s="965"/>
      <c r="O46" s="966" t="s">
        <v>419</v>
      </c>
      <c r="P46" s="964"/>
      <c r="Q46" s="20"/>
      <c r="R46" s="953"/>
      <c r="S46" s="953"/>
      <c r="T46" s="953"/>
      <c r="U46" s="953"/>
      <c r="V46" s="953"/>
      <c r="W46" s="953"/>
      <c r="X46" s="953"/>
      <c r="Y46" s="945"/>
      <c r="Z46" s="945"/>
      <c r="AA46" s="945"/>
      <c r="AB46" s="945"/>
      <c r="AC46" s="945"/>
    </row>
    <row r="47" spans="1:29" s="782" customFormat="1" ht="24.95" customHeight="1" x14ac:dyDescent="0.35">
      <c r="A47" s="968">
        <v>45582</v>
      </c>
      <c r="B47" s="925" t="s">
        <v>417</v>
      </c>
      <c r="C47" s="925"/>
      <c r="D47" s="964" t="s">
        <v>90</v>
      </c>
      <c r="E47" s="964"/>
      <c r="F47" s="964"/>
      <c r="G47" s="964" t="s">
        <v>451</v>
      </c>
      <c r="H47" s="925"/>
      <c r="I47" s="965"/>
      <c r="J47" s="965"/>
      <c r="K47" s="965"/>
      <c r="L47" s="965"/>
      <c r="M47" s="965"/>
      <c r="N47" s="965"/>
      <c r="O47" s="965">
        <v>273520</v>
      </c>
      <c r="P47" s="964" t="s">
        <v>478</v>
      </c>
      <c r="Q47" s="20"/>
      <c r="R47" s="953" t="s">
        <v>412</v>
      </c>
      <c r="S47" s="953"/>
      <c r="T47" s="953"/>
      <c r="U47" s="953"/>
      <c r="V47" s="953"/>
      <c r="W47" s="953"/>
      <c r="X47" s="953"/>
      <c r="Y47" s="945"/>
      <c r="Z47" s="945"/>
      <c r="AA47" s="945"/>
      <c r="AB47" s="945"/>
      <c r="AC47" s="945"/>
    </row>
    <row r="48" spans="1:29" s="813" customFormat="1" ht="24.95" customHeight="1" x14ac:dyDescent="0.35">
      <c r="A48" s="968">
        <v>45601</v>
      </c>
      <c r="B48" s="925" t="s">
        <v>145</v>
      </c>
      <c r="C48" s="925"/>
      <c r="D48" s="964" t="s">
        <v>90</v>
      </c>
      <c r="E48" s="964"/>
      <c r="F48" s="964"/>
      <c r="G48" s="964">
        <v>5920</v>
      </c>
      <c r="H48" s="925"/>
      <c r="I48" s="965"/>
      <c r="J48" s="965" t="s">
        <v>354</v>
      </c>
      <c r="K48" s="965"/>
      <c r="L48" s="965"/>
      <c r="M48" s="965">
        <v>310000</v>
      </c>
      <c r="N48" s="965"/>
      <c r="O48" s="966"/>
      <c r="P48" s="964"/>
      <c r="Q48" s="20"/>
      <c r="R48" s="960" t="s">
        <v>355</v>
      </c>
      <c r="S48" s="960"/>
      <c r="T48" s="960"/>
      <c r="U48" s="960"/>
      <c r="V48" s="960"/>
      <c r="W48" s="960"/>
      <c r="X48" s="960"/>
      <c r="Y48" s="948"/>
      <c r="Z48" s="948"/>
      <c r="AA48" s="948"/>
      <c r="AB48" s="948"/>
      <c r="AC48" s="948"/>
    </row>
    <row r="49" spans="1:29" s="813" customFormat="1" ht="24.95" customHeight="1" x14ac:dyDescent="0.35">
      <c r="A49" s="968">
        <v>45601</v>
      </c>
      <c r="B49" s="925" t="s">
        <v>145</v>
      </c>
      <c r="C49" s="925"/>
      <c r="D49" s="964" t="s">
        <v>90</v>
      </c>
      <c r="E49" s="964"/>
      <c r="F49" s="964"/>
      <c r="G49" s="964">
        <v>5920</v>
      </c>
      <c r="H49" s="925"/>
      <c r="I49" s="965"/>
      <c r="J49" s="965" t="s">
        <v>354</v>
      </c>
      <c r="K49" s="965"/>
      <c r="L49" s="965"/>
      <c r="M49" s="965">
        <v>310000</v>
      </c>
      <c r="N49" s="965"/>
      <c r="O49" s="966"/>
      <c r="P49" s="964"/>
      <c r="Q49" s="20"/>
      <c r="R49" s="960" t="s">
        <v>355</v>
      </c>
      <c r="S49" s="960"/>
      <c r="T49" s="960"/>
      <c r="U49" s="960"/>
      <c r="V49" s="960"/>
      <c r="W49" s="960"/>
      <c r="X49" s="960"/>
      <c r="Y49" s="948"/>
      <c r="Z49" s="948"/>
      <c r="AA49" s="948"/>
      <c r="AB49" s="948"/>
      <c r="AC49" s="948"/>
    </row>
    <row r="50" spans="1:29" s="782" customFormat="1" ht="24.95" customHeight="1" x14ac:dyDescent="0.35">
      <c r="A50" s="968">
        <v>45630</v>
      </c>
      <c r="B50" s="925" t="s">
        <v>411</v>
      </c>
      <c r="C50" s="925"/>
      <c r="D50" s="964" t="s">
        <v>92</v>
      </c>
      <c r="E50" s="964"/>
      <c r="F50" s="964"/>
      <c r="G50" s="964">
        <v>5939</v>
      </c>
      <c r="H50" s="925"/>
      <c r="I50" s="965"/>
      <c r="J50" s="965"/>
      <c r="K50" s="965"/>
      <c r="L50" s="965"/>
      <c r="M50" s="965"/>
      <c r="N50" s="965"/>
      <c r="O50" s="965">
        <v>297900</v>
      </c>
      <c r="P50" s="964"/>
      <c r="Q50" s="20"/>
      <c r="R50" s="953" t="s">
        <v>399</v>
      </c>
      <c r="S50" s="953"/>
      <c r="T50" s="953"/>
      <c r="U50" s="953"/>
      <c r="V50" s="953"/>
      <c r="W50" s="953"/>
      <c r="X50" s="953"/>
      <c r="Y50" s="945"/>
      <c r="Z50" s="945"/>
      <c r="AA50" s="945"/>
      <c r="AB50" s="945"/>
      <c r="AC50" s="945"/>
    </row>
    <row r="51" spans="1:29" s="813" customFormat="1" ht="24.95" customHeight="1" x14ac:dyDescent="0.35">
      <c r="A51" s="968">
        <v>45680</v>
      </c>
      <c r="B51" s="925" t="s">
        <v>429</v>
      </c>
      <c r="C51" s="925"/>
      <c r="D51" s="964" t="s">
        <v>90</v>
      </c>
      <c r="E51" s="964"/>
      <c r="F51" s="964">
        <v>2343</v>
      </c>
      <c r="G51" s="964">
        <v>5979</v>
      </c>
      <c r="H51" s="925"/>
      <c r="I51" s="965"/>
      <c r="J51" s="965"/>
      <c r="K51" s="965"/>
      <c r="L51" s="965"/>
      <c r="M51" s="965"/>
      <c r="N51" s="965"/>
      <c r="O51" s="965">
        <v>45000</v>
      </c>
      <c r="P51" s="964"/>
      <c r="Q51" s="20"/>
      <c r="R51" s="960"/>
      <c r="S51" s="960"/>
      <c r="T51" s="960"/>
      <c r="U51" s="960"/>
      <c r="V51" s="960"/>
      <c r="W51" s="960"/>
      <c r="X51" s="960"/>
      <c r="Y51" s="948"/>
      <c r="Z51" s="948"/>
      <c r="AA51" s="948"/>
      <c r="AB51" s="948"/>
      <c r="AC51" s="948"/>
    </row>
    <row r="52" spans="1:29" s="782" customFormat="1" ht="24.95" customHeight="1" x14ac:dyDescent="0.35">
      <c r="A52" s="968">
        <v>45682</v>
      </c>
      <c r="B52" s="925" t="s">
        <v>431</v>
      </c>
      <c r="C52" s="925"/>
      <c r="D52" s="964" t="s">
        <v>92</v>
      </c>
      <c r="E52" s="964"/>
      <c r="F52" s="964"/>
      <c r="G52" s="964">
        <v>6012</v>
      </c>
      <c r="H52" s="925"/>
      <c r="I52" s="965"/>
      <c r="J52" s="965"/>
      <c r="K52" s="965"/>
      <c r="L52" s="965"/>
      <c r="M52" s="965"/>
      <c r="N52" s="965"/>
      <c r="O52" s="965">
        <v>32500</v>
      </c>
      <c r="P52" s="964"/>
      <c r="Q52" s="20"/>
      <c r="R52" s="953"/>
      <c r="S52" s="953"/>
      <c r="T52" s="953"/>
      <c r="U52" s="953"/>
      <c r="V52" s="953"/>
      <c r="W52" s="953"/>
      <c r="X52" s="953"/>
      <c r="Y52" s="945"/>
      <c r="Z52" s="945"/>
      <c r="AA52" s="945"/>
      <c r="AB52" s="945"/>
      <c r="AC52" s="945"/>
    </row>
    <row r="53" spans="1:29" s="782" customFormat="1" ht="24.95" customHeight="1" x14ac:dyDescent="0.35">
      <c r="A53" s="968"/>
      <c r="B53" s="925" t="s">
        <v>270</v>
      </c>
      <c r="C53" s="925"/>
      <c r="D53" s="964" t="s">
        <v>90</v>
      </c>
      <c r="E53" s="964"/>
      <c r="F53" s="964"/>
      <c r="G53" s="964">
        <v>5950</v>
      </c>
      <c r="H53" s="925"/>
      <c r="I53" s="965"/>
      <c r="J53" s="965"/>
      <c r="K53" s="965"/>
      <c r="L53" s="965"/>
      <c r="M53" s="965"/>
      <c r="N53" s="965"/>
      <c r="O53" s="965" t="s">
        <v>419</v>
      </c>
      <c r="P53" s="964"/>
      <c r="Q53" s="20"/>
      <c r="R53" s="953"/>
      <c r="S53" s="953"/>
      <c r="T53" s="953"/>
      <c r="U53" s="953"/>
      <c r="V53" s="953"/>
      <c r="W53" s="953"/>
      <c r="X53" s="953"/>
      <c r="Y53" s="945"/>
      <c r="Z53" s="945"/>
      <c r="AA53" s="945"/>
      <c r="AB53" s="945"/>
      <c r="AC53" s="945"/>
    </row>
    <row r="54" spans="1:29" s="941" customFormat="1" ht="24.95" customHeight="1" x14ac:dyDescent="0.35">
      <c r="A54" s="968">
        <v>45685</v>
      </c>
      <c r="B54" s="925" t="s">
        <v>473</v>
      </c>
      <c r="C54" s="925"/>
      <c r="D54" s="964" t="s">
        <v>90</v>
      </c>
      <c r="E54" s="964"/>
      <c r="F54" s="964"/>
      <c r="G54" s="964">
        <v>5982</v>
      </c>
      <c r="H54" s="925"/>
      <c r="I54" s="965"/>
      <c r="J54" s="965"/>
      <c r="K54" s="965"/>
      <c r="L54" s="965"/>
      <c r="M54" s="965"/>
      <c r="N54" s="965"/>
      <c r="O54" s="965">
        <v>133000</v>
      </c>
      <c r="P54" s="964"/>
      <c r="Q54" s="20"/>
      <c r="R54" s="962"/>
      <c r="S54" s="962"/>
      <c r="T54" s="962"/>
      <c r="U54" s="962"/>
      <c r="V54" s="962"/>
      <c r="W54" s="962"/>
      <c r="X54" s="962"/>
      <c r="Y54" s="949"/>
      <c r="Z54" s="949"/>
      <c r="AA54" s="949"/>
      <c r="AB54" s="949"/>
      <c r="AC54" s="949"/>
    </row>
    <row r="55" spans="1:29" s="941" customFormat="1" ht="24.95" customHeight="1" x14ac:dyDescent="0.35">
      <c r="A55" s="968" t="s">
        <v>421</v>
      </c>
      <c r="B55" s="925" t="s">
        <v>301</v>
      </c>
      <c r="C55" s="925"/>
      <c r="D55" s="964" t="s">
        <v>90</v>
      </c>
      <c r="E55" s="964"/>
      <c r="F55" s="964"/>
      <c r="G55" s="964">
        <v>5984</v>
      </c>
      <c r="H55" s="925"/>
      <c r="I55" s="965"/>
      <c r="J55" s="965"/>
      <c r="K55" s="965"/>
      <c r="L55" s="965"/>
      <c r="M55" s="965"/>
      <c r="N55" s="965"/>
      <c r="O55" s="965">
        <v>698000</v>
      </c>
      <c r="P55" s="964"/>
      <c r="Q55" s="20"/>
      <c r="R55" s="962"/>
      <c r="S55" s="962"/>
      <c r="T55" s="962"/>
      <c r="U55" s="962"/>
      <c r="V55" s="962"/>
      <c r="W55" s="962"/>
      <c r="X55" s="962"/>
      <c r="Y55" s="949"/>
      <c r="Z55" s="949"/>
      <c r="AA55" s="949"/>
      <c r="AB55" s="949"/>
      <c r="AC55" s="949"/>
    </row>
    <row r="56" spans="1:29" s="749" customFormat="1" ht="24.95" customHeight="1" x14ac:dyDescent="0.35">
      <c r="A56" s="968" t="s">
        <v>421</v>
      </c>
      <c r="B56" s="925" t="s">
        <v>301</v>
      </c>
      <c r="C56" s="925"/>
      <c r="D56" s="964" t="s">
        <v>90</v>
      </c>
      <c r="E56" s="964"/>
      <c r="F56" s="964"/>
      <c r="G56" s="964">
        <v>5985</v>
      </c>
      <c r="H56" s="925"/>
      <c r="I56" s="965"/>
      <c r="J56" s="965"/>
      <c r="K56" s="965"/>
      <c r="L56" s="965"/>
      <c r="M56" s="965"/>
      <c r="N56" s="965"/>
      <c r="O56" s="965">
        <v>695000</v>
      </c>
      <c r="P56" s="964"/>
      <c r="Q56" s="20"/>
      <c r="R56" s="951"/>
      <c r="S56" s="951" t="s">
        <v>435</v>
      </c>
      <c r="T56" s="951"/>
      <c r="U56" s="951"/>
      <c r="V56" s="951"/>
      <c r="W56" s="951"/>
      <c r="X56" s="951"/>
      <c r="Y56" s="944"/>
      <c r="Z56" s="944"/>
      <c r="AA56" s="944"/>
      <c r="AB56" s="944"/>
      <c r="AC56" s="944"/>
    </row>
    <row r="57" spans="1:29" s="749" customFormat="1" ht="24.95" customHeight="1" x14ac:dyDescent="0.35">
      <c r="A57" s="968">
        <v>45700</v>
      </c>
      <c r="B57" s="925" t="s">
        <v>439</v>
      </c>
      <c r="C57" s="925"/>
      <c r="D57" s="964" t="s">
        <v>90</v>
      </c>
      <c r="E57" s="964" t="s">
        <v>519</v>
      </c>
      <c r="F57" s="964"/>
      <c r="G57" s="964">
        <v>5990</v>
      </c>
      <c r="H57" s="925"/>
      <c r="I57" s="965"/>
      <c r="J57" s="965"/>
      <c r="K57" s="965"/>
      <c r="L57" s="965"/>
      <c r="M57" s="965"/>
      <c r="N57" s="965"/>
      <c r="O57" s="965" t="s">
        <v>440</v>
      </c>
      <c r="P57" s="964"/>
      <c r="Q57" s="20"/>
      <c r="R57" s="951"/>
      <c r="S57" s="951"/>
      <c r="T57" s="951"/>
      <c r="U57" s="951"/>
      <c r="V57" s="951"/>
      <c r="W57" s="951"/>
      <c r="X57" s="951"/>
      <c r="Y57" s="944"/>
      <c r="Z57" s="944"/>
      <c r="AA57" s="944"/>
      <c r="AB57" s="944"/>
      <c r="AC57" s="944"/>
    </row>
    <row r="58" spans="1:29" s="749" customFormat="1" ht="24.95" customHeight="1" x14ac:dyDescent="0.35">
      <c r="A58" s="968" t="s">
        <v>421</v>
      </c>
      <c r="B58" s="925" t="s">
        <v>301</v>
      </c>
      <c r="C58" s="925"/>
      <c r="D58" s="964" t="s">
        <v>90</v>
      </c>
      <c r="E58" s="964"/>
      <c r="F58" s="964"/>
      <c r="G58" s="964">
        <v>5992</v>
      </c>
      <c r="H58" s="925"/>
      <c r="I58" s="965"/>
      <c r="J58" s="965"/>
      <c r="K58" s="965"/>
      <c r="L58" s="965"/>
      <c r="M58" s="965"/>
      <c r="N58" s="965"/>
      <c r="O58" s="965">
        <v>54500</v>
      </c>
      <c r="P58" s="964"/>
      <c r="Q58" s="20"/>
      <c r="R58" s="951"/>
      <c r="S58" s="951"/>
      <c r="T58" s="951"/>
      <c r="U58" s="951"/>
      <c r="V58" s="951"/>
      <c r="W58" s="951"/>
      <c r="X58" s="951"/>
      <c r="Y58" s="944"/>
      <c r="Z58" s="944"/>
      <c r="AA58" s="944"/>
      <c r="AB58" s="944"/>
      <c r="AC58" s="944"/>
    </row>
    <row r="59" spans="1:29" s="749" customFormat="1" ht="24.95" customHeight="1" x14ac:dyDescent="0.35">
      <c r="A59" s="968">
        <v>45708</v>
      </c>
      <c r="B59" s="925" t="s">
        <v>436</v>
      </c>
      <c r="C59" s="925"/>
      <c r="D59" s="964" t="s">
        <v>92</v>
      </c>
      <c r="E59" s="964"/>
      <c r="F59" s="964"/>
      <c r="G59" s="964" t="s">
        <v>443</v>
      </c>
      <c r="H59" s="925"/>
      <c r="I59" s="965"/>
      <c r="J59" s="965"/>
      <c r="K59" s="965"/>
      <c r="L59" s="965"/>
      <c r="M59" s="965"/>
      <c r="N59" s="965"/>
      <c r="O59" s="965" t="s">
        <v>419</v>
      </c>
      <c r="P59" s="964"/>
      <c r="Q59" s="20"/>
      <c r="R59" s="951"/>
      <c r="S59" s="951"/>
      <c r="T59" s="951"/>
      <c r="U59" s="951"/>
      <c r="V59" s="951"/>
      <c r="W59" s="951"/>
      <c r="X59" s="951"/>
      <c r="Y59" s="944"/>
      <c r="Z59" s="944"/>
      <c r="AA59" s="944"/>
      <c r="AB59" s="944"/>
      <c r="AC59" s="944"/>
    </row>
    <row r="60" spans="1:29" s="749" customFormat="1" ht="24.95" customHeight="1" x14ac:dyDescent="0.35">
      <c r="A60" s="968" t="s">
        <v>421</v>
      </c>
      <c r="B60" s="925" t="s">
        <v>321</v>
      </c>
      <c r="C60" s="925"/>
      <c r="D60" s="964" t="s">
        <v>90</v>
      </c>
      <c r="E60" s="964"/>
      <c r="F60" s="964"/>
      <c r="G60" s="964" t="s">
        <v>452</v>
      </c>
      <c r="H60" s="925"/>
      <c r="I60" s="965"/>
      <c r="J60" s="965"/>
      <c r="K60" s="965"/>
      <c r="L60" s="965"/>
      <c r="M60" s="965"/>
      <c r="N60" s="965"/>
      <c r="O60" s="965">
        <v>263066.96999999997</v>
      </c>
      <c r="P60" s="964" t="s">
        <v>616</v>
      </c>
      <c r="Q60" s="20"/>
      <c r="R60" s="951"/>
      <c r="S60" s="951"/>
      <c r="T60" s="951"/>
      <c r="U60" s="951"/>
      <c r="V60" s="951"/>
      <c r="W60" s="951"/>
      <c r="X60" s="951"/>
      <c r="Y60" s="944"/>
      <c r="Z60" s="944"/>
      <c r="AA60" s="944"/>
      <c r="AB60" s="944"/>
      <c r="AC60" s="944"/>
    </row>
    <row r="61" spans="1:29" s="749" customFormat="1" ht="24.95" customHeight="1" x14ac:dyDescent="0.35">
      <c r="A61" s="968" t="s">
        <v>421</v>
      </c>
      <c r="B61" s="925" t="s">
        <v>417</v>
      </c>
      <c r="C61" s="925"/>
      <c r="D61" s="964" t="s">
        <v>90</v>
      </c>
      <c r="E61" s="964"/>
      <c r="F61" s="964"/>
      <c r="G61" s="964" t="s">
        <v>456</v>
      </c>
      <c r="H61" s="925"/>
      <c r="I61" s="965"/>
      <c r="J61" s="965"/>
      <c r="K61" s="965"/>
      <c r="L61" s="965"/>
      <c r="M61" s="965"/>
      <c r="N61" s="965"/>
      <c r="O61" s="965" t="s">
        <v>419</v>
      </c>
      <c r="P61" s="964"/>
      <c r="Q61" s="20"/>
      <c r="R61" s="951"/>
      <c r="S61" s="951"/>
      <c r="T61" s="951"/>
      <c r="U61" s="951"/>
      <c r="V61" s="951"/>
      <c r="W61" s="951"/>
      <c r="X61" s="951"/>
      <c r="Y61" s="944"/>
      <c r="Z61" s="944"/>
      <c r="AA61" s="944"/>
      <c r="AB61" s="944"/>
      <c r="AC61" s="944"/>
    </row>
    <row r="62" spans="1:29" s="749" customFormat="1" ht="24.95" customHeight="1" x14ac:dyDescent="0.35">
      <c r="A62" s="968">
        <v>45723</v>
      </c>
      <c r="B62" s="925" t="s">
        <v>474</v>
      </c>
      <c r="C62" s="925"/>
      <c r="D62" s="964" t="s">
        <v>92</v>
      </c>
      <c r="E62" s="964"/>
      <c r="F62" s="964"/>
      <c r="G62" s="964">
        <v>5993</v>
      </c>
      <c r="H62" s="925"/>
      <c r="I62" s="965"/>
      <c r="J62" s="965"/>
      <c r="K62" s="965"/>
      <c r="L62" s="965"/>
      <c r="M62" s="965"/>
      <c r="N62" s="965" t="s">
        <v>419</v>
      </c>
      <c r="O62" s="966"/>
      <c r="P62" s="964"/>
      <c r="Q62" s="20"/>
      <c r="R62" s="951"/>
      <c r="S62" s="951"/>
      <c r="T62" s="951"/>
      <c r="U62" s="951"/>
      <c r="V62" s="951"/>
      <c r="W62" s="951"/>
      <c r="X62" s="951"/>
      <c r="Y62" s="944"/>
      <c r="Z62" s="944"/>
      <c r="AA62" s="944"/>
      <c r="AB62" s="944"/>
      <c r="AC62" s="944"/>
    </row>
    <row r="63" spans="1:29" s="749" customFormat="1" ht="24.95" customHeight="1" x14ac:dyDescent="0.35">
      <c r="A63" s="968">
        <v>45727</v>
      </c>
      <c r="B63" s="925" t="s">
        <v>477</v>
      </c>
      <c r="C63" s="925"/>
      <c r="D63" s="964" t="s">
        <v>90</v>
      </c>
      <c r="E63" s="964"/>
      <c r="F63" s="964"/>
      <c r="G63" s="964" t="s">
        <v>475</v>
      </c>
      <c r="H63" s="925"/>
      <c r="I63" s="965"/>
      <c r="J63" s="965"/>
      <c r="K63" s="965"/>
      <c r="L63" s="965"/>
      <c r="M63" s="965"/>
      <c r="N63" s="965">
        <v>246350</v>
      </c>
      <c r="O63" s="966"/>
      <c r="P63" s="964"/>
      <c r="Q63" s="950"/>
      <c r="R63" s="951"/>
      <c r="S63" s="951"/>
      <c r="T63" s="951"/>
      <c r="U63" s="951"/>
      <c r="V63" s="951"/>
      <c r="W63" s="951"/>
      <c r="X63" s="951"/>
      <c r="Y63" s="944"/>
      <c r="Z63" s="944"/>
      <c r="AA63" s="944"/>
      <c r="AB63" s="944"/>
      <c r="AC63" s="944"/>
    </row>
    <row r="64" spans="1:29" s="749" customFormat="1" ht="24.95" customHeight="1" x14ac:dyDescent="0.35">
      <c r="A64" s="968">
        <v>45731</v>
      </c>
      <c r="B64" s="925" t="s">
        <v>480</v>
      </c>
      <c r="C64" s="925"/>
      <c r="D64" s="964" t="s">
        <v>90</v>
      </c>
      <c r="E64" s="964"/>
      <c r="F64" s="964"/>
      <c r="G64" s="964" t="s">
        <v>481</v>
      </c>
      <c r="H64" s="925"/>
      <c r="I64" s="965"/>
      <c r="J64" s="965"/>
      <c r="K64" s="965"/>
      <c r="L64" s="965"/>
      <c r="M64" s="965"/>
      <c r="N64" s="965" t="s">
        <v>419</v>
      </c>
      <c r="O64" s="966"/>
      <c r="P64" s="964"/>
      <c r="Q64" s="950"/>
      <c r="R64" s="951"/>
      <c r="S64" s="951"/>
      <c r="T64" s="951"/>
      <c r="U64" s="951"/>
      <c r="V64" s="951"/>
      <c r="W64" s="951"/>
      <c r="X64" s="951"/>
      <c r="Y64" s="944"/>
      <c r="Z64" s="944"/>
      <c r="AA64" s="944"/>
      <c r="AB64" s="944"/>
      <c r="AC64" s="944"/>
    </row>
    <row r="65" spans="1:29" s="749" customFormat="1" ht="24.95" customHeight="1" x14ac:dyDescent="0.35">
      <c r="A65" s="968" t="s">
        <v>421</v>
      </c>
      <c r="B65" s="925" t="s">
        <v>409</v>
      </c>
      <c r="C65" s="925"/>
      <c r="D65" s="964" t="s">
        <v>90</v>
      </c>
      <c r="E65" s="964"/>
      <c r="F65" s="964"/>
      <c r="G65" s="964">
        <v>5987</v>
      </c>
      <c r="H65" s="925"/>
      <c r="I65" s="965"/>
      <c r="J65" s="965"/>
      <c r="K65" s="965"/>
      <c r="L65" s="965"/>
      <c r="M65" s="965"/>
      <c r="N65" s="965" t="s">
        <v>419</v>
      </c>
      <c r="O65" s="966"/>
      <c r="P65" s="964"/>
      <c r="Q65" s="950"/>
      <c r="R65" s="951"/>
      <c r="S65" s="951"/>
      <c r="T65" s="951"/>
      <c r="U65" s="951"/>
      <c r="V65" s="951"/>
      <c r="W65" s="951"/>
      <c r="X65" s="951"/>
      <c r="Y65" s="944"/>
      <c r="Z65" s="944"/>
      <c r="AA65" s="944"/>
      <c r="AB65" s="944"/>
      <c r="AC65" s="944"/>
    </row>
    <row r="66" spans="1:29" s="749" customFormat="1" ht="24.95" customHeight="1" x14ac:dyDescent="0.35">
      <c r="A66" s="968">
        <v>45748</v>
      </c>
      <c r="B66" s="925" t="s">
        <v>489</v>
      </c>
      <c r="C66" s="925"/>
      <c r="D66" s="964" t="s">
        <v>90</v>
      </c>
      <c r="E66" s="964"/>
      <c r="F66" s="964"/>
      <c r="G66" s="964" t="s">
        <v>587</v>
      </c>
      <c r="H66" s="925"/>
      <c r="I66" s="965"/>
      <c r="J66" s="965"/>
      <c r="K66" s="965"/>
      <c r="L66" s="965"/>
      <c r="M66" s="965"/>
      <c r="N66" s="965">
        <v>244995</v>
      </c>
      <c r="O66" s="966"/>
      <c r="P66" s="964"/>
      <c r="Q66" s="950"/>
      <c r="R66" s="951"/>
      <c r="S66" s="951"/>
      <c r="T66" s="951"/>
      <c r="U66" s="951"/>
      <c r="V66" s="951"/>
      <c r="W66" s="951"/>
      <c r="X66" s="951"/>
      <c r="Y66" s="944"/>
      <c r="Z66" s="944"/>
      <c r="AA66" s="944"/>
      <c r="AB66" s="944"/>
      <c r="AC66" s="944"/>
    </row>
    <row r="67" spans="1:29" s="749" customFormat="1" ht="24.95" customHeight="1" x14ac:dyDescent="0.35">
      <c r="A67" s="968">
        <v>45749</v>
      </c>
      <c r="B67" s="925" t="s">
        <v>431</v>
      </c>
      <c r="C67" s="925"/>
      <c r="D67" s="964" t="s">
        <v>90</v>
      </c>
      <c r="E67" s="964"/>
      <c r="F67" s="964"/>
      <c r="G67" s="964" t="s">
        <v>493</v>
      </c>
      <c r="H67" s="925"/>
      <c r="I67" s="965"/>
      <c r="J67" s="965"/>
      <c r="K67" s="965"/>
      <c r="L67" s="965"/>
      <c r="M67" s="965"/>
      <c r="N67" s="965">
        <v>32500</v>
      </c>
      <c r="O67" s="966"/>
      <c r="P67" s="964"/>
      <c r="Q67" s="950"/>
      <c r="R67" s="951"/>
      <c r="S67" s="951"/>
      <c r="T67" s="951"/>
      <c r="U67" s="951"/>
      <c r="V67" s="951"/>
      <c r="W67" s="951"/>
      <c r="X67" s="951"/>
      <c r="Y67" s="944"/>
      <c r="Z67" s="944"/>
      <c r="AA67" s="944"/>
      <c r="AB67" s="944"/>
      <c r="AC67" s="944"/>
    </row>
    <row r="68" spans="1:29" s="749" customFormat="1" ht="24.95" customHeight="1" x14ac:dyDescent="0.35">
      <c r="A68" s="968">
        <v>45749</v>
      </c>
      <c r="B68" s="925" t="s">
        <v>431</v>
      </c>
      <c r="C68" s="925"/>
      <c r="D68" s="964" t="s">
        <v>90</v>
      </c>
      <c r="E68" s="964"/>
      <c r="F68" s="964"/>
      <c r="G68" s="964" t="s">
        <v>494</v>
      </c>
      <c r="H68" s="925"/>
      <c r="I68" s="965"/>
      <c r="J68" s="965"/>
      <c r="K68" s="965"/>
      <c r="L68" s="965"/>
      <c r="M68" s="965"/>
      <c r="N68" s="965">
        <v>7500</v>
      </c>
      <c r="O68" s="966"/>
      <c r="P68" s="964"/>
      <c r="Q68" s="950"/>
      <c r="R68" s="951"/>
      <c r="S68" s="951"/>
      <c r="T68" s="951"/>
      <c r="U68" s="951"/>
      <c r="V68" s="951"/>
      <c r="W68" s="951"/>
      <c r="X68" s="951"/>
      <c r="Y68" s="944"/>
      <c r="Z68" s="944"/>
      <c r="AA68" s="944"/>
      <c r="AB68" s="944"/>
      <c r="AC68" s="944"/>
    </row>
    <row r="69" spans="1:29" s="749" customFormat="1" ht="24.95" customHeight="1" x14ac:dyDescent="0.35">
      <c r="A69" s="968">
        <v>45750</v>
      </c>
      <c r="B69" s="925" t="s">
        <v>446</v>
      </c>
      <c r="C69" s="925"/>
      <c r="D69" s="964" t="s">
        <v>90</v>
      </c>
      <c r="E69" s="964"/>
      <c r="F69" s="964"/>
      <c r="G69" s="964" t="s">
        <v>495</v>
      </c>
      <c r="H69" s="925"/>
      <c r="I69" s="965"/>
      <c r="J69" s="965"/>
      <c r="K69" s="965"/>
      <c r="L69" s="965"/>
      <c r="M69" s="965"/>
      <c r="N69" s="965">
        <v>339500</v>
      </c>
      <c r="O69" s="966"/>
      <c r="P69" s="964"/>
      <c r="Q69" s="950"/>
      <c r="R69" s="951"/>
      <c r="S69" s="951"/>
      <c r="T69" s="951"/>
      <c r="U69" s="951"/>
      <c r="V69" s="951"/>
      <c r="W69" s="951"/>
      <c r="X69" s="951"/>
      <c r="Y69" s="944"/>
      <c r="Z69" s="944"/>
      <c r="AA69" s="944"/>
      <c r="AB69" s="944"/>
      <c r="AC69" s="944"/>
    </row>
    <row r="70" spans="1:29" s="749" customFormat="1" ht="24.95" customHeight="1" x14ac:dyDescent="0.35">
      <c r="A70" s="968">
        <v>45750</v>
      </c>
      <c r="B70" s="925" t="s">
        <v>446</v>
      </c>
      <c r="C70" s="925"/>
      <c r="D70" s="964" t="s">
        <v>90</v>
      </c>
      <c r="E70" s="964"/>
      <c r="F70" s="964"/>
      <c r="G70" s="964" t="s">
        <v>496</v>
      </c>
      <c r="H70" s="925"/>
      <c r="I70" s="965"/>
      <c r="J70" s="965"/>
      <c r="K70" s="965"/>
      <c r="L70" s="965"/>
      <c r="M70" s="965"/>
      <c r="N70" s="965">
        <v>339500</v>
      </c>
      <c r="O70" s="966"/>
      <c r="P70" s="964"/>
      <c r="Q70" s="950"/>
      <c r="R70" s="951"/>
      <c r="S70" s="951"/>
      <c r="T70" s="951"/>
      <c r="U70" s="951"/>
      <c r="V70" s="951"/>
      <c r="W70" s="951"/>
      <c r="X70" s="951"/>
      <c r="Y70" s="944"/>
      <c r="Z70" s="944"/>
      <c r="AA70" s="944"/>
      <c r="AB70" s="944"/>
      <c r="AC70" s="944"/>
    </row>
    <row r="71" spans="1:29" s="749" customFormat="1" ht="24.95" customHeight="1" x14ac:dyDescent="0.35">
      <c r="A71" s="968" t="s">
        <v>421</v>
      </c>
      <c r="B71" s="925" t="s">
        <v>301</v>
      </c>
      <c r="C71" s="925"/>
      <c r="D71" s="964" t="s">
        <v>90</v>
      </c>
      <c r="E71" s="964"/>
      <c r="F71" s="964"/>
      <c r="G71" s="964" t="s">
        <v>498</v>
      </c>
      <c r="H71" s="925"/>
      <c r="I71" s="965"/>
      <c r="J71" s="965"/>
      <c r="K71" s="965"/>
      <c r="L71" s="965"/>
      <c r="M71" s="965"/>
      <c r="N71" s="965">
        <v>167500</v>
      </c>
      <c r="O71" s="966"/>
      <c r="P71" s="964"/>
      <c r="Q71" s="950"/>
      <c r="R71" s="951"/>
      <c r="S71" s="951"/>
      <c r="T71" s="951"/>
      <c r="U71" s="951"/>
      <c r="V71" s="951"/>
      <c r="W71" s="951"/>
      <c r="X71" s="951"/>
      <c r="Y71" s="944"/>
      <c r="Z71" s="944"/>
      <c r="AA71" s="944"/>
      <c r="AB71" s="944"/>
      <c r="AC71" s="944"/>
    </row>
    <row r="72" spans="1:29" s="749" customFormat="1" ht="24.95" customHeight="1" x14ac:dyDescent="0.35">
      <c r="A72" s="968">
        <v>45751</v>
      </c>
      <c r="B72" s="925" t="s">
        <v>237</v>
      </c>
      <c r="C72" s="925"/>
      <c r="D72" s="964" t="s">
        <v>90</v>
      </c>
      <c r="E72" s="964"/>
      <c r="F72" s="964"/>
      <c r="G72" s="964" t="s">
        <v>499</v>
      </c>
      <c r="H72" s="925"/>
      <c r="I72" s="965"/>
      <c r="J72" s="965"/>
      <c r="K72" s="965"/>
      <c r="L72" s="965"/>
      <c r="M72" s="965"/>
      <c r="N72" s="965" t="s">
        <v>419</v>
      </c>
      <c r="O72" s="966"/>
      <c r="P72" s="964"/>
      <c r="Q72" s="950"/>
      <c r="R72" s="951"/>
      <c r="S72" s="951"/>
      <c r="T72" s="951"/>
      <c r="U72" s="951"/>
      <c r="V72" s="951"/>
      <c r="W72" s="951"/>
      <c r="X72" s="951"/>
      <c r="Y72" s="944"/>
      <c r="Z72" s="944"/>
      <c r="AA72" s="944"/>
      <c r="AB72" s="944"/>
      <c r="AC72" s="944"/>
    </row>
    <row r="73" spans="1:29" s="749" customFormat="1" ht="24.95" customHeight="1" x14ac:dyDescent="0.35">
      <c r="A73" s="968" t="s">
        <v>421</v>
      </c>
      <c r="B73" s="925" t="s">
        <v>500</v>
      </c>
      <c r="C73" s="925"/>
      <c r="D73" s="964" t="s">
        <v>92</v>
      </c>
      <c r="E73" s="964"/>
      <c r="F73" s="964"/>
      <c r="G73" s="964" t="s">
        <v>501</v>
      </c>
      <c r="H73" s="925"/>
      <c r="I73" s="965"/>
      <c r="J73" s="965"/>
      <c r="K73" s="965"/>
      <c r="L73" s="965"/>
      <c r="M73" s="965"/>
      <c r="N73" s="965" t="s">
        <v>419</v>
      </c>
      <c r="O73" s="966"/>
      <c r="P73" s="964"/>
      <c r="Q73" s="950"/>
      <c r="R73" s="951"/>
      <c r="S73" s="951"/>
      <c r="T73" s="951"/>
      <c r="U73" s="951"/>
      <c r="V73" s="951"/>
      <c r="W73" s="951"/>
      <c r="X73" s="951"/>
      <c r="Y73" s="944"/>
      <c r="Z73" s="944"/>
      <c r="AA73" s="944"/>
      <c r="AB73" s="944"/>
      <c r="AC73" s="944"/>
    </row>
    <row r="74" spans="1:29" s="749" customFormat="1" ht="24.95" customHeight="1" x14ac:dyDescent="0.35">
      <c r="A74" s="968" t="s">
        <v>421</v>
      </c>
      <c r="B74" s="925" t="s">
        <v>301</v>
      </c>
      <c r="C74" s="925"/>
      <c r="D74" s="964" t="s">
        <v>90</v>
      </c>
      <c r="E74" s="964"/>
      <c r="F74" s="964"/>
      <c r="G74" s="964" t="s">
        <v>503</v>
      </c>
      <c r="H74" s="925"/>
      <c r="I74" s="965"/>
      <c r="J74" s="965"/>
      <c r="K74" s="965"/>
      <c r="L74" s="965"/>
      <c r="M74" s="965"/>
      <c r="N74" s="965" t="s">
        <v>419</v>
      </c>
      <c r="O74" s="966"/>
      <c r="P74" s="964"/>
      <c r="Q74" s="950"/>
      <c r="R74" s="951"/>
      <c r="S74" s="951"/>
      <c r="T74" s="951"/>
      <c r="U74" s="951"/>
      <c r="V74" s="951"/>
      <c r="W74" s="951"/>
      <c r="X74" s="951"/>
      <c r="Y74" s="944"/>
      <c r="Z74" s="944"/>
      <c r="AA74" s="944"/>
      <c r="AB74" s="944"/>
      <c r="AC74" s="944"/>
    </row>
    <row r="75" spans="1:29" s="749" customFormat="1" ht="24.95" customHeight="1" x14ac:dyDescent="0.35">
      <c r="A75" s="968" t="s">
        <v>421</v>
      </c>
      <c r="B75" s="925" t="s">
        <v>505</v>
      </c>
      <c r="C75" s="925"/>
      <c r="D75" s="964" t="s">
        <v>92</v>
      </c>
      <c r="E75" s="964"/>
      <c r="F75" s="964"/>
      <c r="G75" s="964" t="s">
        <v>506</v>
      </c>
      <c r="H75" s="925"/>
      <c r="I75" s="965"/>
      <c r="J75" s="965"/>
      <c r="K75" s="965"/>
      <c r="L75" s="965"/>
      <c r="M75" s="965"/>
      <c r="N75" s="965">
        <v>130450</v>
      </c>
      <c r="O75" s="966"/>
      <c r="P75" s="964"/>
      <c r="Q75" s="950"/>
      <c r="R75" s="951"/>
      <c r="S75" s="951"/>
      <c r="T75" s="951"/>
      <c r="U75" s="951"/>
      <c r="V75" s="951"/>
      <c r="W75" s="951"/>
      <c r="X75" s="951"/>
      <c r="Y75" s="944"/>
      <c r="Z75" s="944"/>
      <c r="AA75" s="944"/>
      <c r="AB75" s="944"/>
      <c r="AC75" s="944"/>
    </row>
    <row r="76" spans="1:29" s="749" customFormat="1" ht="24.95" customHeight="1" x14ac:dyDescent="0.35">
      <c r="A76" s="968" t="s">
        <v>421</v>
      </c>
      <c r="B76" s="925" t="s">
        <v>237</v>
      </c>
      <c r="C76" s="925"/>
      <c r="D76" s="964" t="s">
        <v>90</v>
      </c>
      <c r="E76" s="964"/>
      <c r="F76" s="964"/>
      <c r="G76" s="964" t="s">
        <v>514</v>
      </c>
      <c r="H76" s="925"/>
      <c r="I76" s="965"/>
      <c r="J76" s="965"/>
      <c r="K76" s="965"/>
      <c r="L76" s="965"/>
      <c r="M76" s="965"/>
      <c r="N76" s="965" t="s">
        <v>419</v>
      </c>
      <c r="O76" s="966"/>
      <c r="P76" s="964"/>
      <c r="Q76" s="950"/>
      <c r="R76" s="951"/>
      <c r="S76" s="951"/>
      <c r="T76" s="951"/>
      <c r="U76" s="951"/>
      <c r="V76" s="951"/>
      <c r="W76" s="951"/>
      <c r="X76" s="951"/>
      <c r="Y76" s="944"/>
      <c r="Z76" s="944"/>
      <c r="AA76" s="944"/>
      <c r="AB76" s="944"/>
      <c r="AC76" s="944"/>
    </row>
    <row r="77" spans="1:29" s="749" customFormat="1" ht="24.95" customHeight="1" x14ac:dyDescent="0.35">
      <c r="A77" s="968">
        <v>45776</v>
      </c>
      <c r="B77" s="925" t="s">
        <v>321</v>
      </c>
      <c r="C77" s="925"/>
      <c r="D77" s="964" t="s">
        <v>90</v>
      </c>
      <c r="E77" s="964"/>
      <c r="F77" s="964"/>
      <c r="G77" s="964" t="s">
        <v>605</v>
      </c>
      <c r="H77" s="925"/>
      <c r="I77" s="965"/>
      <c r="J77" s="965"/>
      <c r="K77" s="965"/>
      <c r="L77" s="965"/>
      <c r="M77" s="965"/>
      <c r="N77" s="965">
        <v>517500</v>
      </c>
      <c r="O77" s="966"/>
      <c r="P77" s="964"/>
      <c r="Q77" s="950"/>
      <c r="R77" s="951"/>
      <c r="S77" s="951"/>
      <c r="T77" s="951"/>
      <c r="U77" s="951"/>
      <c r="V77" s="951"/>
      <c r="W77" s="951"/>
      <c r="X77" s="951"/>
      <c r="Y77" s="944"/>
      <c r="Z77" s="944"/>
      <c r="AA77" s="944"/>
      <c r="AB77" s="944"/>
      <c r="AC77" s="944"/>
    </row>
    <row r="78" spans="1:29" s="749" customFormat="1" ht="24.95" customHeight="1" x14ac:dyDescent="0.35">
      <c r="A78" s="968" t="s">
        <v>421</v>
      </c>
      <c r="B78" s="925" t="s">
        <v>301</v>
      </c>
      <c r="C78" s="925"/>
      <c r="D78" s="964" t="s">
        <v>90</v>
      </c>
      <c r="E78" s="964"/>
      <c r="F78" s="964"/>
      <c r="G78" s="964" t="s">
        <v>518</v>
      </c>
      <c r="H78" s="925"/>
      <c r="I78" s="965"/>
      <c r="J78" s="965"/>
      <c r="K78" s="965"/>
      <c r="L78" s="965"/>
      <c r="M78" s="965"/>
      <c r="N78" s="965">
        <v>280000</v>
      </c>
      <c r="O78" s="966"/>
      <c r="P78" s="964"/>
      <c r="Q78" s="950"/>
      <c r="R78" s="951"/>
      <c r="S78" s="951"/>
      <c r="T78" s="951"/>
      <c r="U78" s="951"/>
      <c r="V78" s="951"/>
      <c r="W78" s="951"/>
      <c r="X78" s="951"/>
      <c r="Y78" s="944"/>
      <c r="Z78" s="944"/>
      <c r="AA78" s="944"/>
      <c r="AB78" s="944"/>
      <c r="AC78" s="944"/>
    </row>
    <row r="79" spans="1:29" s="749" customFormat="1" ht="24.95" customHeight="1" x14ac:dyDescent="0.35">
      <c r="A79" s="968">
        <v>45790</v>
      </c>
      <c r="B79" s="925" t="s">
        <v>483</v>
      </c>
      <c r="C79" s="925"/>
      <c r="D79" s="964" t="s">
        <v>90</v>
      </c>
      <c r="E79" s="964"/>
      <c r="F79" s="964"/>
      <c r="G79" s="964" t="s">
        <v>520</v>
      </c>
      <c r="H79" s="925"/>
      <c r="I79" s="965"/>
      <c r="J79" s="965"/>
      <c r="K79" s="965"/>
      <c r="L79" s="965"/>
      <c r="M79" s="965">
        <v>487467.5</v>
      </c>
      <c r="N79" s="965"/>
      <c r="O79" s="966"/>
      <c r="P79" s="964"/>
      <c r="Q79" s="950"/>
      <c r="R79" s="951"/>
      <c r="S79" s="951"/>
      <c r="T79" s="951"/>
      <c r="U79" s="951"/>
      <c r="V79" s="951"/>
      <c r="W79" s="951"/>
      <c r="X79" s="951"/>
      <c r="Y79" s="944"/>
      <c r="Z79" s="944"/>
      <c r="AA79" s="944"/>
      <c r="AB79" s="944"/>
      <c r="AC79" s="944"/>
    </row>
    <row r="80" spans="1:29" s="749" customFormat="1" ht="24.95" customHeight="1" x14ac:dyDescent="0.35">
      <c r="A80" s="968" t="s">
        <v>421</v>
      </c>
      <c r="B80" s="925" t="s">
        <v>524</v>
      </c>
      <c r="C80" s="925"/>
      <c r="D80" s="964" t="s">
        <v>92</v>
      </c>
      <c r="E80" s="964"/>
      <c r="F80" s="964"/>
      <c r="G80" s="964" t="s">
        <v>525</v>
      </c>
      <c r="H80" s="925"/>
      <c r="I80" s="965"/>
      <c r="J80" s="965"/>
      <c r="K80" s="965"/>
      <c r="L80" s="965"/>
      <c r="M80" s="965">
        <v>77261.850000000006</v>
      </c>
      <c r="N80" s="965"/>
      <c r="O80" s="966"/>
      <c r="P80" s="964"/>
      <c r="Q80" s="950"/>
      <c r="R80" s="951"/>
      <c r="S80" s="951"/>
      <c r="T80" s="951"/>
      <c r="U80" s="951"/>
      <c r="V80" s="951"/>
      <c r="W80" s="951"/>
      <c r="X80" s="951"/>
      <c r="Y80" s="944"/>
      <c r="Z80" s="944"/>
      <c r="AA80" s="944"/>
      <c r="AB80" s="944"/>
      <c r="AC80" s="944"/>
    </row>
    <row r="81" spans="1:29" s="749" customFormat="1" ht="24.95" customHeight="1" x14ac:dyDescent="0.35">
      <c r="A81" s="968" t="s">
        <v>421</v>
      </c>
      <c r="B81" s="925" t="s">
        <v>115</v>
      </c>
      <c r="C81" s="925"/>
      <c r="D81" s="964" t="s">
        <v>90</v>
      </c>
      <c r="E81" s="964"/>
      <c r="F81" s="964"/>
      <c r="G81" s="964" t="s">
        <v>531</v>
      </c>
      <c r="H81" s="925"/>
      <c r="I81" s="965"/>
      <c r="J81" s="965"/>
      <c r="K81" s="965"/>
      <c r="L81" s="965"/>
      <c r="M81" s="965">
        <v>782600</v>
      </c>
      <c r="N81" s="965"/>
      <c r="O81" s="966"/>
      <c r="P81" s="964"/>
      <c r="Q81" s="950"/>
      <c r="R81" s="951"/>
      <c r="S81" s="951"/>
      <c r="T81" s="951"/>
      <c r="U81" s="951"/>
      <c r="V81" s="951"/>
      <c r="W81" s="951"/>
      <c r="X81" s="951"/>
      <c r="Y81" s="944"/>
      <c r="Z81" s="944"/>
      <c r="AA81" s="944"/>
      <c r="AB81" s="944"/>
      <c r="AC81" s="944"/>
    </row>
    <row r="82" spans="1:29" s="749" customFormat="1" ht="24.95" customHeight="1" x14ac:dyDescent="0.35">
      <c r="A82" s="968">
        <v>45804</v>
      </c>
      <c r="B82" s="925" t="s">
        <v>533</v>
      </c>
      <c r="C82" s="925"/>
      <c r="D82" s="964" t="s">
        <v>92</v>
      </c>
      <c r="E82" s="964"/>
      <c r="F82" s="964"/>
      <c r="G82" s="964" t="s">
        <v>534</v>
      </c>
      <c r="H82" s="925"/>
      <c r="I82" s="965"/>
      <c r="J82" s="965"/>
      <c r="K82" s="965"/>
      <c r="L82" s="965"/>
      <c r="M82" s="965" t="s">
        <v>419</v>
      </c>
      <c r="N82" s="965"/>
      <c r="O82" s="966"/>
      <c r="P82" s="964"/>
      <c r="Q82" s="950"/>
      <c r="R82" s="951"/>
      <c r="S82" s="951"/>
      <c r="T82" s="951"/>
      <c r="U82" s="951"/>
      <c r="V82" s="951"/>
      <c r="W82" s="951"/>
      <c r="X82" s="951"/>
      <c r="Y82" s="944"/>
      <c r="Z82" s="944"/>
      <c r="AA82" s="944"/>
      <c r="AB82" s="944"/>
      <c r="AC82" s="944"/>
    </row>
    <row r="83" spans="1:29" s="749" customFormat="1" ht="24.95" customHeight="1" x14ac:dyDescent="0.35">
      <c r="A83" s="968">
        <v>45817</v>
      </c>
      <c r="B83" s="925" t="s">
        <v>432</v>
      </c>
      <c r="C83" s="925"/>
      <c r="D83" s="964" t="s">
        <v>90</v>
      </c>
      <c r="E83" s="964"/>
      <c r="F83" s="964"/>
      <c r="G83" s="964" t="s">
        <v>556</v>
      </c>
      <c r="H83" s="925"/>
      <c r="I83" s="965"/>
      <c r="J83" s="965" t="s">
        <v>419</v>
      </c>
      <c r="K83" s="965"/>
      <c r="L83" s="965"/>
      <c r="M83" s="965"/>
      <c r="N83" s="965"/>
      <c r="O83" s="966"/>
      <c r="P83" s="964"/>
      <c r="Q83" s="950"/>
      <c r="R83" s="951"/>
      <c r="S83" s="951"/>
      <c r="T83" s="951"/>
      <c r="U83" s="951"/>
      <c r="V83" s="951"/>
      <c r="W83" s="951"/>
      <c r="X83" s="951"/>
      <c r="Y83" s="944"/>
      <c r="Z83" s="944"/>
      <c r="AA83" s="944"/>
      <c r="AB83" s="944"/>
      <c r="AC83" s="944"/>
    </row>
    <row r="84" spans="1:29" s="749" customFormat="1" ht="24.95" customHeight="1" x14ac:dyDescent="0.35">
      <c r="A84" s="968">
        <v>45818</v>
      </c>
      <c r="B84" s="925" t="s">
        <v>546</v>
      </c>
      <c r="C84" s="925"/>
      <c r="D84" s="964" t="s">
        <v>90</v>
      </c>
      <c r="E84" s="964"/>
      <c r="F84" s="964"/>
      <c r="G84" s="964" t="s">
        <v>547</v>
      </c>
      <c r="H84" s="925"/>
      <c r="I84" s="965"/>
      <c r="J84" s="965">
        <v>173500</v>
      </c>
      <c r="K84" s="965"/>
      <c r="L84" s="965"/>
      <c r="M84" s="965"/>
      <c r="N84" s="965"/>
      <c r="O84" s="966"/>
      <c r="P84" s="964"/>
      <c r="Q84" s="950"/>
      <c r="R84" s="951"/>
      <c r="S84" s="951"/>
      <c r="T84" s="951"/>
      <c r="U84" s="951"/>
      <c r="V84" s="951"/>
      <c r="W84" s="951"/>
      <c r="X84" s="951"/>
      <c r="Y84" s="944"/>
      <c r="Z84" s="944"/>
      <c r="AA84" s="944"/>
      <c r="AB84" s="944"/>
      <c r="AC84" s="944"/>
    </row>
    <row r="85" spans="1:29" s="749" customFormat="1" ht="24.95" customHeight="1" x14ac:dyDescent="0.35">
      <c r="A85" s="968" t="s">
        <v>421</v>
      </c>
      <c r="B85" s="925" t="s">
        <v>301</v>
      </c>
      <c r="C85" s="925"/>
      <c r="D85" s="964" t="s">
        <v>90</v>
      </c>
      <c r="E85" s="964"/>
      <c r="F85" s="964"/>
      <c r="G85" s="964" t="s">
        <v>582</v>
      </c>
      <c r="H85" s="925"/>
      <c r="I85" s="965"/>
      <c r="J85" s="965"/>
      <c r="K85" s="965"/>
      <c r="L85" s="965">
        <v>948000</v>
      </c>
      <c r="M85" s="965"/>
      <c r="N85" s="965"/>
      <c r="O85" s="966"/>
      <c r="P85" s="964"/>
      <c r="Q85" s="950"/>
      <c r="R85" s="951"/>
      <c r="S85" s="951"/>
      <c r="T85" s="951"/>
      <c r="U85" s="951"/>
      <c r="V85" s="951"/>
      <c r="W85" s="951"/>
      <c r="X85" s="951"/>
      <c r="Y85" s="944"/>
      <c r="Z85" s="944"/>
      <c r="AA85" s="944"/>
      <c r="AB85" s="944"/>
      <c r="AC85" s="944"/>
    </row>
    <row r="86" spans="1:29" s="749" customFormat="1" ht="24.95" customHeight="1" x14ac:dyDescent="0.35">
      <c r="A86" s="968">
        <v>45828</v>
      </c>
      <c r="B86" s="925" t="s">
        <v>428</v>
      </c>
      <c r="C86" s="925"/>
      <c r="D86" s="964" t="s">
        <v>92</v>
      </c>
      <c r="E86" s="964"/>
      <c r="F86" s="964"/>
      <c r="G86" s="964" t="s">
        <v>559</v>
      </c>
      <c r="H86" s="925"/>
      <c r="I86" s="965"/>
      <c r="J86" s="965" t="s">
        <v>419</v>
      </c>
      <c r="K86" s="965"/>
      <c r="L86" s="965"/>
      <c r="M86" s="965"/>
      <c r="N86" s="965"/>
      <c r="O86" s="966"/>
      <c r="P86" s="964"/>
      <c r="Q86" s="950"/>
      <c r="R86" s="951"/>
      <c r="S86" s="951"/>
      <c r="T86" s="951"/>
      <c r="U86" s="951"/>
      <c r="V86" s="951"/>
      <c r="W86" s="951"/>
      <c r="X86" s="951"/>
      <c r="Y86" s="944"/>
      <c r="Z86" s="944"/>
      <c r="AA86" s="944"/>
      <c r="AB86" s="944"/>
      <c r="AC86" s="944"/>
    </row>
    <row r="87" spans="1:29" s="749" customFormat="1" ht="24.95" customHeight="1" x14ac:dyDescent="0.35">
      <c r="A87" s="968" t="s">
        <v>421</v>
      </c>
      <c r="B87" s="925" t="s">
        <v>301</v>
      </c>
      <c r="C87" s="925"/>
      <c r="D87" s="964" t="s">
        <v>90</v>
      </c>
      <c r="E87" s="964"/>
      <c r="F87" s="964"/>
      <c r="G87" s="964" t="s">
        <v>550</v>
      </c>
      <c r="H87" s="925"/>
      <c r="I87" s="965"/>
      <c r="J87" s="965"/>
      <c r="K87" s="965"/>
      <c r="L87" s="965">
        <v>174800</v>
      </c>
      <c r="M87" s="965"/>
      <c r="N87" s="965"/>
      <c r="O87" s="966"/>
      <c r="P87" s="964"/>
      <c r="Q87" s="963"/>
      <c r="R87" s="554"/>
      <c r="S87" s="554"/>
      <c r="T87" s="554"/>
      <c r="U87" s="554"/>
      <c r="V87" s="554"/>
      <c r="W87" s="554"/>
      <c r="X87" s="554"/>
    </row>
    <row r="88" spans="1:29" s="749" customFormat="1" ht="24.95" customHeight="1" x14ac:dyDescent="0.35">
      <c r="A88" s="968" t="s">
        <v>557</v>
      </c>
      <c r="B88" s="925" t="s">
        <v>446</v>
      </c>
      <c r="C88" s="925"/>
      <c r="D88" s="964" t="s">
        <v>90</v>
      </c>
      <c r="E88" s="964"/>
      <c r="F88" s="964"/>
      <c r="G88" s="964" t="s">
        <v>590</v>
      </c>
      <c r="H88" s="925"/>
      <c r="I88" s="965"/>
      <c r="J88" s="965"/>
      <c r="K88" s="965"/>
      <c r="L88" s="965">
        <v>363300</v>
      </c>
      <c r="M88" s="965"/>
      <c r="N88" s="965"/>
      <c r="O88" s="966"/>
      <c r="P88" s="964"/>
      <c r="Q88" s="963"/>
      <c r="R88" s="554"/>
      <c r="S88" s="554"/>
      <c r="T88" s="554"/>
      <c r="U88" s="554"/>
      <c r="V88" s="554"/>
      <c r="W88" s="554"/>
      <c r="X88" s="554"/>
    </row>
    <row r="89" spans="1:29" s="749" customFormat="1" ht="24.95" customHeight="1" x14ac:dyDescent="0.35">
      <c r="A89" s="968" t="s">
        <v>421</v>
      </c>
      <c r="B89" s="925" t="s">
        <v>446</v>
      </c>
      <c r="C89" s="925"/>
      <c r="D89" s="964" t="s">
        <v>90</v>
      </c>
      <c r="E89" s="964"/>
      <c r="F89" s="964"/>
      <c r="G89" s="964" t="s">
        <v>540</v>
      </c>
      <c r="H89" s="925"/>
      <c r="I89" s="965"/>
      <c r="J89" s="965"/>
      <c r="K89" s="965"/>
      <c r="L89" s="965" t="s">
        <v>419</v>
      </c>
      <c r="M89" s="965"/>
      <c r="N89" s="965"/>
      <c r="O89" s="966"/>
      <c r="P89" s="964"/>
      <c r="Q89" s="963"/>
      <c r="R89" s="554"/>
      <c r="S89" s="554"/>
      <c r="T89" s="554"/>
      <c r="U89" s="554"/>
      <c r="V89" s="554"/>
      <c r="W89" s="554"/>
      <c r="X89" s="554"/>
    </row>
    <row r="90" spans="1:29" s="749" customFormat="1" ht="24.95" customHeight="1" x14ac:dyDescent="0.35">
      <c r="A90" s="968">
        <v>45854</v>
      </c>
      <c r="B90" s="925" t="s">
        <v>560</v>
      </c>
      <c r="C90" s="925"/>
      <c r="D90" s="964" t="s">
        <v>90</v>
      </c>
      <c r="E90" s="964"/>
      <c r="F90" s="964"/>
      <c r="G90" s="964" t="s">
        <v>561</v>
      </c>
      <c r="H90" s="925"/>
      <c r="I90" s="965"/>
      <c r="J90" s="965"/>
      <c r="K90" s="965">
        <v>469985</v>
      </c>
      <c r="L90" s="965"/>
      <c r="M90" s="965"/>
      <c r="N90" s="965"/>
      <c r="O90" s="966"/>
      <c r="P90" s="964"/>
      <c r="Q90" s="963"/>
      <c r="R90" s="554"/>
      <c r="S90" s="554"/>
      <c r="T90" s="554"/>
      <c r="U90" s="554"/>
      <c r="V90" s="554"/>
      <c r="W90" s="554"/>
      <c r="X90" s="554"/>
    </row>
    <row r="91" spans="1:29" s="749" customFormat="1" ht="24.95" customHeight="1" x14ac:dyDescent="0.35">
      <c r="A91" s="968">
        <v>45854</v>
      </c>
      <c r="B91" s="925" t="s">
        <v>560</v>
      </c>
      <c r="C91" s="925"/>
      <c r="D91" s="964" t="s">
        <v>90</v>
      </c>
      <c r="E91" s="964"/>
      <c r="F91" s="964"/>
      <c r="G91" s="964" t="s">
        <v>562</v>
      </c>
      <c r="H91" s="925"/>
      <c r="I91" s="965"/>
      <c r="J91" s="965"/>
      <c r="K91" s="965" t="s">
        <v>419</v>
      </c>
      <c r="L91" s="965"/>
      <c r="M91" s="965"/>
      <c r="N91" s="965"/>
      <c r="O91" s="966"/>
      <c r="P91" s="964"/>
      <c r="Q91" s="963"/>
      <c r="R91" s="554"/>
      <c r="S91" s="554"/>
      <c r="T91" s="554"/>
      <c r="U91" s="554"/>
      <c r="V91" s="554"/>
      <c r="W91" s="554"/>
      <c r="X91" s="554"/>
    </row>
    <row r="92" spans="1:29" s="749" customFormat="1" ht="24.95" customHeight="1" x14ac:dyDescent="0.35">
      <c r="A92" s="968" t="s">
        <v>557</v>
      </c>
      <c r="B92" s="925" t="s">
        <v>563</v>
      </c>
      <c r="C92" s="925"/>
      <c r="D92" s="964" t="s">
        <v>92</v>
      </c>
      <c r="E92" s="964"/>
      <c r="F92" s="964"/>
      <c r="G92" s="964" t="s">
        <v>564</v>
      </c>
      <c r="H92" s="925"/>
      <c r="I92" s="965"/>
      <c r="J92" s="965"/>
      <c r="K92" s="965">
        <v>115000</v>
      </c>
      <c r="L92" s="965"/>
      <c r="M92" s="965"/>
      <c r="N92" s="965"/>
      <c r="O92" s="966"/>
      <c r="P92" s="964"/>
      <c r="Q92" s="963"/>
      <c r="R92" s="554"/>
      <c r="S92" s="554"/>
      <c r="T92" s="554"/>
      <c r="U92" s="554"/>
      <c r="V92" s="554"/>
      <c r="W92" s="554"/>
      <c r="X92" s="554"/>
    </row>
    <row r="93" spans="1:29" s="749" customFormat="1" ht="24.95" customHeight="1" x14ac:dyDescent="0.35">
      <c r="A93" s="968" t="s">
        <v>421</v>
      </c>
      <c r="B93" s="925" t="s">
        <v>563</v>
      </c>
      <c r="C93" s="925"/>
      <c r="D93" s="964" t="s">
        <v>92</v>
      </c>
      <c r="E93" s="964"/>
      <c r="F93" s="964"/>
      <c r="G93" s="964" t="s">
        <v>565</v>
      </c>
      <c r="H93" s="925"/>
      <c r="I93" s="965"/>
      <c r="J93" s="965"/>
      <c r="K93" s="965">
        <v>25895</v>
      </c>
      <c r="L93" s="965"/>
      <c r="M93" s="965"/>
      <c r="N93" s="965"/>
      <c r="O93" s="966"/>
      <c r="P93" s="964"/>
      <c r="Q93" s="963"/>
      <c r="R93" s="554"/>
      <c r="S93" s="554"/>
      <c r="T93" s="554"/>
      <c r="U93" s="554"/>
      <c r="V93" s="554"/>
      <c r="W93" s="554"/>
      <c r="X93" s="554"/>
    </row>
    <row r="94" spans="1:29" s="749" customFormat="1" ht="24.95" customHeight="1" x14ac:dyDescent="0.35">
      <c r="A94" s="968" t="s">
        <v>421</v>
      </c>
      <c r="B94" s="925" t="s">
        <v>446</v>
      </c>
      <c r="C94" s="925"/>
      <c r="D94" s="964" t="s">
        <v>90</v>
      </c>
      <c r="E94" s="964"/>
      <c r="F94" s="964"/>
      <c r="G94" s="964" t="s">
        <v>566</v>
      </c>
      <c r="H94" s="925"/>
      <c r="I94" s="965"/>
      <c r="J94" s="965"/>
      <c r="K94" s="965" t="s">
        <v>419</v>
      </c>
      <c r="L94" s="965"/>
      <c r="M94" s="965"/>
      <c r="N94" s="965"/>
      <c r="O94" s="966"/>
      <c r="P94" s="964"/>
      <c r="Q94" s="963"/>
      <c r="R94" s="554"/>
      <c r="S94" s="554"/>
      <c r="T94" s="554"/>
      <c r="U94" s="554"/>
      <c r="V94" s="554"/>
      <c r="W94" s="554"/>
      <c r="X94" s="554"/>
    </row>
    <row r="95" spans="1:29" s="749" customFormat="1" ht="24.95" customHeight="1" x14ac:dyDescent="0.35">
      <c r="A95" s="968">
        <v>45857</v>
      </c>
      <c r="B95" s="925" t="s">
        <v>432</v>
      </c>
      <c r="C95" s="925"/>
      <c r="D95" s="964" t="s">
        <v>90</v>
      </c>
      <c r="E95" s="964"/>
      <c r="F95" s="964"/>
      <c r="G95" s="964" t="s">
        <v>567</v>
      </c>
      <c r="H95" s="925"/>
      <c r="I95" s="965"/>
      <c r="J95" s="965"/>
      <c r="K95" s="965">
        <v>438000</v>
      </c>
      <c r="L95" s="965"/>
      <c r="M95" s="965"/>
      <c r="N95" s="965"/>
      <c r="O95" s="966"/>
      <c r="P95" s="964"/>
      <c r="Q95" s="963"/>
      <c r="R95" s="554"/>
      <c r="S95" s="554"/>
      <c r="T95" s="554"/>
      <c r="U95" s="554"/>
      <c r="V95" s="554"/>
      <c r="W95" s="554"/>
      <c r="X95" s="554"/>
    </row>
    <row r="96" spans="1:29" s="749" customFormat="1" ht="24.95" customHeight="1" x14ac:dyDescent="0.35">
      <c r="A96" s="968">
        <v>45859</v>
      </c>
      <c r="B96" s="925" t="s">
        <v>573</v>
      </c>
      <c r="C96" s="925"/>
      <c r="D96" s="964" t="s">
        <v>282</v>
      </c>
      <c r="E96" s="964"/>
      <c r="F96" s="964"/>
      <c r="G96" s="964" t="s">
        <v>572</v>
      </c>
      <c r="H96" s="925"/>
      <c r="I96" s="965"/>
      <c r="J96" s="965"/>
      <c r="K96" s="965">
        <v>9850</v>
      </c>
      <c r="L96" s="965"/>
      <c r="M96" s="965"/>
      <c r="N96" s="965"/>
      <c r="O96" s="966"/>
      <c r="P96" s="964"/>
      <c r="Q96" s="963"/>
      <c r="R96" s="554"/>
      <c r="S96" s="554"/>
      <c r="T96" s="554"/>
      <c r="U96" s="554"/>
      <c r="V96" s="554"/>
      <c r="W96" s="554"/>
      <c r="X96" s="554"/>
    </row>
    <row r="97" spans="1:24" s="749" customFormat="1" ht="24.95" customHeight="1" x14ac:dyDescent="0.35">
      <c r="A97" s="968" t="s">
        <v>421</v>
      </c>
      <c r="B97" s="925" t="s">
        <v>491</v>
      </c>
      <c r="C97" s="925"/>
      <c r="D97" s="964" t="s">
        <v>90</v>
      </c>
      <c r="E97" s="964"/>
      <c r="F97" s="964"/>
      <c r="G97" s="964" t="s">
        <v>571</v>
      </c>
      <c r="H97" s="925"/>
      <c r="I97" s="965"/>
      <c r="J97" s="965"/>
      <c r="K97" s="965">
        <v>45000</v>
      </c>
      <c r="L97" s="965"/>
      <c r="M97" s="965"/>
      <c r="N97" s="965"/>
      <c r="O97" s="966"/>
      <c r="P97" s="964"/>
      <c r="Q97" s="963"/>
      <c r="R97" s="554"/>
      <c r="S97" s="554"/>
      <c r="T97" s="554"/>
      <c r="U97" s="554"/>
      <c r="V97" s="554"/>
      <c r="W97" s="554"/>
      <c r="X97" s="554"/>
    </row>
    <row r="98" spans="1:24" s="749" customFormat="1" ht="24.95" customHeight="1" x14ac:dyDescent="0.35">
      <c r="A98" s="968">
        <v>45873</v>
      </c>
      <c r="B98" s="925" t="s">
        <v>549</v>
      </c>
      <c r="C98" s="925"/>
      <c r="D98" s="964" t="s">
        <v>282</v>
      </c>
      <c r="E98" s="964"/>
      <c r="F98" s="964"/>
      <c r="G98" s="964" t="s">
        <v>588</v>
      </c>
      <c r="H98" s="925"/>
      <c r="I98" s="965"/>
      <c r="J98" s="965">
        <v>402400</v>
      </c>
      <c r="K98" s="965"/>
      <c r="L98" s="965"/>
      <c r="M98" s="965"/>
      <c r="N98" s="965"/>
      <c r="O98" s="966"/>
      <c r="P98" s="964"/>
      <c r="Q98" s="963"/>
      <c r="R98" s="554"/>
      <c r="S98" s="554"/>
      <c r="T98" s="554"/>
      <c r="U98" s="554"/>
      <c r="V98" s="554"/>
      <c r="W98" s="554"/>
      <c r="X98" s="554"/>
    </row>
    <row r="99" spans="1:24" s="749" customFormat="1" ht="24.95" customHeight="1" x14ac:dyDescent="0.35">
      <c r="A99" s="968" t="s">
        <v>557</v>
      </c>
      <c r="B99" s="925" t="s">
        <v>301</v>
      </c>
      <c r="C99" s="925"/>
      <c r="D99" s="964" t="s">
        <v>90</v>
      </c>
      <c r="E99" s="964"/>
      <c r="F99" s="964"/>
      <c r="G99" s="964" t="s">
        <v>583</v>
      </c>
      <c r="H99" s="925"/>
      <c r="I99" s="965"/>
      <c r="J99" s="965">
        <v>280000</v>
      </c>
      <c r="K99" s="965"/>
      <c r="L99" s="965"/>
      <c r="M99" s="965"/>
      <c r="N99" s="965"/>
      <c r="O99" s="966"/>
      <c r="P99" s="964"/>
      <c r="Q99" s="963"/>
      <c r="R99" s="554"/>
      <c r="S99" s="554"/>
      <c r="T99" s="554"/>
      <c r="U99" s="554"/>
      <c r="V99" s="554"/>
      <c r="W99" s="554"/>
      <c r="X99" s="554"/>
    </row>
    <row r="100" spans="1:24" s="749" customFormat="1" ht="24.95" customHeight="1" x14ac:dyDescent="0.35">
      <c r="A100" s="968">
        <v>45874</v>
      </c>
      <c r="B100" s="925" t="s">
        <v>526</v>
      </c>
      <c r="C100" s="925"/>
      <c r="D100" s="964" t="s">
        <v>92</v>
      </c>
      <c r="E100" s="964"/>
      <c r="F100" s="964"/>
      <c r="G100" s="964" t="s">
        <v>585</v>
      </c>
      <c r="H100" s="925"/>
      <c r="I100" s="965"/>
      <c r="J100" s="965">
        <v>105000</v>
      </c>
      <c r="K100" s="965"/>
      <c r="L100" s="965"/>
      <c r="M100" s="965"/>
      <c r="N100" s="965"/>
      <c r="O100" s="966"/>
      <c r="P100" s="964"/>
      <c r="Q100" s="963"/>
      <c r="R100" s="554"/>
      <c r="S100" s="554"/>
      <c r="T100" s="554"/>
      <c r="U100" s="554"/>
      <c r="V100" s="554"/>
      <c r="W100" s="554"/>
      <c r="X100" s="554"/>
    </row>
    <row r="101" spans="1:24" s="749" customFormat="1" ht="24.95" customHeight="1" x14ac:dyDescent="0.35">
      <c r="A101" s="968">
        <v>45875</v>
      </c>
      <c r="B101" s="925" t="s">
        <v>43</v>
      </c>
      <c r="C101" s="925"/>
      <c r="D101" s="964" t="s">
        <v>90</v>
      </c>
      <c r="E101" s="964"/>
      <c r="F101" s="964"/>
      <c r="G101" s="964" t="s">
        <v>586</v>
      </c>
      <c r="H101" s="925"/>
      <c r="I101" s="965"/>
      <c r="J101" s="965" t="s">
        <v>419</v>
      </c>
      <c r="K101" s="965"/>
      <c r="L101" s="965"/>
      <c r="M101" s="965"/>
      <c r="N101" s="965"/>
      <c r="O101" s="966"/>
      <c r="P101" s="964"/>
      <c r="Q101" s="963"/>
      <c r="R101" s="554"/>
      <c r="S101" s="554"/>
      <c r="T101" s="554"/>
      <c r="U101" s="554"/>
      <c r="V101" s="554"/>
      <c r="W101" s="554"/>
      <c r="X101" s="554"/>
    </row>
    <row r="102" spans="1:24" s="749" customFormat="1" ht="24.95" customHeight="1" x14ac:dyDescent="0.35">
      <c r="A102" s="968">
        <v>45876</v>
      </c>
      <c r="B102" s="925" t="s">
        <v>576</v>
      </c>
      <c r="C102" s="925"/>
      <c r="D102" s="964" t="s">
        <v>90</v>
      </c>
      <c r="E102" s="964"/>
      <c r="F102" s="964"/>
      <c r="G102" s="964" t="s">
        <v>589</v>
      </c>
      <c r="H102" s="925"/>
      <c r="I102" s="965"/>
      <c r="J102" s="965">
        <v>11400</v>
      </c>
      <c r="K102" s="965"/>
      <c r="L102" s="965"/>
      <c r="M102" s="965"/>
      <c r="N102" s="965"/>
      <c r="O102" s="966"/>
      <c r="P102" s="964"/>
      <c r="Q102" s="963"/>
      <c r="R102" s="554"/>
      <c r="S102" s="554"/>
      <c r="T102" s="554"/>
      <c r="U102" s="554"/>
      <c r="V102" s="554"/>
      <c r="W102" s="554"/>
      <c r="X102" s="554"/>
    </row>
    <row r="103" spans="1:24" s="749" customFormat="1" ht="24.95" customHeight="1" x14ac:dyDescent="0.35">
      <c r="A103" s="968">
        <v>45876</v>
      </c>
      <c r="B103" s="925" t="s">
        <v>591</v>
      </c>
      <c r="C103" s="925"/>
      <c r="D103" s="964" t="s">
        <v>92</v>
      </c>
      <c r="E103" s="964"/>
      <c r="F103" s="964"/>
      <c r="G103" s="964" t="s">
        <v>592</v>
      </c>
      <c r="H103" s="925"/>
      <c r="I103" s="965"/>
      <c r="J103" s="965">
        <v>2350</v>
      </c>
      <c r="K103" s="965"/>
      <c r="L103" s="965"/>
      <c r="M103" s="965"/>
      <c r="N103" s="965"/>
      <c r="O103" s="966"/>
      <c r="P103" s="964"/>
      <c r="Q103" s="963"/>
      <c r="R103" s="554"/>
      <c r="S103" s="554"/>
      <c r="T103" s="554"/>
      <c r="U103" s="554"/>
      <c r="V103" s="554"/>
      <c r="W103" s="554"/>
      <c r="X103" s="554"/>
    </row>
    <row r="104" spans="1:24" s="749" customFormat="1" ht="24.95" customHeight="1" x14ac:dyDescent="0.35">
      <c r="A104" s="968">
        <v>45881</v>
      </c>
      <c r="B104" s="925" t="s">
        <v>281</v>
      </c>
      <c r="C104" s="925"/>
      <c r="D104" s="964" t="s">
        <v>282</v>
      </c>
      <c r="E104" s="964"/>
      <c r="F104" s="964"/>
      <c r="G104" s="964" t="s">
        <v>593</v>
      </c>
      <c r="H104" s="925"/>
      <c r="I104" s="965"/>
      <c r="J104" s="965">
        <v>227750</v>
      </c>
      <c r="K104" s="965"/>
      <c r="L104" s="965"/>
      <c r="M104" s="965"/>
      <c r="N104" s="965"/>
      <c r="O104" s="966"/>
      <c r="P104" s="964"/>
      <c r="Q104" s="963"/>
      <c r="R104" s="554"/>
      <c r="S104" s="554"/>
      <c r="T104" s="554"/>
      <c r="U104" s="554"/>
      <c r="V104" s="554"/>
      <c r="W104" s="554"/>
      <c r="X104" s="554"/>
    </row>
    <row r="105" spans="1:24" s="749" customFormat="1" ht="24.95" customHeight="1" x14ac:dyDescent="0.35">
      <c r="A105" s="968" t="s">
        <v>421</v>
      </c>
      <c r="B105" s="925" t="s">
        <v>281</v>
      </c>
      <c r="C105" s="925"/>
      <c r="D105" s="964" t="s">
        <v>282</v>
      </c>
      <c r="E105" s="964"/>
      <c r="F105" s="964"/>
      <c r="G105" s="964" t="s">
        <v>523</v>
      </c>
      <c r="H105" s="925"/>
      <c r="I105" s="965"/>
      <c r="J105" s="965" t="s">
        <v>419</v>
      </c>
      <c r="K105" s="965"/>
      <c r="L105" s="965"/>
      <c r="M105" s="965"/>
      <c r="N105" s="965"/>
      <c r="O105" s="966"/>
      <c r="P105" s="964"/>
      <c r="Q105" s="963"/>
      <c r="R105" s="554"/>
      <c r="S105" s="554"/>
      <c r="T105" s="554"/>
      <c r="U105" s="554"/>
      <c r="V105" s="554"/>
      <c r="W105" s="554"/>
      <c r="X105" s="554"/>
    </row>
    <row r="106" spans="1:24" s="749" customFormat="1" ht="24.95" customHeight="1" x14ac:dyDescent="0.35">
      <c r="A106" s="968">
        <v>45883</v>
      </c>
      <c r="B106" s="925" t="s">
        <v>594</v>
      </c>
      <c r="C106" s="925"/>
      <c r="D106" s="964" t="s">
        <v>90</v>
      </c>
      <c r="E106" s="964"/>
      <c r="F106" s="964"/>
      <c r="G106" s="964" t="s">
        <v>595</v>
      </c>
      <c r="H106" s="925"/>
      <c r="I106" s="965"/>
      <c r="J106" s="965">
        <v>152000</v>
      </c>
      <c r="K106" s="965"/>
      <c r="L106" s="965"/>
      <c r="M106" s="965"/>
      <c r="N106" s="965"/>
      <c r="O106" s="966"/>
      <c r="P106" s="964"/>
      <c r="Q106" s="963"/>
      <c r="R106" s="554"/>
      <c r="S106" s="554"/>
      <c r="T106" s="554"/>
      <c r="U106" s="554"/>
      <c r="V106" s="554"/>
      <c r="W106" s="554"/>
      <c r="X106" s="554"/>
    </row>
    <row r="107" spans="1:24" s="749" customFormat="1" ht="24.95" customHeight="1" x14ac:dyDescent="0.35">
      <c r="A107" s="968">
        <v>45883</v>
      </c>
      <c r="B107" s="925" t="s">
        <v>596</v>
      </c>
      <c r="C107" s="925"/>
      <c r="D107" s="964" t="s">
        <v>92</v>
      </c>
      <c r="E107" s="964"/>
      <c r="F107" s="964"/>
      <c r="G107" s="964" t="s">
        <v>597</v>
      </c>
      <c r="H107" s="925"/>
      <c r="I107" s="965"/>
      <c r="J107" s="965">
        <v>142240</v>
      </c>
      <c r="K107" s="965"/>
      <c r="L107" s="965"/>
      <c r="M107" s="965"/>
      <c r="N107" s="965"/>
      <c r="O107" s="966"/>
      <c r="P107" s="964"/>
      <c r="Q107" s="963"/>
      <c r="R107" s="554"/>
      <c r="S107" s="554"/>
      <c r="T107" s="554"/>
      <c r="U107" s="554"/>
      <c r="V107" s="554"/>
      <c r="W107" s="554"/>
      <c r="X107" s="554"/>
    </row>
    <row r="108" spans="1:24" s="749" customFormat="1" ht="24.95" customHeight="1" x14ac:dyDescent="0.35">
      <c r="A108" s="968" t="s">
        <v>421</v>
      </c>
      <c r="B108" s="925" t="s">
        <v>321</v>
      </c>
      <c r="C108" s="925"/>
      <c r="D108" s="964" t="s">
        <v>90</v>
      </c>
      <c r="E108" s="964"/>
      <c r="F108" s="964"/>
      <c r="G108" s="964" t="s">
        <v>604</v>
      </c>
      <c r="H108" s="925"/>
      <c r="I108" s="965"/>
      <c r="J108" s="965">
        <v>2977500</v>
      </c>
      <c r="K108" s="965"/>
      <c r="L108" s="965"/>
      <c r="M108" s="965"/>
      <c r="N108" s="965"/>
      <c r="O108" s="966"/>
      <c r="P108" s="964"/>
      <c r="Q108" s="963"/>
      <c r="R108" s="554"/>
      <c r="S108" s="554"/>
      <c r="T108" s="554"/>
      <c r="U108" s="554"/>
      <c r="V108" s="554"/>
      <c r="W108" s="554"/>
      <c r="X108" s="554"/>
    </row>
    <row r="109" spans="1:24" s="749" customFormat="1" ht="24.95" customHeight="1" x14ac:dyDescent="0.35">
      <c r="A109" s="968" t="s">
        <v>421</v>
      </c>
      <c r="B109" s="925" t="s">
        <v>409</v>
      </c>
      <c r="C109" s="925"/>
      <c r="D109" s="964" t="s">
        <v>90</v>
      </c>
      <c r="E109" s="964"/>
      <c r="F109" s="964"/>
      <c r="G109" s="964" t="s">
        <v>600</v>
      </c>
      <c r="H109" s="925"/>
      <c r="I109" s="965"/>
      <c r="J109" s="965">
        <v>250952.38</v>
      </c>
      <c r="K109" s="965"/>
      <c r="L109" s="965"/>
      <c r="M109" s="965"/>
      <c r="N109" s="965"/>
      <c r="O109" s="966"/>
      <c r="P109" s="964"/>
      <c r="Q109" s="963"/>
      <c r="R109" s="554"/>
      <c r="S109" s="554"/>
      <c r="T109" s="554"/>
      <c r="U109" s="554"/>
      <c r="V109" s="554"/>
      <c r="W109" s="554"/>
      <c r="X109" s="554"/>
    </row>
    <row r="110" spans="1:24" s="749" customFormat="1" ht="24.95" customHeight="1" x14ac:dyDescent="0.35">
      <c r="A110" s="968">
        <v>45896</v>
      </c>
      <c r="B110" s="925" t="s">
        <v>439</v>
      </c>
      <c r="C110" s="925"/>
      <c r="D110" s="964" t="s">
        <v>90</v>
      </c>
      <c r="E110" s="964"/>
      <c r="F110" s="964"/>
      <c r="G110" s="964" t="s">
        <v>601</v>
      </c>
      <c r="H110" s="925"/>
      <c r="I110" s="965"/>
      <c r="J110" s="965" t="s">
        <v>419</v>
      </c>
      <c r="K110" s="965"/>
      <c r="L110" s="965"/>
      <c r="M110" s="965"/>
      <c r="N110" s="965"/>
      <c r="O110" s="966"/>
      <c r="P110" s="964"/>
      <c r="Q110" s="963"/>
      <c r="R110" s="554"/>
      <c r="S110" s="554"/>
      <c r="T110" s="554"/>
      <c r="U110" s="554"/>
      <c r="V110" s="554"/>
      <c r="W110" s="554"/>
      <c r="X110" s="554"/>
    </row>
    <row r="111" spans="1:24" s="749" customFormat="1" ht="24.95" customHeight="1" x14ac:dyDescent="0.35">
      <c r="A111" s="968">
        <v>45896</v>
      </c>
      <c r="B111" s="925" t="s">
        <v>619</v>
      </c>
      <c r="C111" s="925"/>
      <c r="D111" s="964" t="s">
        <v>221</v>
      </c>
      <c r="E111" s="964"/>
      <c r="F111" s="964"/>
      <c r="G111" s="964" t="s">
        <v>620</v>
      </c>
      <c r="H111" s="925"/>
      <c r="I111" s="965"/>
      <c r="J111" s="965">
        <v>176994</v>
      </c>
      <c r="K111" s="965"/>
      <c r="L111" s="965"/>
      <c r="M111" s="965"/>
      <c r="N111" s="965"/>
      <c r="O111" s="966"/>
      <c r="P111" s="964"/>
      <c r="Q111" s="963"/>
      <c r="R111" s="554"/>
      <c r="S111" s="554"/>
      <c r="T111" s="554"/>
      <c r="U111" s="554"/>
      <c r="V111" s="554"/>
      <c r="W111" s="554"/>
      <c r="X111" s="554"/>
    </row>
    <row r="112" spans="1:24" s="749" customFormat="1" ht="24.95" customHeight="1" x14ac:dyDescent="0.35">
      <c r="A112" s="968">
        <v>45897</v>
      </c>
      <c r="B112" s="925" t="s">
        <v>449</v>
      </c>
      <c r="C112" s="925"/>
      <c r="D112" s="964" t="s">
        <v>92</v>
      </c>
      <c r="E112" s="964"/>
      <c r="F112" s="964"/>
      <c r="G112" s="964" t="s">
        <v>602</v>
      </c>
      <c r="H112" s="925"/>
      <c r="I112" s="965"/>
      <c r="J112" s="965">
        <v>3500</v>
      </c>
      <c r="K112" s="965"/>
      <c r="L112" s="965"/>
      <c r="M112" s="965"/>
      <c r="N112" s="965"/>
      <c r="O112" s="966"/>
      <c r="P112" s="964"/>
      <c r="Q112" s="963"/>
      <c r="R112" s="554"/>
      <c r="S112" s="554"/>
      <c r="T112" s="554"/>
      <c r="U112" s="554"/>
      <c r="V112" s="554"/>
      <c r="W112" s="554"/>
      <c r="X112" s="554"/>
    </row>
    <row r="113" spans="1:24" s="749" customFormat="1" ht="24.95" customHeight="1" x14ac:dyDescent="0.35">
      <c r="A113" s="968" t="s">
        <v>421</v>
      </c>
      <c r="B113" s="925" t="s">
        <v>301</v>
      </c>
      <c r="C113" s="925"/>
      <c r="D113" s="964" t="s">
        <v>90</v>
      </c>
      <c r="E113" s="964"/>
      <c r="F113" s="964"/>
      <c r="G113" s="964" t="s">
        <v>603</v>
      </c>
      <c r="H113" s="925"/>
      <c r="I113" s="965"/>
      <c r="J113" s="965">
        <v>685000</v>
      </c>
      <c r="K113" s="965"/>
      <c r="L113" s="965"/>
      <c r="M113" s="965"/>
      <c r="N113" s="965"/>
      <c r="O113" s="966"/>
      <c r="P113" s="964"/>
      <c r="Q113" s="963"/>
      <c r="R113" s="554"/>
      <c r="S113" s="554"/>
      <c r="T113" s="554"/>
      <c r="U113" s="554"/>
      <c r="V113" s="554"/>
      <c r="W113" s="554"/>
      <c r="X113" s="554"/>
    </row>
    <row r="114" spans="1:24" s="749" customFormat="1" ht="24.95" customHeight="1" x14ac:dyDescent="0.35">
      <c r="A114" s="968">
        <v>45897</v>
      </c>
      <c r="B114" s="925" t="s">
        <v>607</v>
      </c>
      <c r="C114" s="925"/>
      <c r="D114" s="964" t="s">
        <v>90</v>
      </c>
      <c r="E114" s="964"/>
      <c r="F114" s="964"/>
      <c r="G114" s="964" t="s">
        <v>606</v>
      </c>
      <c r="H114" s="925"/>
      <c r="I114" s="965"/>
      <c r="J114" s="965">
        <v>476000</v>
      </c>
      <c r="K114" s="965"/>
      <c r="L114" s="965"/>
      <c r="M114" s="965"/>
      <c r="N114" s="965"/>
      <c r="O114" s="966"/>
      <c r="P114" s="964"/>
      <c r="Q114" s="963"/>
      <c r="R114" s="554"/>
      <c r="S114" s="554"/>
      <c r="T114" s="554"/>
      <c r="U114" s="554"/>
      <c r="V114" s="554"/>
      <c r="W114" s="554"/>
      <c r="X114" s="554"/>
    </row>
    <row r="115" spans="1:24" s="749" customFormat="1" ht="24.95" customHeight="1" x14ac:dyDescent="0.35">
      <c r="A115" s="968">
        <v>45897</v>
      </c>
      <c r="B115" s="925" t="s">
        <v>607</v>
      </c>
      <c r="C115" s="925"/>
      <c r="D115" s="964" t="s">
        <v>90</v>
      </c>
      <c r="E115" s="964"/>
      <c r="F115" s="964"/>
      <c r="G115" s="964" t="s">
        <v>608</v>
      </c>
      <c r="H115" s="925"/>
      <c r="I115" s="965"/>
      <c r="J115" s="965">
        <v>117000</v>
      </c>
      <c r="K115" s="965"/>
      <c r="L115" s="965"/>
      <c r="M115" s="965"/>
      <c r="N115" s="965"/>
      <c r="O115" s="966"/>
      <c r="P115" s="964"/>
      <c r="Q115" s="963"/>
      <c r="R115" s="554"/>
      <c r="S115" s="554"/>
      <c r="T115" s="554"/>
      <c r="U115" s="554"/>
      <c r="V115" s="554"/>
      <c r="W115" s="554"/>
      <c r="X115" s="554"/>
    </row>
    <row r="116" spans="1:24" s="749" customFormat="1" ht="24.95" customHeight="1" x14ac:dyDescent="0.35">
      <c r="A116" s="968">
        <v>45897</v>
      </c>
      <c r="B116" s="925" t="s">
        <v>417</v>
      </c>
      <c r="C116" s="925"/>
      <c r="D116" s="964" t="s">
        <v>90</v>
      </c>
      <c r="E116" s="964"/>
      <c r="F116" s="964"/>
      <c r="G116" s="964" t="s">
        <v>609</v>
      </c>
      <c r="H116" s="925"/>
      <c r="I116" s="965"/>
      <c r="J116" s="965" t="s">
        <v>419</v>
      </c>
      <c r="K116" s="965"/>
      <c r="L116" s="965"/>
      <c r="M116" s="965"/>
      <c r="N116" s="965"/>
      <c r="O116" s="966"/>
      <c r="P116" s="964"/>
      <c r="Q116" s="963"/>
      <c r="R116" s="554"/>
      <c r="S116" s="554"/>
      <c r="T116" s="554"/>
      <c r="U116" s="554"/>
      <c r="V116" s="554"/>
      <c r="W116" s="554"/>
      <c r="X116" s="554"/>
    </row>
    <row r="117" spans="1:24" s="749" customFormat="1" ht="24.95" customHeight="1" x14ac:dyDescent="0.35">
      <c r="A117" s="968">
        <v>45908</v>
      </c>
      <c r="B117" s="925" t="s">
        <v>439</v>
      </c>
      <c r="C117" s="925"/>
      <c r="D117" s="964" t="s">
        <v>90</v>
      </c>
      <c r="E117" s="964"/>
      <c r="F117" s="964"/>
      <c r="G117" s="964" t="s">
        <v>612</v>
      </c>
      <c r="H117" s="925"/>
      <c r="I117" s="965">
        <v>251968</v>
      </c>
      <c r="J117" s="965"/>
      <c r="K117" s="965"/>
      <c r="L117" s="965"/>
      <c r="M117" s="965"/>
      <c r="N117" s="965"/>
      <c r="O117" s="966"/>
      <c r="P117" s="964"/>
      <c r="Q117" s="963"/>
      <c r="R117" s="554"/>
      <c r="S117" s="554"/>
      <c r="T117" s="554"/>
      <c r="U117" s="554"/>
      <c r="V117" s="554"/>
      <c r="W117" s="554"/>
      <c r="X117" s="554"/>
    </row>
    <row r="118" spans="1:24" s="749" customFormat="1" ht="24.95" customHeight="1" x14ac:dyDescent="0.35">
      <c r="A118" s="968">
        <v>45908</v>
      </c>
      <c r="B118" s="925" t="s">
        <v>439</v>
      </c>
      <c r="C118" s="925"/>
      <c r="D118" s="964" t="s">
        <v>90</v>
      </c>
      <c r="E118" s="964"/>
      <c r="F118" s="964"/>
      <c r="G118" s="964" t="s">
        <v>613</v>
      </c>
      <c r="H118" s="925"/>
      <c r="I118" s="965">
        <v>240350</v>
      </c>
      <c r="J118" s="965"/>
      <c r="K118" s="965"/>
      <c r="L118" s="965"/>
      <c r="M118" s="965"/>
      <c r="N118" s="965"/>
      <c r="O118" s="966"/>
      <c r="P118" s="964"/>
      <c r="Q118" s="963"/>
      <c r="R118" s="554"/>
      <c r="S118" s="554"/>
      <c r="T118" s="554"/>
      <c r="U118" s="554"/>
      <c r="V118" s="554"/>
      <c r="W118" s="554"/>
      <c r="X118" s="554"/>
    </row>
    <row r="119" spans="1:24" s="749" customFormat="1" ht="24.95" customHeight="1" x14ac:dyDescent="0.35">
      <c r="A119" s="968">
        <v>45908</v>
      </c>
      <c r="B119" s="925" t="s">
        <v>614</v>
      </c>
      <c r="C119" s="925"/>
      <c r="D119" s="964" t="s">
        <v>92</v>
      </c>
      <c r="E119" s="964"/>
      <c r="F119" s="964"/>
      <c r="G119" s="964" t="s">
        <v>615</v>
      </c>
      <c r="H119" s="925"/>
      <c r="I119" s="965" t="s">
        <v>419</v>
      </c>
      <c r="J119" s="965"/>
      <c r="K119" s="965"/>
      <c r="L119" s="965"/>
      <c r="M119" s="965"/>
      <c r="N119" s="965"/>
      <c r="O119" s="966"/>
      <c r="P119" s="964"/>
      <c r="Q119" s="963"/>
      <c r="R119" s="554"/>
      <c r="S119" s="554"/>
      <c r="T119" s="554"/>
      <c r="U119" s="554"/>
      <c r="V119" s="554"/>
      <c r="W119" s="554"/>
      <c r="X119" s="554"/>
    </row>
    <row r="120" spans="1:24" s="749" customFormat="1" ht="24.95" customHeight="1" x14ac:dyDescent="0.35">
      <c r="A120" s="968">
        <v>45909</v>
      </c>
      <c r="B120" s="925" t="s">
        <v>617</v>
      </c>
      <c r="C120" s="925"/>
      <c r="D120" s="964" t="s">
        <v>92</v>
      </c>
      <c r="E120" s="964"/>
      <c r="F120" s="964"/>
      <c r="G120" s="964" t="s">
        <v>618</v>
      </c>
      <c r="H120" s="925"/>
      <c r="I120" s="965">
        <v>193995</v>
      </c>
      <c r="J120" s="965"/>
      <c r="K120" s="965"/>
      <c r="L120" s="965"/>
      <c r="M120" s="965"/>
      <c r="N120" s="965"/>
      <c r="O120" s="966"/>
      <c r="P120" s="964"/>
      <c r="Q120" s="963"/>
      <c r="R120" s="554"/>
      <c r="S120" s="554"/>
      <c r="T120" s="554"/>
      <c r="U120" s="554"/>
      <c r="V120" s="554"/>
      <c r="W120" s="554"/>
      <c r="X120" s="554"/>
    </row>
    <row r="121" spans="1:24" s="749" customFormat="1" ht="24.95" customHeight="1" x14ac:dyDescent="0.35">
      <c r="A121" s="968">
        <v>45911</v>
      </c>
      <c r="B121" s="925" t="s">
        <v>395</v>
      </c>
      <c r="C121" s="925"/>
      <c r="D121" s="964" t="s">
        <v>92</v>
      </c>
      <c r="E121" s="964"/>
      <c r="F121" s="964"/>
      <c r="G121" s="964" t="s">
        <v>624</v>
      </c>
      <c r="H121" s="925"/>
      <c r="I121" s="965" t="s">
        <v>419</v>
      </c>
      <c r="J121" s="965"/>
      <c r="K121" s="965"/>
      <c r="L121" s="965"/>
      <c r="M121" s="965"/>
      <c r="N121" s="965"/>
      <c r="O121" s="966"/>
      <c r="P121" s="964"/>
      <c r="Q121" s="963"/>
      <c r="R121" s="554"/>
      <c r="S121" s="554"/>
      <c r="T121" s="554"/>
      <c r="U121" s="554"/>
      <c r="V121" s="554"/>
      <c r="W121" s="554"/>
      <c r="X121" s="554"/>
    </row>
    <row r="122" spans="1:24" s="749" customFormat="1" ht="24.95" customHeight="1" x14ac:dyDescent="0.35">
      <c r="A122" s="968">
        <v>45912</v>
      </c>
      <c r="B122" s="925" t="s">
        <v>395</v>
      </c>
      <c r="C122" s="925"/>
      <c r="D122" s="964" t="s">
        <v>92</v>
      </c>
      <c r="E122" s="964"/>
      <c r="F122" s="964"/>
      <c r="G122" s="964" t="s">
        <v>625</v>
      </c>
      <c r="H122" s="925"/>
      <c r="I122" s="965" t="s">
        <v>419</v>
      </c>
      <c r="J122" s="965"/>
      <c r="K122" s="965"/>
      <c r="L122" s="965"/>
      <c r="M122" s="965"/>
      <c r="N122" s="965"/>
      <c r="O122" s="966"/>
      <c r="P122" s="964"/>
      <c r="Q122" s="963"/>
      <c r="R122" s="554"/>
      <c r="S122" s="554"/>
      <c r="T122" s="554"/>
      <c r="U122" s="554"/>
      <c r="V122" s="554"/>
      <c r="W122" s="554"/>
      <c r="X122" s="554"/>
    </row>
    <row r="123" spans="1:24" s="749" customFormat="1" ht="24.95" customHeight="1" x14ac:dyDescent="0.35">
      <c r="A123" s="968">
        <v>45923</v>
      </c>
      <c r="B123" s="925" t="s">
        <v>614</v>
      </c>
      <c r="C123" s="925"/>
      <c r="D123" s="964" t="s">
        <v>92</v>
      </c>
      <c r="E123" s="964"/>
      <c r="F123" s="964"/>
      <c r="G123" s="964" t="s">
        <v>626</v>
      </c>
      <c r="H123" s="925"/>
      <c r="I123" s="965" t="s">
        <v>419</v>
      </c>
      <c r="J123" s="965"/>
      <c r="K123" s="965"/>
      <c r="L123" s="965"/>
      <c r="M123" s="965"/>
      <c r="N123" s="965"/>
      <c r="O123" s="966"/>
      <c r="P123" s="964"/>
      <c r="Q123" s="963"/>
      <c r="R123" s="554"/>
      <c r="S123" s="554"/>
      <c r="T123" s="554"/>
      <c r="U123" s="554"/>
      <c r="V123" s="554"/>
      <c r="W123" s="554"/>
      <c r="X123" s="554"/>
    </row>
    <row r="124" spans="1:24" s="749" customFormat="1" ht="24.95" customHeight="1" x14ac:dyDescent="0.35">
      <c r="A124" s="968">
        <v>45929</v>
      </c>
      <c r="B124" s="925" t="s">
        <v>617</v>
      </c>
      <c r="C124" s="925"/>
      <c r="D124" s="964" t="s">
        <v>92</v>
      </c>
      <c r="E124" s="964"/>
      <c r="F124" s="964"/>
      <c r="G124" s="964" t="s">
        <v>634</v>
      </c>
      <c r="H124" s="925"/>
      <c r="I124" s="965" t="s">
        <v>419</v>
      </c>
      <c r="J124" s="965"/>
      <c r="K124" s="965"/>
      <c r="L124" s="965"/>
      <c r="M124" s="965"/>
      <c r="N124" s="965"/>
      <c r="O124" s="966"/>
      <c r="P124" s="964"/>
      <c r="Q124" s="963"/>
      <c r="R124" s="554"/>
      <c r="S124" s="554"/>
      <c r="T124" s="554"/>
      <c r="U124" s="554"/>
      <c r="V124" s="554"/>
      <c r="W124" s="554"/>
      <c r="X124" s="554"/>
    </row>
    <row r="125" spans="1:24" s="749" customFormat="1" ht="24.95" customHeight="1" x14ac:dyDescent="0.35">
      <c r="A125" s="968">
        <v>45933</v>
      </c>
      <c r="B125" s="925" t="s">
        <v>270</v>
      </c>
      <c r="C125" s="925"/>
      <c r="D125" s="964" t="s">
        <v>90</v>
      </c>
      <c r="E125" s="964"/>
      <c r="F125" s="964"/>
      <c r="G125" s="964" t="s">
        <v>631</v>
      </c>
      <c r="H125" s="925"/>
      <c r="I125" s="965">
        <v>115008</v>
      </c>
      <c r="J125" s="965"/>
      <c r="K125" s="965"/>
      <c r="L125" s="965"/>
      <c r="M125" s="965"/>
      <c r="N125" s="965"/>
      <c r="O125" s="966"/>
      <c r="P125" s="964"/>
      <c r="Q125" s="963"/>
      <c r="R125" s="554"/>
      <c r="S125" s="554"/>
      <c r="T125" s="554"/>
      <c r="U125" s="554"/>
      <c r="V125" s="554"/>
      <c r="W125" s="554"/>
      <c r="X125" s="554"/>
    </row>
    <row r="126" spans="1:24" s="749" customFormat="1" ht="24.95" customHeight="1" x14ac:dyDescent="0.35">
      <c r="A126" s="968">
        <v>45944</v>
      </c>
      <c r="B126" s="925" t="s">
        <v>270</v>
      </c>
      <c r="C126" s="925"/>
      <c r="D126" s="964" t="s">
        <v>90</v>
      </c>
      <c r="E126" s="964"/>
      <c r="F126" s="964"/>
      <c r="G126" s="964" t="s">
        <v>635</v>
      </c>
      <c r="H126" s="925"/>
      <c r="I126" s="965">
        <v>58000</v>
      </c>
      <c r="J126" s="965"/>
      <c r="K126" s="965"/>
      <c r="L126" s="965"/>
      <c r="M126" s="965"/>
      <c r="N126" s="965"/>
      <c r="O126" s="966"/>
      <c r="P126" s="964"/>
      <c r="Q126" s="963"/>
      <c r="R126" s="554"/>
      <c r="S126" s="554"/>
      <c r="T126" s="554"/>
      <c r="U126" s="554"/>
      <c r="V126" s="554"/>
      <c r="W126" s="554"/>
      <c r="X126" s="554"/>
    </row>
    <row r="127" spans="1:24" s="749" customFormat="1" ht="24.95" customHeight="1" x14ac:dyDescent="0.35">
      <c r="A127" s="968">
        <v>45944</v>
      </c>
      <c r="B127" s="925" t="s">
        <v>636</v>
      </c>
      <c r="C127" s="925"/>
      <c r="D127" s="964" t="s">
        <v>92</v>
      </c>
      <c r="E127" s="964"/>
      <c r="F127" s="964"/>
      <c r="G127" s="964" t="s">
        <v>637</v>
      </c>
      <c r="H127" s="925"/>
      <c r="I127" s="965">
        <v>79500</v>
      </c>
      <c r="J127" s="965"/>
      <c r="K127" s="965"/>
      <c r="L127" s="965"/>
      <c r="M127" s="965"/>
      <c r="N127" s="965"/>
      <c r="O127" s="966"/>
      <c r="P127" s="964"/>
      <c r="Q127" s="963"/>
      <c r="R127" s="554"/>
      <c r="S127" s="554"/>
      <c r="T127" s="554"/>
      <c r="U127" s="554"/>
      <c r="V127" s="554"/>
      <c r="W127" s="554"/>
      <c r="X127" s="554"/>
    </row>
    <row r="128" spans="1:24" s="749" customFormat="1" ht="24.95" customHeight="1" x14ac:dyDescent="0.35">
      <c r="A128" s="968">
        <v>45946</v>
      </c>
      <c r="B128" s="925" t="s">
        <v>270</v>
      </c>
      <c r="C128" s="925"/>
      <c r="D128" s="964" t="s">
        <v>90</v>
      </c>
      <c r="E128" s="964"/>
      <c r="F128" s="964"/>
      <c r="G128" s="964" t="s">
        <v>638</v>
      </c>
      <c r="H128" s="925"/>
      <c r="I128" s="965">
        <v>100000</v>
      </c>
      <c r="J128" s="965"/>
      <c r="K128" s="965"/>
      <c r="L128" s="965"/>
      <c r="M128" s="965"/>
      <c r="N128" s="965"/>
      <c r="O128" s="966"/>
      <c r="P128" s="964"/>
      <c r="Q128" s="963"/>
      <c r="R128" s="554"/>
      <c r="S128" s="554"/>
      <c r="T128" s="554"/>
      <c r="U128" s="554"/>
      <c r="V128" s="554"/>
      <c r="W128" s="554"/>
      <c r="X128" s="554"/>
    </row>
    <row r="129" spans="1:24" s="749" customFormat="1" ht="24.95" customHeight="1" x14ac:dyDescent="0.35">
      <c r="A129" s="968">
        <v>45946</v>
      </c>
      <c r="B129" s="925" t="s">
        <v>270</v>
      </c>
      <c r="C129" s="925"/>
      <c r="D129" s="964" t="s">
        <v>90</v>
      </c>
      <c r="E129" s="964"/>
      <c r="F129" s="964"/>
      <c r="G129" s="964" t="s">
        <v>639</v>
      </c>
      <c r="H129" s="925"/>
      <c r="I129" s="965">
        <v>89000</v>
      </c>
      <c r="J129" s="965"/>
      <c r="K129" s="965"/>
      <c r="L129" s="965"/>
      <c r="M129" s="965"/>
      <c r="N129" s="965"/>
      <c r="O129" s="966"/>
      <c r="P129" s="964"/>
      <c r="Q129" s="963"/>
      <c r="R129" s="554"/>
      <c r="S129" s="554"/>
      <c r="T129" s="554"/>
      <c r="U129" s="554"/>
      <c r="V129" s="554"/>
      <c r="W129" s="554"/>
      <c r="X129" s="554"/>
    </row>
    <row r="130" spans="1:24" s="749" customFormat="1" ht="24.95" customHeight="1" x14ac:dyDescent="0.35">
      <c r="A130" s="968">
        <v>45946</v>
      </c>
      <c r="B130" s="925" t="s">
        <v>270</v>
      </c>
      <c r="C130" s="925"/>
      <c r="D130" s="964" t="s">
        <v>90</v>
      </c>
      <c r="E130" s="964"/>
      <c r="F130" s="964"/>
      <c r="G130" s="964" t="s">
        <v>640</v>
      </c>
      <c r="H130" s="925"/>
      <c r="I130" s="965">
        <v>105000</v>
      </c>
      <c r="J130" s="965"/>
      <c r="K130" s="965"/>
      <c r="L130" s="965"/>
      <c r="M130" s="965"/>
      <c r="N130" s="965"/>
      <c r="O130" s="966"/>
      <c r="P130" s="964"/>
      <c r="Q130" s="963"/>
      <c r="R130" s="554"/>
      <c r="S130" s="554"/>
      <c r="T130" s="554"/>
      <c r="U130" s="554"/>
      <c r="V130" s="554"/>
      <c r="W130" s="554"/>
      <c r="X130" s="554"/>
    </row>
    <row r="131" spans="1:24" s="749" customFormat="1" ht="24.95" customHeight="1" x14ac:dyDescent="0.35">
      <c r="A131" s="968">
        <v>45946</v>
      </c>
      <c r="B131" s="925" t="s">
        <v>159</v>
      </c>
      <c r="C131" s="925"/>
      <c r="D131" s="964" t="s">
        <v>90</v>
      </c>
      <c r="E131" s="964"/>
      <c r="F131" s="964"/>
      <c r="G131" s="964" t="s">
        <v>641</v>
      </c>
      <c r="H131" s="925"/>
      <c r="I131" s="965" t="s">
        <v>419</v>
      </c>
      <c r="J131" s="965"/>
      <c r="K131" s="965"/>
      <c r="L131" s="965"/>
      <c r="M131" s="965"/>
      <c r="N131" s="965"/>
      <c r="O131" s="966"/>
      <c r="P131" s="964"/>
      <c r="Q131" s="963"/>
      <c r="R131" s="554"/>
      <c r="S131" s="554"/>
      <c r="T131" s="554"/>
      <c r="U131" s="554"/>
      <c r="V131" s="554"/>
      <c r="W131" s="554"/>
      <c r="X131" s="554"/>
    </row>
    <row r="132" spans="1:24" s="749" customFormat="1" ht="24.95" customHeight="1" x14ac:dyDescent="0.35">
      <c r="A132" s="968">
        <v>45953</v>
      </c>
      <c r="B132" s="925" t="s">
        <v>642</v>
      </c>
      <c r="C132" s="925"/>
      <c r="D132" s="964" t="s">
        <v>90</v>
      </c>
      <c r="E132" s="964"/>
      <c r="F132" s="964"/>
      <c r="G132" s="964" t="s">
        <v>643</v>
      </c>
      <c r="H132" s="925"/>
      <c r="I132" s="965">
        <v>179500</v>
      </c>
      <c r="J132" s="965"/>
      <c r="K132" s="965"/>
      <c r="L132" s="965"/>
      <c r="M132" s="965"/>
      <c r="N132" s="965"/>
      <c r="O132" s="966"/>
      <c r="P132" s="964"/>
      <c r="Q132" s="963"/>
      <c r="R132" s="554"/>
      <c r="S132" s="554"/>
      <c r="T132" s="554"/>
      <c r="U132" s="554"/>
      <c r="V132" s="554"/>
      <c r="W132" s="554"/>
      <c r="X132" s="554"/>
    </row>
    <row r="133" spans="1:24" s="749" customFormat="1" ht="24.95" customHeight="1" x14ac:dyDescent="0.35">
      <c r="A133" s="968" t="s">
        <v>644</v>
      </c>
      <c r="B133" s="925" t="s">
        <v>301</v>
      </c>
      <c r="C133" s="925"/>
      <c r="D133" s="964" t="s">
        <v>90</v>
      </c>
      <c r="E133" s="964"/>
      <c r="F133" s="964"/>
      <c r="G133" s="964" t="s">
        <v>645</v>
      </c>
      <c r="H133" s="925"/>
      <c r="I133" s="965" t="s">
        <v>419</v>
      </c>
      <c r="J133" s="965"/>
      <c r="K133" s="965"/>
      <c r="L133" s="965"/>
      <c r="M133" s="965"/>
      <c r="N133" s="965"/>
      <c r="O133" s="966"/>
      <c r="P133" s="964"/>
      <c r="Q133" s="963"/>
      <c r="R133" s="554"/>
      <c r="S133" s="554"/>
      <c r="T133" s="554"/>
      <c r="U133" s="554"/>
      <c r="V133" s="554"/>
      <c r="W133" s="554"/>
      <c r="X133" s="554"/>
    </row>
    <row r="134" spans="1:24" s="889" customFormat="1" ht="24.95" customHeight="1" x14ac:dyDescent="0.35">
      <c r="A134" s="939"/>
      <c r="B134" s="699" t="s">
        <v>7</v>
      </c>
      <c r="C134" s="700"/>
      <c r="D134" s="612" t="s">
        <v>140</v>
      </c>
      <c r="E134" s="700"/>
      <c r="F134" s="700"/>
      <c r="G134" s="614"/>
      <c r="H134" s="701"/>
      <c r="I134" s="891">
        <f>SUM(I117:I132)</f>
        <v>1412321</v>
      </c>
      <c r="J134" s="703">
        <f>SUM(J84:J120)</f>
        <v>6183586.3799999999</v>
      </c>
      <c r="K134" s="703">
        <f>SUM(K90:K120)</f>
        <v>1103730</v>
      </c>
      <c r="L134" s="704">
        <f>SUM(L85:L125)</f>
        <v>1486100</v>
      </c>
      <c r="M134" s="703">
        <f>SUM(M79:M120)</f>
        <v>1347329.35</v>
      </c>
      <c r="N134" s="703">
        <f>SUM(N62:N120)</f>
        <v>2305795</v>
      </c>
      <c r="O134" s="703">
        <f>SUM(O7:O120)</f>
        <v>8075047.1799999997</v>
      </c>
      <c r="P134" s="705"/>
      <c r="Q134" s="706">
        <f>SUM(I134:P134)</f>
        <v>21913908.909999996</v>
      </c>
      <c r="R134" s="707"/>
    </row>
    <row r="135" spans="1:24" ht="24.95" customHeight="1" x14ac:dyDescent="0.35">
      <c r="A135" s="940" t="s">
        <v>64</v>
      </c>
      <c r="F135" s="658" t="s">
        <v>64</v>
      </c>
      <c r="H135" s="660"/>
    </row>
    <row r="136" spans="1:24" ht="24.95" customHeight="1" x14ac:dyDescent="0.35">
      <c r="H136" s="660"/>
    </row>
    <row r="137" spans="1:24" ht="24.95" customHeight="1" x14ac:dyDescent="0.35">
      <c r="E137" s="524" t="s">
        <v>486</v>
      </c>
      <c r="O137" s="662"/>
    </row>
    <row r="138" spans="1:24" ht="24.95" customHeight="1" x14ac:dyDescent="0.35">
      <c r="F138" s="658" t="s">
        <v>64</v>
      </c>
      <c r="O138" s="662"/>
    </row>
    <row r="139" spans="1:24" ht="23.25" customHeight="1" x14ac:dyDescent="0.35">
      <c r="D139" s="524"/>
      <c r="G139" s="524"/>
      <c r="H139" s="524"/>
      <c r="I139" s="524"/>
      <c r="J139" s="524" t="s">
        <v>64</v>
      </c>
      <c r="K139" s="524"/>
      <c r="O139" s="662"/>
      <c r="P139" s="524"/>
    </row>
    <row r="140" spans="1:24" ht="24.95" customHeight="1" x14ac:dyDescent="0.35">
      <c r="O140" s="662"/>
      <c r="Q140" s="662"/>
    </row>
    <row r="141" spans="1:24" ht="24.95" customHeight="1" x14ac:dyDescent="0.35">
      <c r="O141" s="662"/>
    </row>
    <row r="142" spans="1:24" ht="24.95" customHeight="1" x14ac:dyDescent="0.35">
      <c r="O142" s="662"/>
    </row>
    <row r="143" spans="1:24" ht="24.95" customHeight="1" x14ac:dyDescent="0.35">
      <c r="O143" s="662"/>
    </row>
    <row r="144" spans="1:24" ht="24.95" customHeight="1" x14ac:dyDescent="0.35">
      <c r="O144" s="662"/>
    </row>
    <row r="145" spans="15:15" ht="24.95" customHeight="1" x14ac:dyDescent="0.35">
      <c r="O145" s="662"/>
    </row>
    <row r="146" spans="15:15" ht="24.95" customHeight="1" x14ac:dyDescent="0.35">
      <c r="O146" s="662"/>
    </row>
    <row r="147" spans="15:15" ht="24.95" customHeight="1" x14ac:dyDescent="0.35">
      <c r="O147" s="662"/>
    </row>
    <row r="148" spans="15:15" ht="24.95" customHeight="1" x14ac:dyDescent="0.35">
      <c r="O148" s="665"/>
    </row>
    <row r="149" spans="15:15" ht="24.95" customHeight="1" x14ac:dyDescent="0.35">
      <c r="O149" s="666"/>
    </row>
    <row r="150" spans="15:15" ht="24.95" customHeight="1" x14ac:dyDescent="0.35">
      <c r="O150" s="667"/>
    </row>
    <row r="151" spans="15:15" ht="24.95" customHeight="1" x14ac:dyDescent="0.35">
      <c r="O151" s="666"/>
    </row>
    <row r="152" spans="15:15" ht="24.95" customHeight="1" x14ac:dyDescent="0.35">
      <c r="O152" s="667"/>
    </row>
  </sheetData>
  <pageMargins left="0.70866141732283472" right="0.70866141732283472" top="0.74803149606299213" bottom="0.74803149606299213" header="0.31496062992125984" footer="0.31496062992125984"/>
  <pageSetup paperSize="9" scale="35"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8"/>
  <sheetViews>
    <sheetView workbookViewId="0">
      <pane ySplit="6" topLeftCell="A97" activePane="bottomLeft" state="frozen"/>
      <selection pane="bottomLeft" activeCell="J104" sqref="J104"/>
    </sheetView>
  </sheetViews>
  <sheetFormatPr defaultColWidth="23.85546875" defaultRowHeight="23.25" x14ac:dyDescent="0.35"/>
  <cols>
    <col min="1" max="1" width="23.85546875" style="940"/>
    <col min="2" max="2" width="56.28515625" style="657" customWidth="1"/>
    <col min="3" max="3" width="15.8554687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632</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2</v>
      </c>
      <c r="D6" s="547" t="s">
        <v>89</v>
      </c>
      <c r="E6" s="547" t="s">
        <v>104</v>
      </c>
      <c r="F6" s="546" t="s">
        <v>646</v>
      </c>
      <c r="G6" s="546" t="s">
        <v>3</v>
      </c>
      <c r="H6" s="546" t="s">
        <v>4</v>
      </c>
      <c r="I6" s="550" t="s">
        <v>11</v>
      </c>
      <c r="J6"/>
      <c r="K6"/>
      <c r="L6"/>
      <c r="M6"/>
      <c r="N6"/>
      <c r="O6"/>
      <c r="P6"/>
      <c r="Q6"/>
      <c r="R6"/>
      <c r="S6"/>
      <c r="T6"/>
      <c r="U6"/>
      <c r="V6"/>
      <c r="W6"/>
      <c r="X6"/>
      <c r="Y6"/>
      <c r="Z6"/>
      <c r="AA6"/>
      <c r="AB6"/>
    </row>
    <row r="7" spans="1:28" s="565" customFormat="1" ht="24.95" customHeight="1" x14ac:dyDescent="0.35">
      <c r="A7" s="937"/>
      <c r="B7" s="547"/>
      <c r="C7" s="546"/>
      <c r="D7" s="547"/>
      <c r="E7" s="547"/>
      <c r="F7" s="546"/>
      <c r="G7" s="546"/>
      <c r="H7" s="548"/>
      <c r="I7" s="550"/>
      <c r="J7"/>
      <c r="K7"/>
      <c r="L7"/>
      <c r="M7"/>
      <c r="N7"/>
      <c r="O7"/>
      <c r="P7"/>
      <c r="Q7"/>
      <c r="R7"/>
      <c r="S7"/>
      <c r="T7"/>
      <c r="U7"/>
      <c r="V7"/>
      <c r="W7"/>
      <c r="X7"/>
      <c r="Y7"/>
      <c r="Z7"/>
      <c r="AA7"/>
      <c r="AB7"/>
    </row>
    <row r="8" spans="1:28" s="760" customFormat="1" ht="24.95" customHeight="1" x14ac:dyDescent="0.35">
      <c r="A8" s="967">
        <v>43878</v>
      </c>
      <c r="B8" s="930" t="s">
        <v>63</v>
      </c>
      <c r="C8" s="925"/>
      <c r="D8" s="925" t="s">
        <v>90</v>
      </c>
      <c r="E8" s="925"/>
      <c r="F8" s="925"/>
      <c r="G8" s="925"/>
      <c r="H8" s="925" t="s">
        <v>102</v>
      </c>
      <c r="I8" s="965">
        <v>33421.01</v>
      </c>
      <c r="J8"/>
      <c r="K8"/>
      <c r="L8"/>
      <c r="M8"/>
      <c r="N8"/>
      <c r="O8"/>
      <c r="P8"/>
      <c r="Q8"/>
      <c r="R8"/>
      <c r="S8"/>
      <c r="T8"/>
      <c r="U8"/>
      <c r="V8"/>
      <c r="W8"/>
      <c r="X8"/>
      <c r="Y8"/>
      <c r="Z8"/>
      <c r="AA8"/>
      <c r="AB8"/>
    </row>
    <row r="9" spans="1:28" s="771" customFormat="1" ht="24.95" customHeight="1" x14ac:dyDescent="0.35">
      <c r="A9" s="968">
        <v>44092</v>
      </c>
      <c r="B9" s="930" t="s">
        <v>647</v>
      </c>
      <c r="C9" s="925"/>
      <c r="D9" s="925" t="s">
        <v>92</v>
      </c>
      <c r="E9" s="925"/>
      <c r="F9" s="925"/>
      <c r="G9" s="964"/>
      <c r="H9" s="964" t="s">
        <v>648</v>
      </c>
      <c r="I9" s="966">
        <v>108000</v>
      </c>
      <c r="J9"/>
      <c r="K9"/>
      <c r="L9"/>
      <c r="M9"/>
      <c r="N9"/>
      <c r="O9"/>
      <c r="P9"/>
      <c r="Q9"/>
      <c r="R9"/>
      <c r="S9"/>
      <c r="T9"/>
      <c r="U9"/>
      <c r="V9"/>
      <c r="W9"/>
      <c r="X9"/>
      <c r="Y9"/>
      <c r="Z9"/>
      <c r="AA9"/>
      <c r="AB9"/>
    </row>
    <row r="10" spans="1:28" s="782" customFormat="1" ht="24.95" customHeight="1" x14ac:dyDescent="0.35">
      <c r="A10" s="968">
        <v>44352</v>
      </c>
      <c r="B10" s="930" t="s">
        <v>107</v>
      </c>
      <c r="C10" s="925"/>
      <c r="D10" s="925" t="s">
        <v>90</v>
      </c>
      <c r="E10" s="925"/>
      <c r="F10" s="964"/>
      <c r="G10" s="964">
        <v>1918</v>
      </c>
      <c r="H10" s="964">
        <v>4457</v>
      </c>
      <c r="I10" s="966">
        <v>36289.599999999999</v>
      </c>
      <c r="J10"/>
      <c r="K10"/>
      <c r="L10"/>
      <c r="M10"/>
      <c r="N10"/>
      <c r="O10"/>
      <c r="P10"/>
      <c r="Q10"/>
      <c r="R10"/>
      <c r="S10"/>
      <c r="T10"/>
      <c r="U10"/>
      <c r="V10"/>
      <c r="W10"/>
      <c r="X10"/>
      <c r="Y10"/>
      <c r="Z10"/>
      <c r="AA10"/>
      <c r="AB10"/>
    </row>
    <row r="11" spans="1:28" s="782" customFormat="1" ht="24.95" customHeight="1" x14ac:dyDescent="0.35">
      <c r="A11" s="968">
        <v>44413</v>
      </c>
      <c r="B11" s="930" t="s">
        <v>107</v>
      </c>
      <c r="C11" s="925"/>
      <c r="D11" s="925" t="s">
        <v>90</v>
      </c>
      <c r="E11" s="925"/>
      <c r="F11" s="964"/>
      <c r="G11" s="964"/>
      <c r="H11" s="964">
        <v>4457</v>
      </c>
      <c r="I11" s="966">
        <v>176976.8</v>
      </c>
      <c r="J11"/>
      <c r="K11"/>
      <c r="L11"/>
      <c r="M11"/>
      <c r="N11"/>
      <c r="O11"/>
      <c r="P11"/>
      <c r="Q11"/>
      <c r="R11"/>
      <c r="S11"/>
      <c r="T11"/>
      <c r="U11"/>
      <c r="V11"/>
      <c r="W11"/>
      <c r="X11"/>
      <c r="Y11"/>
      <c r="Z11"/>
      <c r="AA11"/>
      <c r="AB11"/>
    </row>
    <row r="12" spans="1:28" s="782" customFormat="1" ht="24.95" customHeight="1" x14ac:dyDescent="0.35">
      <c r="A12" s="968">
        <v>44420</v>
      </c>
      <c r="B12" s="930" t="s">
        <v>108</v>
      </c>
      <c r="C12" s="925"/>
      <c r="D12" s="925" t="s">
        <v>90</v>
      </c>
      <c r="E12" s="925"/>
      <c r="F12" s="964"/>
      <c r="G12" s="964"/>
      <c r="H12" s="964" t="s">
        <v>120</v>
      </c>
      <c r="I12" s="965">
        <v>470000</v>
      </c>
      <c r="J12"/>
      <c r="K12"/>
      <c r="L12"/>
      <c r="M12"/>
      <c r="N12"/>
      <c r="O12"/>
      <c r="P12"/>
      <c r="Q12"/>
      <c r="R12"/>
      <c r="S12"/>
      <c r="T12"/>
      <c r="U12"/>
      <c r="V12"/>
      <c r="W12"/>
      <c r="X12"/>
      <c r="Y12"/>
      <c r="Z12"/>
      <c r="AA12"/>
      <c r="AB12"/>
    </row>
    <row r="13" spans="1:28" s="775" customFormat="1" ht="24.95" customHeight="1" x14ac:dyDescent="0.35">
      <c r="A13" s="968">
        <v>44480</v>
      </c>
      <c r="B13" s="930" t="s">
        <v>43</v>
      </c>
      <c r="C13" s="925"/>
      <c r="D13" s="964" t="s">
        <v>90</v>
      </c>
      <c r="E13" s="964"/>
      <c r="F13" s="964"/>
      <c r="G13" s="925">
        <v>2019</v>
      </c>
      <c r="H13" s="964" t="s">
        <v>132</v>
      </c>
      <c r="I13" s="965">
        <v>147281.20000000001</v>
      </c>
      <c r="J13"/>
      <c r="K13"/>
      <c r="L13"/>
      <c r="M13"/>
      <c r="N13"/>
      <c r="O13"/>
      <c r="P13"/>
      <c r="Q13"/>
      <c r="R13"/>
      <c r="S13"/>
      <c r="T13"/>
      <c r="U13"/>
      <c r="V13"/>
      <c r="W13"/>
      <c r="X13"/>
      <c r="Y13"/>
      <c r="Z13"/>
      <c r="AA13"/>
      <c r="AB13"/>
    </row>
    <row r="14" spans="1:28" s="775" customFormat="1" ht="24.95" customHeight="1" x14ac:dyDescent="0.35">
      <c r="A14" s="968">
        <v>44824</v>
      </c>
      <c r="B14" s="930" t="s">
        <v>43</v>
      </c>
      <c r="C14" s="925"/>
      <c r="D14" s="964" t="s">
        <v>90</v>
      </c>
      <c r="E14" s="964"/>
      <c r="F14" s="964"/>
      <c r="G14" s="925">
        <v>2162</v>
      </c>
      <c r="H14" s="964">
        <v>5218</v>
      </c>
      <c r="I14" s="965">
        <v>54650</v>
      </c>
      <c r="J14"/>
      <c r="K14"/>
      <c r="L14"/>
      <c r="M14"/>
      <c r="N14"/>
      <c r="O14"/>
      <c r="P14"/>
      <c r="Q14"/>
      <c r="R14"/>
      <c r="S14"/>
      <c r="T14"/>
      <c r="U14"/>
      <c r="V14"/>
      <c r="W14"/>
      <c r="X14"/>
      <c r="Y14"/>
      <c r="Z14"/>
      <c r="AA14"/>
      <c r="AB14"/>
    </row>
    <row r="15" spans="1:28" s="775" customFormat="1" ht="24.95" customHeight="1" x14ac:dyDescent="0.35">
      <c r="A15" s="968">
        <v>44839</v>
      </c>
      <c r="B15" s="930" t="s">
        <v>43</v>
      </c>
      <c r="C15" s="925"/>
      <c r="D15" s="964" t="s">
        <v>90</v>
      </c>
      <c r="E15" s="964"/>
      <c r="F15" s="964"/>
      <c r="G15" s="925">
        <v>2140</v>
      </c>
      <c r="H15" s="964">
        <v>5248</v>
      </c>
      <c r="I15" s="965">
        <v>25000</v>
      </c>
      <c r="J15"/>
      <c r="K15"/>
      <c r="L15"/>
      <c r="M15"/>
      <c r="N15"/>
      <c r="O15"/>
      <c r="P15"/>
      <c r="Q15"/>
      <c r="R15"/>
      <c r="S15"/>
      <c r="T15"/>
      <c r="U15"/>
      <c r="V15"/>
      <c r="W15"/>
      <c r="X15"/>
      <c r="Y15"/>
      <c r="Z15"/>
      <c r="AA15"/>
      <c r="AB15"/>
    </row>
    <row r="16" spans="1:28" s="775" customFormat="1" ht="24.95" customHeight="1" x14ac:dyDescent="0.35">
      <c r="A16" s="968">
        <v>45458</v>
      </c>
      <c r="B16" s="930" t="s">
        <v>43</v>
      </c>
      <c r="C16" s="925"/>
      <c r="D16" s="964" t="s">
        <v>90</v>
      </c>
      <c r="E16" s="964"/>
      <c r="F16" s="964"/>
      <c r="G16" s="925">
        <v>2355</v>
      </c>
      <c r="H16" s="964" t="s">
        <v>290</v>
      </c>
      <c r="I16" s="965">
        <v>11059.82</v>
      </c>
      <c r="J16"/>
      <c r="K16"/>
      <c r="L16"/>
      <c r="M16"/>
      <c r="N16"/>
      <c r="O16"/>
      <c r="P16"/>
      <c r="Q16"/>
      <c r="R16"/>
      <c r="S16"/>
      <c r="T16"/>
      <c r="U16"/>
      <c r="V16"/>
      <c r="W16"/>
      <c r="X16"/>
      <c r="Y16"/>
      <c r="Z16"/>
      <c r="AA16"/>
      <c r="AB16"/>
    </row>
    <row r="17" spans="1:28" s="775" customFormat="1" ht="24.95" customHeight="1" x14ac:dyDescent="0.35">
      <c r="A17" s="968" t="s">
        <v>421</v>
      </c>
      <c r="B17" s="930" t="s">
        <v>43</v>
      </c>
      <c r="C17" s="925"/>
      <c r="D17" s="964" t="s">
        <v>90</v>
      </c>
      <c r="E17" s="964"/>
      <c r="F17" s="964"/>
      <c r="G17" s="925"/>
      <c r="H17" s="964">
        <v>5987</v>
      </c>
      <c r="I17" s="965" t="s">
        <v>419</v>
      </c>
      <c r="J17"/>
      <c r="K17"/>
      <c r="L17"/>
      <c r="M17"/>
      <c r="N17"/>
      <c r="O17"/>
      <c r="P17"/>
      <c r="Q17"/>
      <c r="R17"/>
      <c r="S17"/>
      <c r="T17"/>
      <c r="U17"/>
      <c r="V17"/>
      <c r="W17"/>
      <c r="X17"/>
      <c r="Y17"/>
      <c r="Z17"/>
      <c r="AA17"/>
      <c r="AB17"/>
    </row>
    <row r="18" spans="1:28" s="775" customFormat="1" ht="24.95" customHeight="1" x14ac:dyDescent="0.35">
      <c r="A18" s="968">
        <v>45875</v>
      </c>
      <c r="B18" s="930" t="s">
        <v>43</v>
      </c>
      <c r="C18" s="925"/>
      <c r="D18" s="964" t="s">
        <v>90</v>
      </c>
      <c r="E18" s="964"/>
      <c r="F18" s="964"/>
      <c r="G18" s="925"/>
      <c r="H18" s="964" t="s">
        <v>586</v>
      </c>
      <c r="I18" s="965" t="s">
        <v>419</v>
      </c>
      <c r="J18"/>
      <c r="K18"/>
      <c r="L18"/>
      <c r="M18"/>
      <c r="N18"/>
      <c r="O18"/>
      <c r="P18"/>
      <c r="Q18"/>
      <c r="R18"/>
      <c r="S18"/>
      <c r="T18"/>
      <c r="U18"/>
      <c r="V18"/>
      <c r="W18"/>
      <c r="X18"/>
      <c r="Y18"/>
      <c r="Z18"/>
      <c r="AA18"/>
      <c r="AB18"/>
    </row>
    <row r="19" spans="1:28" s="775" customFormat="1" ht="24.95" customHeight="1" x14ac:dyDescent="0.35">
      <c r="A19" s="968" t="s">
        <v>421</v>
      </c>
      <c r="B19" s="930" t="s">
        <v>43</v>
      </c>
      <c r="C19" s="925"/>
      <c r="D19" s="964" t="s">
        <v>90</v>
      </c>
      <c r="E19" s="964"/>
      <c r="F19" s="964"/>
      <c r="G19" s="925"/>
      <c r="H19" s="964" t="s">
        <v>600</v>
      </c>
      <c r="I19" s="965">
        <v>250952.38</v>
      </c>
      <c r="J19"/>
      <c r="K19"/>
      <c r="L19"/>
      <c r="M19"/>
      <c r="N19"/>
      <c r="O19"/>
      <c r="P19"/>
      <c r="Q19"/>
      <c r="R19"/>
      <c r="S19"/>
      <c r="T19"/>
      <c r="U19"/>
      <c r="V19"/>
      <c r="W19"/>
      <c r="X19"/>
      <c r="Y19"/>
      <c r="Z19"/>
      <c r="AA19"/>
      <c r="AB19"/>
    </row>
    <row r="20" spans="1:28" s="782" customFormat="1" ht="24.95" customHeight="1" x14ac:dyDescent="0.35">
      <c r="A20" s="968">
        <v>44589</v>
      </c>
      <c r="B20" s="930" t="s">
        <v>125</v>
      </c>
      <c r="C20" s="925"/>
      <c r="D20" s="925" t="s">
        <v>90</v>
      </c>
      <c r="E20" s="925"/>
      <c r="F20" s="964"/>
      <c r="G20" s="964"/>
      <c r="H20" s="964">
        <v>4880</v>
      </c>
      <c r="I20" s="965">
        <v>37000</v>
      </c>
      <c r="J20"/>
      <c r="K20"/>
      <c r="L20"/>
      <c r="M20"/>
      <c r="N20"/>
      <c r="O20"/>
      <c r="P20"/>
      <c r="Q20"/>
      <c r="R20"/>
      <c r="S20"/>
      <c r="T20"/>
      <c r="U20"/>
      <c r="V20"/>
      <c r="W20"/>
      <c r="X20"/>
      <c r="Y20"/>
      <c r="Z20"/>
      <c r="AA20"/>
      <c r="AB20"/>
    </row>
    <row r="21" spans="1:28" s="782" customFormat="1" ht="24.95" customHeight="1" x14ac:dyDescent="0.35">
      <c r="A21" s="968">
        <v>44607</v>
      </c>
      <c r="B21" s="930" t="s">
        <v>649</v>
      </c>
      <c r="C21" s="925"/>
      <c r="D21" s="925" t="s">
        <v>90</v>
      </c>
      <c r="E21" s="925">
        <v>736</v>
      </c>
      <c r="F21" s="964"/>
      <c r="G21" s="964"/>
      <c r="H21" s="964" t="s">
        <v>131</v>
      </c>
      <c r="I21" s="965">
        <v>16076.04</v>
      </c>
      <c r="J21"/>
      <c r="K21"/>
      <c r="L21"/>
      <c r="M21"/>
      <c r="N21"/>
      <c r="O21"/>
      <c r="P21"/>
      <c r="Q21"/>
      <c r="R21"/>
      <c r="S21"/>
      <c r="T21"/>
      <c r="U21"/>
      <c r="V21"/>
      <c r="W21"/>
      <c r="X21"/>
      <c r="Y21"/>
      <c r="Z21"/>
      <c r="AA21"/>
      <c r="AB21"/>
    </row>
    <row r="22" spans="1:28" s="749" customFormat="1" ht="24.95" customHeight="1" x14ac:dyDescent="0.35">
      <c r="A22" s="968">
        <v>44609</v>
      </c>
      <c r="B22" s="930" t="s">
        <v>649</v>
      </c>
      <c r="C22" s="925"/>
      <c r="D22" s="964" t="s">
        <v>90</v>
      </c>
      <c r="E22" s="964">
        <v>734</v>
      </c>
      <c r="F22" s="964"/>
      <c r="G22" s="964"/>
      <c r="H22" s="964" t="s">
        <v>118</v>
      </c>
      <c r="I22" s="965">
        <v>7186.99</v>
      </c>
      <c r="J22"/>
      <c r="K22"/>
      <c r="L22"/>
      <c r="M22"/>
      <c r="N22"/>
      <c r="O22"/>
      <c r="P22"/>
      <c r="Q22"/>
      <c r="R22"/>
      <c r="S22"/>
      <c r="T22"/>
      <c r="U22"/>
      <c r="V22"/>
      <c r="W22"/>
      <c r="X22"/>
      <c r="Y22"/>
      <c r="Z22"/>
      <c r="AA22"/>
      <c r="AB22"/>
    </row>
    <row r="23" spans="1:28" s="749" customFormat="1" ht="24.95" customHeight="1" x14ac:dyDescent="0.35">
      <c r="A23" s="968">
        <v>44714</v>
      </c>
      <c r="B23" s="930" t="s">
        <v>649</v>
      </c>
      <c r="C23" s="925"/>
      <c r="D23" s="964" t="s">
        <v>90</v>
      </c>
      <c r="E23" s="964"/>
      <c r="F23" s="964"/>
      <c r="G23" s="964">
        <v>2062</v>
      </c>
      <c r="H23" s="964" t="s">
        <v>118</v>
      </c>
      <c r="I23" s="965">
        <v>77456</v>
      </c>
      <c r="J23"/>
      <c r="K23"/>
      <c r="L23"/>
      <c r="M23"/>
      <c r="N23"/>
      <c r="O23"/>
      <c r="P23"/>
      <c r="Q23"/>
      <c r="R23"/>
      <c r="S23"/>
      <c r="T23"/>
      <c r="U23"/>
      <c r="V23"/>
      <c r="W23"/>
      <c r="X23"/>
      <c r="Y23"/>
      <c r="Z23"/>
      <c r="AA23"/>
      <c r="AB23"/>
    </row>
    <row r="24" spans="1:28" s="749" customFormat="1" ht="24.95" customHeight="1" x14ac:dyDescent="0.35">
      <c r="A24" s="968">
        <v>44734</v>
      </c>
      <c r="B24" s="930" t="s">
        <v>649</v>
      </c>
      <c r="C24" s="925"/>
      <c r="D24" s="964" t="s">
        <v>90</v>
      </c>
      <c r="E24" s="964">
        <v>743</v>
      </c>
      <c r="F24" s="964"/>
      <c r="G24" s="964"/>
      <c r="H24" s="964" t="s">
        <v>118</v>
      </c>
      <c r="I24" s="965">
        <v>72499.08</v>
      </c>
      <c r="J24"/>
      <c r="K24"/>
      <c r="L24"/>
      <c r="M24"/>
      <c r="N24"/>
      <c r="O24"/>
      <c r="P24"/>
      <c r="Q24"/>
      <c r="R24"/>
      <c r="S24"/>
      <c r="T24"/>
      <c r="U24"/>
      <c r="V24"/>
      <c r="W24"/>
      <c r="X24"/>
      <c r="Y24"/>
      <c r="Z24"/>
      <c r="AA24"/>
      <c r="AB24"/>
    </row>
    <row r="25" spans="1:28" s="749" customFormat="1" ht="24.95" customHeight="1" x14ac:dyDescent="0.35">
      <c r="A25" s="968">
        <v>44741</v>
      </c>
      <c r="B25" s="930" t="s">
        <v>649</v>
      </c>
      <c r="C25" s="925"/>
      <c r="D25" s="964" t="s">
        <v>90</v>
      </c>
      <c r="E25" s="964">
        <v>757</v>
      </c>
      <c r="F25" s="964"/>
      <c r="G25" s="964"/>
      <c r="H25" s="964">
        <v>5908</v>
      </c>
      <c r="I25" s="965">
        <v>510</v>
      </c>
      <c r="J25"/>
      <c r="K25"/>
      <c r="L25"/>
      <c r="M25"/>
      <c r="N25"/>
      <c r="O25"/>
      <c r="P25"/>
      <c r="Q25"/>
      <c r="R25"/>
      <c r="S25"/>
      <c r="T25"/>
      <c r="U25"/>
      <c r="V25"/>
      <c r="W25"/>
      <c r="X25"/>
      <c r="Y25"/>
      <c r="Z25"/>
      <c r="AA25"/>
      <c r="AB25"/>
    </row>
    <row r="26" spans="1:28" s="749" customFormat="1" ht="24.95" customHeight="1" x14ac:dyDescent="0.35">
      <c r="A26" s="968">
        <v>44855</v>
      </c>
      <c r="B26" s="930" t="s">
        <v>649</v>
      </c>
      <c r="C26" s="925"/>
      <c r="D26" s="964" t="s">
        <v>90</v>
      </c>
      <c r="E26" s="964">
        <v>755</v>
      </c>
      <c r="F26" s="964"/>
      <c r="G26" s="964"/>
      <c r="H26" s="964">
        <v>5739</v>
      </c>
      <c r="I26" s="965">
        <v>6650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758</v>
      </c>
      <c r="F27" s="964"/>
      <c r="G27" s="964"/>
      <c r="H27" s="964" t="s">
        <v>118</v>
      </c>
      <c r="I27" s="965">
        <v>3000</v>
      </c>
      <c r="J27"/>
      <c r="K27"/>
      <c r="L27"/>
      <c r="M27"/>
      <c r="N27"/>
      <c r="O27"/>
      <c r="P27"/>
      <c r="Q27"/>
      <c r="R27"/>
      <c r="S27"/>
      <c r="T27"/>
      <c r="U27"/>
      <c r="V27"/>
      <c r="W27"/>
      <c r="X27"/>
      <c r="Y27"/>
      <c r="Z27"/>
      <c r="AA27"/>
      <c r="AB27"/>
    </row>
    <row r="28" spans="1:28" s="749" customFormat="1" ht="24.95" customHeight="1" x14ac:dyDescent="0.35">
      <c r="A28" s="968">
        <v>44916</v>
      </c>
      <c r="B28" s="930" t="s">
        <v>649</v>
      </c>
      <c r="C28" s="925"/>
      <c r="D28" s="964" t="s">
        <v>90</v>
      </c>
      <c r="E28" s="964"/>
      <c r="F28" s="964"/>
      <c r="G28" s="964">
        <v>2176</v>
      </c>
      <c r="H28" s="964" t="s">
        <v>118</v>
      </c>
      <c r="I28" s="965">
        <v>186146</v>
      </c>
      <c r="J28"/>
      <c r="K28"/>
      <c r="L28"/>
      <c r="M28"/>
      <c r="N28"/>
      <c r="O28"/>
      <c r="P28"/>
      <c r="Q28"/>
      <c r="R28"/>
      <c r="S28"/>
      <c r="T28"/>
      <c r="U28"/>
      <c r="V28"/>
      <c r="W28"/>
      <c r="X28"/>
      <c r="Y28"/>
      <c r="Z28"/>
      <c r="AA28"/>
      <c r="AB28"/>
    </row>
    <row r="29" spans="1:28" s="749" customFormat="1" ht="24.95" customHeight="1" x14ac:dyDescent="0.35">
      <c r="A29" s="968">
        <v>45343</v>
      </c>
      <c r="B29" s="930" t="s">
        <v>649</v>
      </c>
      <c r="C29" s="925"/>
      <c r="D29" s="964" t="s">
        <v>90</v>
      </c>
      <c r="E29" s="964">
        <v>826</v>
      </c>
      <c r="F29" s="964"/>
      <c r="G29" s="964"/>
      <c r="H29" s="964" t="s">
        <v>118</v>
      </c>
      <c r="I29" s="965">
        <v>22500</v>
      </c>
      <c r="J29"/>
      <c r="K29"/>
      <c r="L29"/>
      <c r="M29"/>
      <c r="N29"/>
      <c r="O29"/>
      <c r="P29"/>
      <c r="Q29"/>
      <c r="R29"/>
      <c r="S29"/>
      <c r="T29"/>
      <c r="U29"/>
      <c r="V29"/>
      <c r="W29"/>
      <c r="X29"/>
      <c r="Y29"/>
      <c r="Z29"/>
      <c r="AA29"/>
      <c r="AB29"/>
    </row>
    <row r="30" spans="1:28" s="782" customFormat="1" ht="27.75" customHeight="1" x14ac:dyDescent="0.35">
      <c r="A30" s="968">
        <v>44614</v>
      </c>
      <c r="B30" s="930" t="s">
        <v>650</v>
      </c>
      <c r="C30" s="925"/>
      <c r="D30" s="925" t="s">
        <v>92</v>
      </c>
      <c r="E30" s="925"/>
      <c r="F30" s="964"/>
      <c r="G30" s="964"/>
      <c r="H30" s="964" t="s">
        <v>376</v>
      </c>
      <c r="I30" s="965">
        <v>526625</v>
      </c>
      <c r="J30"/>
      <c r="K30"/>
      <c r="L30"/>
      <c r="M30"/>
      <c r="N30"/>
      <c r="O30"/>
      <c r="P30"/>
      <c r="Q30"/>
      <c r="R30"/>
      <c r="S30"/>
      <c r="T30"/>
      <c r="U30"/>
      <c r="V30"/>
      <c r="W30"/>
      <c r="X30"/>
      <c r="Y30"/>
      <c r="Z30"/>
      <c r="AA30"/>
      <c r="AB30"/>
    </row>
    <row r="31" spans="1:28" s="782" customFormat="1" ht="24.95" customHeight="1" x14ac:dyDescent="0.35">
      <c r="A31" s="968">
        <v>44631</v>
      </c>
      <c r="B31" s="930" t="s">
        <v>650</v>
      </c>
      <c r="C31" s="925"/>
      <c r="D31" s="925" t="s">
        <v>92</v>
      </c>
      <c r="E31" s="925"/>
      <c r="F31" s="964"/>
      <c r="G31" s="964"/>
      <c r="H31" s="964">
        <v>4943</v>
      </c>
      <c r="I31" s="965">
        <v>5975</v>
      </c>
      <c r="J31"/>
      <c r="K31"/>
      <c r="L31"/>
      <c r="M31"/>
      <c r="N31"/>
      <c r="O31"/>
      <c r="P31"/>
      <c r="Q31"/>
      <c r="R31"/>
      <c r="S31"/>
      <c r="T31"/>
      <c r="U31"/>
      <c r="V31"/>
      <c r="W31"/>
      <c r="X31"/>
      <c r="Y31"/>
      <c r="Z31"/>
      <c r="AA31"/>
      <c r="AB31"/>
    </row>
    <row r="32" spans="1:28" s="800" customFormat="1" ht="24.95" customHeight="1" x14ac:dyDescent="0.35">
      <c r="A32" s="968">
        <v>44638</v>
      </c>
      <c r="B32" s="930" t="s">
        <v>650</v>
      </c>
      <c r="C32" s="925"/>
      <c r="D32" s="925" t="s">
        <v>92</v>
      </c>
      <c r="E32" s="925"/>
      <c r="F32" s="964"/>
      <c r="G32" s="964"/>
      <c r="H32" s="964">
        <v>4953</v>
      </c>
      <c r="I32" s="965">
        <v>4950</v>
      </c>
      <c r="J32"/>
      <c r="K32"/>
      <c r="L32"/>
      <c r="M32"/>
      <c r="N32"/>
      <c r="O32"/>
      <c r="P32"/>
      <c r="Q32"/>
      <c r="R32"/>
      <c r="S32"/>
      <c r="T32"/>
      <c r="U32"/>
      <c r="V32"/>
      <c r="W32"/>
      <c r="X32"/>
      <c r="Y32"/>
      <c r="Z32"/>
      <c r="AA32"/>
      <c r="AB32"/>
    </row>
    <row r="33" spans="1:28" s="800" customFormat="1" ht="24.95" customHeight="1" x14ac:dyDescent="0.35">
      <c r="A33" s="968">
        <v>44711</v>
      </c>
      <c r="B33" s="930" t="s">
        <v>153</v>
      </c>
      <c r="C33" s="925"/>
      <c r="D33" s="925" t="s">
        <v>92</v>
      </c>
      <c r="E33" s="925"/>
      <c r="F33" s="964"/>
      <c r="G33" s="964"/>
      <c r="H33" s="964" t="s">
        <v>181</v>
      </c>
      <c r="I33" s="965">
        <v>164667</v>
      </c>
      <c r="J33"/>
      <c r="K33"/>
      <c r="L33"/>
      <c r="M33"/>
      <c r="N33"/>
      <c r="O33"/>
      <c r="P33"/>
      <c r="Q33"/>
      <c r="R33"/>
      <c r="S33"/>
      <c r="T33"/>
      <c r="U33"/>
      <c r="V33"/>
      <c r="W33"/>
      <c r="X33"/>
      <c r="Y33"/>
      <c r="Z33"/>
      <c r="AA33"/>
      <c r="AB33"/>
    </row>
    <row r="34" spans="1:28" s="800" customFormat="1" ht="24.95" customHeight="1" x14ac:dyDescent="0.35">
      <c r="A34" s="968">
        <v>44768</v>
      </c>
      <c r="B34" s="930" t="s">
        <v>651</v>
      </c>
      <c r="C34" s="925"/>
      <c r="D34" s="925" t="s">
        <v>90</v>
      </c>
      <c r="E34" s="925"/>
      <c r="F34" s="964"/>
      <c r="G34" s="964"/>
      <c r="H34" s="964" t="s">
        <v>151</v>
      </c>
      <c r="I34" s="965">
        <v>847950.4</v>
      </c>
      <c r="J34"/>
      <c r="K34"/>
      <c r="L34"/>
      <c r="M34"/>
      <c r="N34"/>
      <c r="O34"/>
      <c r="P34"/>
      <c r="Q34"/>
      <c r="R34"/>
      <c r="S34"/>
      <c r="T34"/>
      <c r="U34"/>
      <c r="V34"/>
      <c r="W34"/>
      <c r="X34"/>
      <c r="Y34"/>
      <c r="Z34"/>
      <c r="AA34"/>
      <c r="AB34"/>
    </row>
    <row r="35" spans="1:28" s="800" customFormat="1" ht="24.95" customHeight="1" x14ac:dyDescent="0.35">
      <c r="A35" s="968">
        <v>45946</v>
      </c>
      <c r="B35" s="930" t="s">
        <v>651</v>
      </c>
      <c r="C35" s="925"/>
      <c r="D35" s="925" t="s">
        <v>90</v>
      </c>
      <c r="E35" s="925"/>
      <c r="F35" s="964"/>
      <c r="G35" s="964"/>
      <c r="H35" s="964" t="s">
        <v>641</v>
      </c>
      <c r="I35" s="965" t="s">
        <v>419</v>
      </c>
      <c r="J35"/>
      <c r="K35"/>
      <c r="L35"/>
      <c r="M35"/>
      <c r="N35"/>
      <c r="O35"/>
      <c r="P35"/>
      <c r="Q35"/>
      <c r="R35"/>
      <c r="S35"/>
      <c r="T35"/>
      <c r="U35"/>
      <c r="V35"/>
      <c r="W35"/>
      <c r="X35"/>
      <c r="Y35"/>
      <c r="Z35"/>
      <c r="AA35"/>
      <c r="AB35"/>
    </row>
    <row r="36" spans="1:28" s="800" customFormat="1" ht="24.95" customHeight="1" x14ac:dyDescent="0.35">
      <c r="A36" s="968">
        <v>44786</v>
      </c>
      <c r="B36" s="930" t="s">
        <v>652</v>
      </c>
      <c r="C36" s="925"/>
      <c r="D36" s="925" t="s">
        <v>94</v>
      </c>
      <c r="E36" s="925"/>
      <c r="F36" s="964"/>
      <c r="G36" s="964">
        <v>2136</v>
      </c>
      <c r="H36" s="964" t="s">
        <v>170</v>
      </c>
      <c r="I36" s="965">
        <v>193400</v>
      </c>
      <c r="J36"/>
      <c r="K36"/>
      <c r="L36"/>
      <c r="M36"/>
      <c r="N36"/>
      <c r="O36"/>
      <c r="P36"/>
      <c r="Q36"/>
      <c r="R36"/>
      <c r="S36"/>
      <c r="T36"/>
      <c r="U36"/>
      <c r="V36"/>
      <c r="W36"/>
      <c r="X36"/>
      <c r="Y36"/>
      <c r="Z36"/>
      <c r="AA36"/>
      <c r="AB36"/>
    </row>
    <row r="37" spans="1:28" s="800" customFormat="1" ht="24.95" customHeight="1" x14ac:dyDescent="0.35">
      <c r="A37" s="968">
        <v>44954</v>
      </c>
      <c r="B37" s="930" t="s">
        <v>480</v>
      </c>
      <c r="C37" s="925"/>
      <c r="D37" s="925" t="s">
        <v>92</v>
      </c>
      <c r="E37" s="925">
        <v>832</v>
      </c>
      <c r="F37" s="964"/>
      <c r="G37" s="964"/>
      <c r="H37" s="964">
        <v>5373</v>
      </c>
      <c r="I37" s="965">
        <v>666000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833</v>
      </c>
      <c r="F38" s="964"/>
      <c r="G38" s="964"/>
      <c r="H38" s="964">
        <v>5374</v>
      </c>
      <c r="I38" s="965">
        <v>657658.5</v>
      </c>
      <c r="J38"/>
      <c r="K38"/>
      <c r="L38"/>
      <c r="M38"/>
      <c r="N38"/>
      <c r="O38"/>
      <c r="P38"/>
      <c r="Q38"/>
      <c r="R38"/>
      <c r="S38"/>
      <c r="T38"/>
      <c r="U38"/>
      <c r="V38"/>
      <c r="W38"/>
      <c r="X38"/>
      <c r="Y38"/>
      <c r="Z38"/>
      <c r="AA38"/>
      <c r="AB38"/>
    </row>
    <row r="39" spans="1:28" s="800" customFormat="1" ht="24.95" customHeight="1" x14ac:dyDescent="0.35">
      <c r="A39" s="968">
        <v>45017</v>
      </c>
      <c r="B39" s="930" t="s">
        <v>480</v>
      </c>
      <c r="C39" s="925"/>
      <c r="D39" s="925" t="s">
        <v>92</v>
      </c>
      <c r="E39" s="925"/>
      <c r="F39" s="964"/>
      <c r="G39" s="964"/>
      <c r="H39" s="964">
        <v>5460</v>
      </c>
      <c r="I39" s="965">
        <v>413995.98</v>
      </c>
      <c r="J39"/>
      <c r="K39"/>
      <c r="L39"/>
      <c r="M39"/>
      <c r="N39"/>
      <c r="O39"/>
      <c r="P39"/>
      <c r="Q39"/>
      <c r="R39"/>
      <c r="S39"/>
      <c r="T39"/>
      <c r="U39"/>
      <c r="V39"/>
      <c r="W39"/>
      <c r="X39"/>
      <c r="Y39"/>
      <c r="Z39"/>
      <c r="AA39"/>
      <c r="AB39"/>
    </row>
    <row r="40" spans="1:28" s="800" customFormat="1" ht="24.95" customHeight="1" x14ac:dyDescent="0.35">
      <c r="A40" s="968">
        <v>45181</v>
      </c>
      <c r="B40" s="930" t="s">
        <v>480</v>
      </c>
      <c r="C40" s="925"/>
      <c r="D40" s="925" t="s">
        <v>92</v>
      </c>
      <c r="E40" s="925"/>
      <c r="F40" s="964" t="s">
        <v>654</v>
      </c>
      <c r="G40" s="964"/>
      <c r="H40" s="964">
        <v>5606</v>
      </c>
      <c r="I40" s="965">
        <v>676930.8</v>
      </c>
      <c r="J40"/>
      <c r="K40"/>
      <c r="L40"/>
      <c r="M40"/>
      <c r="N40"/>
      <c r="O40"/>
      <c r="P40"/>
      <c r="Q40"/>
      <c r="R40"/>
      <c r="S40"/>
      <c r="T40"/>
      <c r="U40"/>
      <c r="V40"/>
      <c r="W40"/>
      <c r="X40"/>
      <c r="Y40"/>
      <c r="Z40"/>
      <c r="AA40"/>
      <c r="AB40"/>
    </row>
    <row r="41" spans="1:28" s="800" customFormat="1" ht="24.95" customHeight="1" x14ac:dyDescent="0.35">
      <c r="A41" s="968">
        <v>45313</v>
      </c>
      <c r="B41" s="930" t="s">
        <v>480</v>
      </c>
      <c r="C41" s="925"/>
      <c r="D41" s="925" t="s">
        <v>90</v>
      </c>
      <c r="E41" s="925">
        <v>825</v>
      </c>
      <c r="F41" s="964"/>
      <c r="G41" s="964"/>
      <c r="H41" s="964">
        <v>5714</v>
      </c>
      <c r="I41" s="965">
        <v>150000</v>
      </c>
      <c r="J41"/>
      <c r="K41"/>
      <c r="L41"/>
      <c r="M41"/>
      <c r="N41"/>
      <c r="O41"/>
      <c r="P41"/>
      <c r="Q41"/>
      <c r="R41"/>
      <c r="S41"/>
      <c r="T41"/>
      <c r="U41"/>
      <c r="V41"/>
      <c r="W41"/>
      <c r="X41"/>
      <c r="Y41"/>
      <c r="Z41"/>
      <c r="AA41"/>
      <c r="AB41"/>
    </row>
    <row r="42" spans="1:28" s="800" customFormat="1" ht="24.95" customHeight="1" x14ac:dyDescent="0.35">
      <c r="A42" s="968">
        <v>45386</v>
      </c>
      <c r="B42" s="930" t="s">
        <v>480</v>
      </c>
      <c r="C42" s="925"/>
      <c r="D42" s="925" t="s">
        <v>90</v>
      </c>
      <c r="E42" s="925"/>
      <c r="F42" s="964"/>
      <c r="G42" s="964"/>
      <c r="H42" s="964">
        <v>5776</v>
      </c>
      <c r="I42" s="965">
        <v>455997.92</v>
      </c>
      <c r="J42"/>
      <c r="K42"/>
      <c r="L42"/>
      <c r="M42"/>
      <c r="N42"/>
      <c r="O42"/>
      <c r="P42"/>
      <c r="Q42"/>
      <c r="R42"/>
      <c r="S42"/>
      <c r="T42"/>
      <c r="U42"/>
      <c r="V42"/>
      <c r="W42"/>
      <c r="X42"/>
      <c r="Y42"/>
      <c r="Z42"/>
      <c r="AA42"/>
      <c r="AB42"/>
    </row>
    <row r="43" spans="1:28" s="800" customFormat="1" ht="24.95" customHeight="1" x14ac:dyDescent="0.35">
      <c r="A43" s="968">
        <v>45601</v>
      </c>
      <c r="B43" s="930" t="s">
        <v>480</v>
      </c>
      <c r="C43" s="925"/>
      <c r="D43" s="925" t="s">
        <v>90</v>
      </c>
      <c r="E43" s="925"/>
      <c r="F43" s="964"/>
      <c r="G43" s="964"/>
      <c r="H43" s="964">
        <v>5920</v>
      </c>
      <c r="I43" s="965">
        <v>310000</v>
      </c>
      <c r="J43"/>
      <c r="K43"/>
      <c r="L43"/>
      <c r="M43"/>
      <c r="N43"/>
      <c r="O43"/>
      <c r="P43"/>
      <c r="Q43"/>
      <c r="R43"/>
      <c r="S43"/>
      <c r="T43"/>
      <c r="U43"/>
      <c r="V43"/>
      <c r="W43"/>
      <c r="X43"/>
      <c r="Y43"/>
      <c r="Z43"/>
      <c r="AA43"/>
      <c r="AB43"/>
    </row>
    <row r="44" spans="1:28" s="800" customFormat="1" ht="24.95" customHeight="1" x14ac:dyDescent="0.35">
      <c r="A44" s="968">
        <v>45680</v>
      </c>
      <c r="B44" s="930" t="s">
        <v>480</v>
      </c>
      <c r="C44" s="925"/>
      <c r="D44" s="925" t="s">
        <v>90</v>
      </c>
      <c r="E44" s="925"/>
      <c r="F44" s="964"/>
      <c r="G44" s="964">
        <v>2343</v>
      </c>
      <c r="H44" s="964">
        <v>5979</v>
      </c>
      <c r="I44" s="965">
        <v>45000</v>
      </c>
      <c r="J44"/>
      <c r="K44"/>
      <c r="L44"/>
      <c r="M44"/>
      <c r="N44"/>
      <c r="O44"/>
      <c r="P44"/>
      <c r="Q44"/>
      <c r="R44"/>
      <c r="S44"/>
      <c r="T44"/>
      <c r="U44"/>
      <c r="V44"/>
      <c r="W44"/>
      <c r="X44"/>
      <c r="Y44"/>
      <c r="Z44"/>
      <c r="AA44"/>
      <c r="AB44"/>
    </row>
    <row r="45" spans="1:28" s="800" customFormat="1" ht="24.95" customHeight="1" x14ac:dyDescent="0.35">
      <c r="A45" s="968">
        <v>45731</v>
      </c>
      <c r="B45" s="930" t="s">
        <v>480</v>
      </c>
      <c r="C45" s="925"/>
      <c r="D45" s="925" t="s">
        <v>90</v>
      </c>
      <c r="E45" s="925"/>
      <c r="F45" s="964"/>
      <c r="G45" s="964"/>
      <c r="H45" s="964" t="s">
        <v>481</v>
      </c>
      <c r="I45" s="965" t="s">
        <v>419</v>
      </c>
      <c r="J45"/>
      <c r="K45"/>
      <c r="L45"/>
      <c r="M45"/>
      <c r="N45"/>
      <c r="O45"/>
      <c r="P45"/>
      <c r="Q45"/>
      <c r="R45"/>
      <c r="S45"/>
      <c r="T45"/>
      <c r="U45"/>
      <c r="V45"/>
      <c r="W45"/>
      <c r="X45"/>
      <c r="Y45"/>
      <c r="Z45"/>
      <c r="AA45"/>
      <c r="AB45"/>
    </row>
    <row r="46" spans="1:28" s="800" customFormat="1" ht="24.95" customHeight="1" x14ac:dyDescent="0.35">
      <c r="A46" s="968">
        <v>44977</v>
      </c>
      <c r="B46" s="930" t="s">
        <v>110</v>
      </c>
      <c r="C46" s="925"/>
      <c r="D46" s="925" t="s">
        <v>92</v>
      </c>
      <c r="E46" s="925"/>
      <c r="F46" s="964"/>
      <c r="G46" s="964"/>
      <c r="H46" s="964">
        <v>5407</v>
      </c>
      <c r="I46" s="965">
        <v>89500</v>
      </c>
      <c r="J46"/>
      <c r="K46"/>
      <c r="L46"/>
      <c r="M46"/>
      <c r="N46"/>
      <c r="O46"/>
      <c r="P46"/>
      <c r="Q46"/>
      <c r="R46"/>
      <c r="S46"/>
      <c r="T46"/>
      <c r="U46"/>
      <c r="V46"/>
      <c r="W46"/>
      <c r="X46"/>
      <c r="Y46"/>
      <c r="Z46"/>
      <c r="AA46"/>
      <c r="AB46"/>
    </row>
    <row r="47" spans="1:28" s="800" customFormat="1" ht="24.95" customHeight="1" x14ac:dyDescent="0.35">
      <c r="A47" s="968">
        <v>2023</v>
      </c>
      <c r="B47" s="930" t="s">
        <v>191</v>
      </c>
      <c r="C47" s="925"/>
      <c r="D47" s="925" t="s">
        <v>92</v>
      </c>
      <c r="E47" s="925"/>
      <c r="F47" s="964"/>
      <c r="G47" s="964"/>
      <c r="H47" s="964" t="s">
        <v>118</v>
      </c>
      <c r="I47" s="965">
        <v>67000</v>
      </c>
      <c r="J47"/>
      <c r="K47"/>
      <c r="L47"/>
      <c r="M47"/>
      <c r="N47"/>
      <c r="O47"/>
      <c r="P47"/>
      <c r="Q47"/>
      <c r="R47"/>
      <c r="S47"/>
      <c r="T47"/>
      <c r="U47"/>
      <c r="V47"/>
      <c r="W47"/>
      <c r="X47"/>
      <c r="Y47"/>
      <c r="Z47"/>
      <c r="AA47"/>
      <c r="AB47"/>
    </row>
    <row r="48" spans="1:28" s="782" customFormat="1" ht="24.95" customHeight="1" x14ac:dyDescent="0.35">
      <c r="A48" s="968">
        <v>45147</v>
      </c>
      <c r="B48" s="930" t="s">
        <v>653</v>
      </c>
      <c r="C48" s="925"/>
      <c r="D48" s="925" t="s">
        <v>92</v>
      </c>
      <c r="E48" s="925"/>
      <c r="F48" s="964"/>
      <c r="G48" s="964"/>
      <c r="H48" s="964">
        <v>5568</v>
      </c>
      <c r="I48" s="965">
        <v>10000</v>
      </c>
      <c r="J48"/>
      <c r="K48"/>
      <c r="L48"/>
      <c r="M48"/>
      <c r="N48"/>
      <c r="O48"/>
      <c r="P48"/>
      <c r="Q48"/>
      <c r="R48"/>
      <c r="S48"/>
      <c r="T48"/>
      <c r="U48"/>
      <c r="V48"/>
      <c r="W48"/>
      <c r="X48"/>
      <c r="Y48"/>
      <c r="Z48"/>
      <c r="AA48"/>
      <c r="AB48"/>
    </row>
    <row r="49" spans="1:28" s="782" customFormat="1" ht="24.95" customHeight="1" x14ac:dyDescent="0.35">
      <c r="A49" s="968">
        <v>45195</v>
      </c>
      <c r="B49" s="930" t="s">
        <v>271</v>
      </c>
      <c r="C49" s="925"/>
      <c r="D49" s="925" t="s">
        <v>92</v>
      </c>
      <c r="E49" s="925"/>
      <c r="F49" s="964"/>
      <c r="G49" s="964"/>
      <c r="H49" s="964" t="s">
        <v>272</v>
      </c>
      <c r="I49" s="965">
        <v>2339.29</v>
      </c>
      <c r="J49"/>
      <c r="K49"/>
      <c r="L49"/>
      <c r="M49"/>
      <c r="N49"/>
      <c r="O49"/>
      <c r="P49"/>
      <c r="Q49"/>
      <c r="R49"/>
      <c r="S49"/>
      <c r="T49"/>
      <c r="U49"/>
      <c r="V49"/>
      <c r="W49"/>
      <c r="X49"/>
      <c r="Y49"/>
      <c r="Z49"/>
      <c r="AA49"/>
      <c r="AB49"/>
    </row>
    <row r="50" spans="1:28" s="782" customFormat="1" ht="24.95" customHeight="1" x14ac:dyDescent="0.35">
      <c r="A50" s="968">
        <v>45859</v>
      </c>
      <c r="B50" s="930" t="s">
        <v>271</v>
      </c>
      <c r="C50" s="925"/>
      <c r="D50" s="925" t="s">
        <v>282</v>
      </c>
      <c r="E50" s="925"/>
      <c r="F50" s="964"/>
      <c r="G50" s="964"/>
      <c r="H50" s="964" t="s">
        <v>572</v>
      </c>
      <c r="I50" s="965">
        <v>9850</v>
      </c>
      <c r="J50"/>
      <c r="K50"/>
      <c r="L50"/>
      <c r="M50"/>
      <c r="N50"/>
      <c r="O50"/>
      <c r="P50"/>
      <c r="Q50"/>
      <c r="R50"/>
      <c r="S50"/>
      <c r="T50"/>
      <c r="U50"/>
      <c r="V50"/>
      <c r="W50"/>
      <c r="X50"/>
      <c r="Y50"/>
      <c r="Z50"/>
      <c r="AA50"/>
      <c r="AB50"/>
    </row>
    <row r="51" spans="1:28" s="782" customFormat="1" ht="24.95" customHeight="1" x14ac:dyDescent="0.35">
      <c r="A51" s="968">
        <v>45300</v>
      </c>
      <c r="B51" s="930" t="s">
        <v>417</v>
      </c>
      <c r="C51" s="925"/>
      <c r="D51" s="925" t="s">
        <v>90</v>
      </c>
      <c r="E51" s="925"/>
      <c r="F51" s="964"/>
      <c r="G51" s="964"/>
      <c r="H51" s="964" t="s">
        <v>327</v>
      </c>
      <c r="I51" s="965">
        <v>16550</v>
      </c>
      <c r="J51"/>
      <c r="K51"/>
      <c r="L51"/>
      <c r="M51"/>
      <c r="N51"/>
      <c r="O51"/>
      <c r="P51"/>
      <c r="Q51"/>
      <c r="R51"/>
      <c r="S51"/>
      <c r="T51"/>
      <c r="U51"/>
      <c r="V51"/>
      <c r="W51"/>
      <c r="X51"/>
      <c r="Y51"/>
      <c r="Z51"/>
      <c r="AA51"/>
      <c r="AB51"/>
    </row>
    <row r="52" spans="1:28" s="782" customFormat="1" ht="24.95" customHeight="1" x14ac:dyDescent="0.35">
      <c r="A52" s="968">
        <v>45582</v>
      </c>
      <c r="B52" s="930" t="s">
        <v>417</v>
      </c>
      <c r="C52" s="925"/>
      <c r="D52" s="925" t="s">
        <v>90</v>
      </c>
      <c r="E52" s="925"/>
      <c r="F52" s="964"/>
      <c r="G52" s="964"/>
      <c r="H52" s="964" t="s">
        <v>656</v>
      </c>
      <c r="I52" s="965">
        <v>273520</v>
      </c>
      <c r="J52"/>
      <c r="K52"/>
      <c r="L52"/>
      <c r="M52"/>
      <c r="N52"/>
      <c r="O52"/>
      <c r="P52"/>
      <c r="Q52"/>
      <c r="R52"/>
      <c r="S52"/>
      <c r="T52"/>
      <c r="U52"/>
      <c r="V52"/>
      <c r="W52"/>
      <c r="X52"/>
      <c r="Y52"/>
      <c r="Z52"/>
      <c r="AA52"/>
      <c r="AB52"/>
    </row>
    <row r="53" spans="1:28" s="782" customFormat="1" ht="24.95" customHeight="1" x14ac:dyDescent="0.35">
      <c r="A53" s="968" t="s">
        <v>421</v>
      </c>
      <c r="B53" s="930" t="s">
        <v>417</v>
      </c>
      <c r="C53" s="925"/>
      <c r="D53" s="925" t="s">
        <v>90</v>
      </c>
      <c r="E53" s="925"/>
      <c r="F53" s="964"/>
      <c r="G53" s="964"/>
      <c r="H53" s="964" t="s">
        <v>456</v>
      </c>
      <c r="I53" s="965" t="s">
        <v>419</v>
      </c>
      <c r="J53"/>
      <c r="K53"/>
      <c r="L53"/>
      <c r="M53"/>
      <c r="N53"/>
      <c r="O53"/>
      <c r="P53"/>
      <c r="Q53"/>
      <c r="R53"/>
      <c r="S53"/>
      <c r="T53"/>
      <c r="U53"/>
      <c r="V53"/>
      <c r="W53"/>
      <c r="X53"/>
      <c r="Y53"/>
      <c r="Z53"/>
      <c r="AA53"/>
      <c r="AB53"/>
    </row>
    <row r="54" spans="1:28" s="782" customFormat="1" ht="24.95" customHeight="1" x14ac:dyDescent="0.35">
      <c r="A54" s="968">
        <v>45897</v>
      </c>
      <c r="B54" s="930" t="s">
        <v>417</v>
      </c>
      <c r="C54" s="925"/>
      <c r="D54" s="925" t="s">
        <v>90</v>
      </c>
      <c r="E54" s="925"/>
      <c r="F54" s="964"/>
      <c r="G54" s="964"/>
      <c r="H54" s="964" t="s">
        <v>609</v>
      </c>
      <c r="I54" s="965" t="s">
        <v>419</v>
      </c>
      <c r="J54"/>
      <c r="K54"/>
      <c r="L54"/>
      <c r="M54"/>
      <c r="N54"/>
      <c r="O54"/>
      <c r="P54"/>
      <c r="Q54"/>
      <c r="R54"/>
      <c r="S54"/>
      <c r="T54"/>
      <c r="U54"/>
      <c r="V54"/>
      <c r="W54"/>
      <c r="X54"/>
      <c r="Y54"/>
      <c r="Z54"/>
      <c r="AA54"/>
      <c r="AB54"/>
    </row>
    <row r="55" spans="1:28" s="782" customFormat="1" ht="24.95" customHeight="1" x14ac:dyDescent="0.35">
      <c r="A55" s="968">
        <v>45313</v>
      </c>
      <c r="B55" s="930" t="s">
        <v>230</v>
      </c>
      <c r="C55" s="925"/>
      <c r="D55" s="925" t="s">
        <v>92</v>
      </c>
      <c r="E55" s="925"/>
      <c r="F55" s="964"/>
      <c r="G55" s="964"/>
      <c r="H55" s="964">
        <v>5715</v>
      </c>
      <c r="I55" s="965">
        <v>78</v>
      </c>
      <c r="J55"/>
      <c r="K55"/>
      <c r="L55"/>
      <c r="M55"/>
      <c r="N55"/>
      <c r="O55"/>
      <c r="P55"/>
      <c r="Q55"/>
      <c r="R55"/>
      <c r="S55"/>
      <c r="T55"/>
      <c r="U55"/>
      <c r="V55"/>
      <c r="W55"/>
      <c r="X55"/>
      <c r="Y55"/>
      <c r="Z55"/>
      <c r="AA55"/>
      <c r="AB55"/>
    </row>
    <row r="56" spans="1:28" s="782" customFormat="1" ht="24.95" customHeight="1" x14ac:dyDescent="0.35">
      <c r="A56" s="968">
        <v>45371</v>
      </c>
      <c r="B56" s="930" t="s">
        <v>655</v>
      </c>
      <c r="C56" s="925"/>
      <c r="D56" s="925" t="s">
        <v>221</v>
      </c>
      <c r="E56" s="925"/>
      <c r="F56" s="964"/>
      <c r="G56" s="964"/>
      <c r="H56" s="964">
        <v>5769</v>
      </c>
      <c r="I56" s="965">
        <v>250</v>
      </c>
      <c r="J56"/>
      <c r="K56"/>
      <c r="L56"/>
      <c r="M56"/>
      <c r="N56"/>
      <c r="O56"/>
      <c r="P56"/>
      <c r="Q56"/>
      <c r="R56"/>
      <c r="S56"/>
      <c r="T56"/>
      <c r="U56"/>
      <c r="V56"/>
      <c r="W56"/>
      <c r="X56"/>
      <c r="Y56"/>
      <c r="Z56"/>
      <c r="AA56"/>
      <c r="AB56"/>
    </row>
    <row r="57" spans="1:28" s="782" customFormat="1" ht="24.95" customHeight="1" x14ac:dyDescent="0.35">
      <c r="A57" s="968">
        <v>45512</v>
      </c>
      <c r="B57" s="930" t="s">
        <v>545</v>
      </c>
      <c r="C57" s="925"/>
      <c r="D57" s="925" t="s">
        <v>90</v>
      </c>
      <c r="E57" s="925"/>
      <c r="F57" s="964"/>
      <c r="G57" s="964"/>
      <c r="H57" s="964">
        <v>5860</v>
      </c>
      <c r="I57" s="965">
        <v>194000</v>
      </c>
      <c r="J57"/>
      <c r="K57"/>
      <c r="L57"/>
      <c r="M57"/>
      <c r="N57"/>
      <c r="O57"/>
      <c r="P57"/>
      <c r="Q57"/>
      <c r="R57"/>
      <c r="S57"/>
      <c r="T57"/>
      <c r="U57"/>
      <c r="V57"/>
      <c r="W57"/>
      <c r="X57"/>
      <c r="Y57"/>
      <c r="Z57"/>
      <c r="AA57"/>
      <c r="AB57"/>
    </row>
    <row r="58" spans="1:28" s="813" customFormat="1" ht="24.95" customHeight="1" x14ac:dyDescent="0.35">
      <c r="A58" s="968">
        <v>45539</v>
      </c>
      <c r="B58" s="930" t="s">
        <v>545</v>
      </c>
      <c r="C58" s="925"/>
      <c r="D58" s="925" t="s">
        <v>90</v>
      </c>
      <c r="E58" s="925"/>
      <c r="F58" s="964"/>
      <c r="G58" s="964"/>
      <c r="H58" s="964">
        <v>5881</v>
      </c>
      <c r="I58" s="965" t="s">
        <v>419</v>
      </c>
      <c r="J58"/>
      <c r="K58"/>
      <c r="L58"/>
      <c r="M58"/>
      <c r="N58"/>
      <c r="O58"/>
      <c r="P58"/>
      <c r="Q58"/>
      <c r="R58"/>
      <c r="S58"/>
      <c r="T58"/>
      <c r="U58"/>
      <c r="V58"/>
      <c r="W58"/>
      <c r="X58"/>
      <c r="Y58"/>
      <c r="Z58"/>
      <c r="AA58"/>
      <c r="AB58"/>
    </row>
    <row r="59" spans="1:28" s="813" customFormat="1" ht="24.95" customHeight="1" x14ac:dyDescent="0.35">
      <c r="A59" s="968" t="s">
        <v>421</v>
      </c>
      <c r="B59" s="930" t="s">
        <v>545</v>
      </c>
      <c r="C59" s="925"/>
      <c r="D59" s="925" t="s">
        <v>90</v>
      </c>
      <c r="E59" s="925"/>
      <c r="F59" s="964"/>
      <c r="G59" s="964"/>
      <c r="H59" s="964">
        <v>5984</v>
      </c>
      <c r="I59" s="965">
        <v>685000</v>
      </c>
      <c r="J59"/>
      <c r="K59"/>
      <c r="L59"/>
      <c r="M59"/>
      <c r="N59"/>
      <c r="O59"/>
      <c r="P59"/>
      <c r="Q59"/>
      <c r="R59"/>
      <c r="S59"/>
      <c r="T59"/>
      <c r="U59"/>
      <c r="V59"/>
      <c r="W59"/>
      <c r="X59"/>
      <c r="Y59"/>
      <c r="Z59"/>
      <c r="AA59"/>
      <c r="AB59"/>
    </row>
    <row r="60" spans="1:28" s="813" customFormat="1" ht="24.95" customHeight="1" x14ac:dyDescent="0.35">
      <c r="A60" s="968" t="s">
        <v>421</v>
      </c>
      <c r="B60" s="930" t="s">
        <v>545</v>
      </c>
      <c r="C60" s="925"/>
      <c r="D60" s="925" t="s">
        <v>90</v>
      </c>
      <c r="E60" s="925"/>
      <c r="F60" s="964"/>
      <c r="G60" s="964"/>
      <c r="H60" s="964">
        <v>5985</v>
      </c>
      <c r="I60" s="965">
        <v>695000</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v>5992</v>
      </c>
      <c r="I61" s="965">
        <v>55000</v>
      </c>
      <c r="J61"/>
      <c r="K61"/>
      <c r="L61"/>
      <c r="M61"/>
      <c r="N61"/>
      <c r="O61"/>
      <c r="P61"/>
      <c r="Q61"/>
      <c r="R61"/>
      <c r="S61"/>
      <c r="T61"/>
      <c r="U61"/>
      <c r="V61"/>
      <c r="W61"/>
      <c r="X61"/>
      <c r="Y61"/>
      <c r="Z61"/>
      <c r="AA61"/>
      <c r="AB61"/>
    </row>
    <row r="62" spans="1:28" s="813" customFormat="1" ht="24.95" customHeight="1" x14ac:dyDescent="0.35">
      <c r="A62" s="968" t="s">
        <v>658</v>
      </c>
      <c r="B62" s="930" t="s">
        <v>545</v>
      </c>
      <c r="C62" s="925"/>
      <c r="D62" s="925" t="s">
        <v>90</v>
      </c>
      <c r="E62" s="925"/>
      <c r="F62" s="964"/>
      <c r="G62" s="964"/>
      <c r="H62" s="964" t="s">
        <v>498</v>
      </c>
      <c r="I62" s="965">
        <v>167500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c r="G63" s="964"/>
      <c r="H63" s="964" t="s">
        <v>503</v>
      </c>
      <c r="I63" s="965" t="s">
        <v>419</v>
      </c>
      <c r="J63"/>
      <c r="K63"/>
      <c r="L63"/>
      <c r="M63"/>
      <c r="N63"/>
      <c r="O63"/>
      <c r="P63"/>
      <c r="Q63"/>
      <c r="R63"/>
      <c r="S63"/>
      <c r="T63"/>
      <c r="U63"/>
      <c r="V63"/>
      <c r="W63"/>
      <c r="X63"/>
      <c r="Y63"/>
      <c r="Z63"/>
      <c r="AA63"/>
      <c r="AB63"/>
    </row>
    <row r="64" spans="1:28" s="813" customFormat="1" ht="24.95" customHeight="1" x14ac:dyDescent="0.35">
      <c r="A64" s="968" t="s">
        <v>421</v>
      </c>
      <c r="B64" s="930" t="s">
        <v>545</v>
      </c>
      <c r="C64" s="925"/>
      <c r="D64" s="925" t="s">
        <v>90</v>
      </c>
      <c r="E64" s="925"/>
      <c r="F64" s="964"/>
      <c r="G64" s="964"/>
      <c r="H64" s="964" t="s">
        <v>550</v>
      </c>
      <c r="I64" s="965">
        <v>174800</v>
      </c>
      <c r="J64"/>
      <c r="K64"/>
      <c r="L64"/>
      <c r="M64"/>
      <c r="N64"/>
      <c r="O64"/>
      <c r="P64"/>
      <c r="Q64"/>
      <c r="R64"/>
      <c r="S64"/>
      <c r="T64"/>
      <c r="U64"/>
      <c r="V64"/>
      <c r="W64"/>
      <c r="X64"/>
      <c r="Y64"/>
      <c r="Z64"/>
      <c r="AA64"/>
      <c r="AB64"/>
    </row>
    <row r="65" spans="1:28" s="813" customFormat="1" ht="24.95" customHeight="1" x14ac:dyDescent="0.35">
      <c r="A65" s="968" t="s">
        <v>421</v>
      </c>
      <c r="B65" s="930" t="s">
        <v>545</v>
      </c>
      <c r="C65" s="925"/>
      <c r="D65" s="925" t="s">
        <v>90</v>
      </c>
      <c r="E65" s="925"/>
      <c r="F65" s="964"/>
      <c r="G65" s="964"/>
      <c r="H65" s="964" t="s">
        <v>582</v>
      </c>
      <c r="I65" s="965">
        <v>948000</v>
      </c>
      <c r="J65"/>
      <c r="K65"/>
      <c r="L65"/>
      <c r="M65"/>
      <c r="N65"/>
      <c r="O65"/>
      <c r="P65"/>
      <c r="Q65"/>
      <c r="R65"/>
      <c r="S65"/>
      <c r="T65"/>
      <c r="U65"/>
      <c r="V65"/>
      <c r="W65"/>
      <c r="X65"/>
      <c r="Y65"/>
      <c r="Z65"/>
      <c r="AA65"/>
      <c r="AB65"/>
    </row>
    <row r="66" spans="1:28" s="813" customFormat="1" ht="24.95" customHeight="1" x14ac:dyDescent="0.35">
      <c r="A66" s="968" t="s">
        <v>421</v>
      </c>
      <c r="B66" s="930" t="s">
        <v>545</v>
      </c>
      <c r="C66" s="925"/>
      <c r="D66" s="925" t="s">
        <v>90</v>
      </c>
      <c r="E66" s="925"/>
      <c r="F66" s="964"/>
      <c r="G66" s="964"/>
      <c r="H66" s="964" t="s">
        <v>583</v>
      </c>
      <c r="I66" s="965">
        <v>280000</v>
      </c>
      <c r="J66"/>
      <c r="K66"/>
      <c r="L66"/>
      <c r="M66"/>
      <c r="N66"/>
      <c r="O66"/>
      <c r="P66"/>
      <c r="Q66"/>
      <c r="R66"/>
      <c r="S66"/>
      <c r="T66"/>
      <c r="U66"/>
      <c r="V66"/>
      <c r="W66"/>
      <c r="X66"/>
      <c r="Y66"/>
      <c r="Z66"/>
      <c r="AA66"/>
      <c r="AB66"/>
    </row>
    <row r="67" spans="1:28" s="813" customFormat="1" ht="24.95" customHeight="1" x14ac:dyDescent="0.35">
      <c r="A67" s="968" t="s">
        <v>421</v>
      </c>
      <c r="B67" s="930" t="s">
        <v>545</v>
      </c>
      <c r="C67" s="925"/>
      <c r="D67" s="925" t="s">
        <v>90</v>
      </c>
      <c r="E67" s="925"/>
      <c r="F67" s="964"/>
      <c r="G67" s="964"/>
      <c r="H67" s="964" t="s">
        <v>603</v>
      </c>
      <c r="I67" s="965">
        <v>685000</v>
      </c>
      <c r="J67"/>
      <c r="K67"/>
      <c r="L67"/>
      <c r="M67"/>
      <c r="N67"/>
      <c r="O67"/>
      <c r="P67"/>
      <c r="Q67"/>
      <c r="R67"/>
      <c r="S67"/>
      <c r="T67"/>
      <c r="U67"/>
      <c r="V67"/>
      <c r="W67"/>
      <c r="X67"/>
      <c r="Y67"/>
      <c r="Z67"/>
      <c r="AA67"/>
      <c r="AB67"/>
    </row>
    <row r="68" spans="1:28" s="813" customFormat="1" ht="24.95" customHeight="1" x14ac:dyDescent="0.35">
      <c r="A68" s="968">
        <v>45952</v>
      </c>
      <c r="B68" s="930" t="s">
        <v>545</v>
      </c>
      <c r="C68" s="925"/>
      <c r="D68" s="925" t="s">
        <v>90</v>
      </c>
      <c r="E68" s="925"/>
      <c r="F68" s="964"/>
      <c r="G68" s="964"/>
      <c r="H68" s="964" t="s">
        <v>645</v>
      </c>
      <c r="I68" s="965" t="s">
        <v>419</v>
      </c>
      <c r="J68"/>
      <c r="K68"/>
      <c r="L68"/>
      <c r="M68"/>
      <c r="N68"/>
      <c r="O68"/>
      <c r="P68"/>
      <c r="Q68"/>
      <c r="R68"/>
      <c r="S68"/>
      <c r="T68"/>
      <c r="U68"/>
      <c r="V68"/>
      <c r="W68"/>
      <c r="X68"/>
      <c r="Y68"/>
      <c r="Z68"/>
      <c r="AA68"/>
      <c r="AB68"/>
    </row>
    <row r="69" spans="1:28" s="813" customFormat="1" ht="24.95" customHeight="1" x14ac:dyDescent="0.35">
      <c r="A69" s="968">
        <v>45630</v>
      </c>
      <c r="B69" s="930" t="s">
        <v>466</v>
      </c>
      <c r="C69" s="925"/>
      <c r="D69" s="925" t="s">
        <v>92</v>
      </c>
      <c r="E69" s="925"/>
      <c r="F69" s="964"/>
      <c r="G69" s="964"/>
      <c r="H69" s="964">
        <v>5939</v>
      </c>
      <c r="I69" s="965">
        <v>297900</v>
      </c>
      <c r="J69"/>
      <c r="K69"/>
      <c r="L69"/>
      <c r="M69"/>
      <c r="N69"/>
      <c r="O69"/>
      <c r="P69"/>
      <c r="Q69"/>
      <c r="R69"/>
      <c r="S69"/>
      <c r="T69"/>
      <c r="U69"/>
      <c r="V69"/>
      <c r="W69"/>
      <c r="X69"/>
      <c r="Y69"/>
      <c r="Z69"/>
      <c r="AA69"/>
      <c r="AB69"/>
    </row>
    <row r="70" spans="1:28" s="813" customFormat="1" ht="24.95" customHeight="1" x14ac:dyDescent="0.35">
      <c r="A70" s="968">
        <v>45682</v>
      </c>
      <c r="B70" s="930" t="s">
        <v>657</v>
      </c>
      <c r="C70" s="925"/>
      <c r="D70" s="925" t="s">
        <v>92</v>
      </c>
      <c r="E70" s="925"/>
      <c r="F70" s="964"/>
      <c r="G70" s="964"/>
      <c r="H70" s="964">
        <v>6012</v>
      </c>
      <c r="I70" s="965">
        <v>32500</v>
      </c>
      <c r="J70"/>
      <c r="K70"/>
      <c r="L70"/>
      <c r="M70"/>
      <c r="N70"/>
      <c r="O70"/>
      <c r="P70"/>
      <c r="Q70"/>
      <c r="R70"/>
      <c r="S70"/>
      <c r="T70"/>
      <c r="U70"/>
      <c r="V70"/>
      <c r="W70"/>
      <c r="X70"/>
      <c r="Y70"/>
      <c r="Z70"/>
      <c r="AA70"/>
      <c r="AB70"/>
    </row>
    <row r="71" spans="1:28" s="813" customFormat="1" ht="24.95" customHeight="1" x14ac:dyDescent="0.35">
      <c r="A71" s="968">
        <v>45749</v>
      </c>
      <c r="B71" s="930" t="s">
        <v>657</v>
      </c>
      <c r="C71" s="925"/>
      <c r="D71" s="925" t="s">
        <v>92</v>
      </c>
      <c r="E71" s="925"/>
      <c r="F71" s="964"/>
      <c r="G71" s="964"/>
      <c r="H71" s="964" t="s">
        <v>493</v>
      </c>
      <c r="I71" s="965">
        <v>32500</v>
      </c>
      <c r="J71"/>
      <c r="K71"/>
      <c r="L71"/>
      <c r="M71"/>
      <c r="N71"/>
      <c r="O71"/>
      <c r="P71"/>
      <c r="Q71"/>
      <c r="R71"/>
      <c r="S71"/>
      <c r="T71"/>
      <c r="U71"/>
      <c r="V71"/>
      <c r="W71"/>
      <c r="X71"/>
      <c r="Y71"/>
      <c r="Z71"/>
      <c r="AA71"/>
      <c r="AB71"/>
    </row>
    <row r="72" spans="1:28" s="813" customFormat="1" ht="24.95" customHeight="1" x14ac:dyDescent="0.35">
      <c r="A72" s="968">
        <v>45749</v>
      </c>
      <c r="B72" s="930" t="s">
        <v>657</v>
      </c>
      <c r="C72" s="925"/>
      <c r="D72" s="925" t="s">
        <v>92</v>
      </c>
      <c r="E72" s="925"/>
      <c r="F72" s="964"/>
      <c r="G72" s="964"/>
      <c r="H72" s="964" t="s">
        <v>494</v>
      </c>
      <c r="I72" s="965">
        <v>7500</v>
      </c>
      <c r="J72"/>
      <c r="K72"/>
      <c r="L72"/>
      <c r="M72"/>
      <c r="N72"/>
      <c r="O72"/>
      <c r="P72"/>
      <c r="Q72"/>
      <c r="R72"/>
      <c r="S72"/>
      <c r="T72"/>
      <c r="U72"/>
      <c r="V72"/>
      <c r="W72"/>
      <c r="X72"/>
      <c r="Y72"/>
      <c r="Z72"/>
      <c r="AA72"/>
      <c r="AB72"/>
    </row>
    <row r="73" spans="1:28" s="813" customFormat="1" ht="24.95" customHeight="1" x14ac:dyDescent="0.35">
      <c r="A73" s="968" t="s">
        <v>421</v>
      </c>
      <c r="B73" s="930" t="s">
        <v>270</v>
      </c>
      <c r="C73" s="925"/>
      <c r="D73" s="925" t="s">
        <v>90</v>
      </c>
      <c r="E73" s="925"/>
      <c r="F73" s="964"/>
      <c r="G73" s="964"/>
      <c r="H73" s="964">
        <v>5950</v>
      </c>
      <c r="I73" s="965" t="s">
        <v>419</v>
      </c>
      <c r="J73"/>
      <c r="K73"/>
      <c r="L73"/>
      <c r="M73"/>
      <c r="N73"/>
      <c r="O73"/>
      <c r="P73"/>
      <c r="Q73"/>
      <c r="R73"/>
      <c r="S73"/>
      <c r="T73"/>
      <c r="U73"/>
      <c r="V73"/>
      <c r="W73"/>
      <c r="X73"/>
      <c r="Y73"/>
      <c r="Z73"/>
      <c r="AA73"/>
      <c r="AB73"/>
    </row>
    <row r="74" spans="1:28" s="813" customFormat="1" ht="24.95" customHeight="1" x14ac:dyDescent="0.35">
      <c r="A74" s="968">
        <v>45700</v>
      </c>
      <c r="B74" s="930" t="s">
        <v>270</v>
      </c>
      <c r="C74" s="925"/>
      <c r="D74" s="925" t="s">
        <v>90</v>
      </c>
      <c r="E74" s="925"/>
      <c r="F74" s="964"/>
      <c r="G74" s="964"/>
      <c r="H74" s="964">
        <v>5990</v>
      </c>
      <c r="I74" s="965">
        <v>1200</v>
      </c>
      <c r="J74"/>
      <c r="K74"/>
      <c r="L74"/>
      <c r="M74"/>
      <c r="N74"/>
      <c r="O74"/>
      <c r="P74"/>
      <c r="Q74"/>
      <c r="R74"/>
      <c r="S74"/>
      <c r="T74"/>
      <c r="U74"/>
      <c r="V74"/>
      <c r="W74"/>
      <c r="X74"/>
      <c r="Y74"/>
      <c r="Z74"/>
      <c r="AA74"/>
      <c r="AB74"/>
    </row>
    <row r="75" spans="1:28" s="813" customFormat="1" ht="24.95" customHeight="1" x14ac:dyDescent="0.35">
      <c r="A75" s="968">
        <v>45896</v>
      </c>
      <c r="B75" s="930" t="s">
        <v>270</v>
      </c>
      <c r="C75" s="925"/>
      <c r="D75" s="925" t="s">
        <v>90</v>
      </c>
      <c r="E75" s="925"/>
      <c r="F75" s="964"/>
      <c r="G75" s="964"/>
      <c r="H75" s="964" t="s">
        <v>601</v>
      </c>
      <c r="I75" s="965" t="s">
        <v>419</v>
      </c>
      <c r="J75"/>
      <c r="K75"/>
      <c r="L75"/>
      <c r="M75"/>
      <c r="N75"/>
      <c r="O75"/>
      <c r="P75"/>
      <c r="Q75"/>
      <c r="R75"/>
      <c r="S75"/>
      <c r="T75"/>
      <c r="U75"/>
      <c r="V75"/>
      <c r="W75"/>
      <c r="X75"/>
      <c r="Y75"/>
      <c r="Z75"/>
      <c r="AA75"/>
      <c r="AB75"/>
    </row>
    <row r="76" spans="1:28" s="813" customFormat="1" ht="24.95" customHeight="1" x14ac:dyDescent="0.35">
      <c r="A76" s="968">
        <v>45908</v>
      </c>
      <c r="B76" s="930" t="s">
        <v>270</v>
      </c>
      <c r="C76" s="925"/>
      <c r="D76" s="925" t="s">
        <v>90</v>
      </c>
      <c r="E76" s="925"/>
      <c r="F76" s="964"/>
      <c r="G76" s="964"/>
      <c r="H76" s="964" t="s">
        <v>612</v>
      </c>
      <c r="I76" s="965">
        <v>251968</v>
      </c>
      <c r="J76"/>
      <c r="K76"/>
      <c r="L76"/>
      <c r="M76"/>
      <c r="N76"/>
      <c r="O76"/>
      <c r="P76"/>
      <c r="Q76"/>
      <c r="R76"/>
      <c r="S76"/>
      <c r="T76"/>
      <c r="U76"/>
      <c r="V76"/>
      <c r="W76"/>
      <c r="X76"/>
      <c r="Y76"/>
      <c r="Z76"/>
      <c r="AA76"/>
      <c r="AB76"/>
    </row>
    <row r="77" spans="1:28" s="813" customFormat="1" ht="24.95" customHeight="1" x14ac:dyDescent="0.35">
      <c r="A77" s="968">
        <v>45908</v>
      </c>
      <c r="B77" s="930" t="s">
        <v>270</v>
      </c>
      <c r="C77" s="925"/>
      <c r="D77" s="925" t="s">
        <v>90</v>
      </c>
      <c r="E77" s="925"/>
      <c r="F77" s="964"/>
      <c r="G77" s="964"/>
      <c r="H77" s="964" t="s">
        <v>613</v>
      </c>
      <c r="I77" s="965">
        <v>240350</v>
      </c>
      <c r="J77"/>
      <c r="K77"/>
      <c r="L77"/>
      <c r="M77"/>
      <c r="N77"/>
      <c r="O77"/>
      <c r="P77"/>
      <c r="Q77"/>
      <c r="R77"/>
      <c r="S77"/>
      <c r="T77"/>
      <c r="U77"/>
      <c r="V77"/>
      <c r="W77"/>
      <c r="X77"/>
      <c r="Y77"/>
      <c r="Z77"/>
      <c r="AA77"/>
      <c r="AB77"/>
    </row>
    <row r="78" spans="1:28" s="813" customFormat="1" ht="24.95" customHeight="1" x14ac:dyDescent="0.35">
      <c r="A78" s="968">
        <v>45933</v>
      </c>
      <c r="B78" s="930" t="s">
        <v>270</v>
      </c>
      <c r="C78" s="925"/>
      <c r="D78" s="925" t="s">
        <v>90</v>
      </c>
      <c r="E78" s="925"/>
      <c r="F78" s="964"/>
      <c r="G78" s="964"/>
      <c r="H78" s="964" t="s">
        <v>631</v>
      </c>
      <c r="I78" s="965">
        <v>115000</v>
      </c>
      <c r="J78"/>
      <c r="K78"/>
      <c r="L78"/>
      <c r="M78"/>
      <c r="N78"/>
      <c r="O78"/>
      <c r="P78"/>
      <c r="Q78"/>
      <c r="R78"/>
      <c r="S78"/>
      <c r="T78"/>
      <c r="U78"/>
      <c r="V78"/>
      <c r="W78"/>
      <c r="X78"/>
      <c r="Y78"/>
      <c r="Z78"/>
      <c r="AA78"/>
      <c r="AB78"/>
    </row>
    <row r="79" spans="1:28" s="813" customFormat="1" ht="24.95" customHeight="1" x14ac:dyDescent="0.35">
      <c r="A79" s="968">
        <v>45944</v>
      </c>
      <c r="B79" s="930" t="s">
        <v>270</v>
      </c>
      <c r="C79" s="925"/>
      <c r="D79" s="925" t="s">
        <v>90</v>
      </c>
      <c r="E79" s="925"/>
      <c r="F79" s="964"/>
      <c r="G79" s="964"/>
      <c r="H79" s="964" t="s">
        <v>635</v>
      </c>
      <c r="I79" s="965">
        <v>58000</v>
      </c>
      <c r="J79"/>
      <c r="K79"/>
      <c r="L79"/>
      <c r="M79"/>
      <c r="N79"/>
      <c r="O79"/>
      <c r="P79"/>
      <c r="Q79"/>
      <c r="R79"/>
      <c r="S79"/>
      <c r="T79"/>
      <c r="U79"/>
      <c r="V79"/>
      <c r="W79"/>
      <c r="X79"/>
      <c r="Y79"/>
      <c r="Z79"/>
      <c r="AA79"/>
      <c r="AB79"/>
    </row>
    <row r="80" spans="1:28" s="813" customFormat="1" ht="24.95" customHeight="1" x14ac:dyDescent="0.35">
      <c r="A80" s="968">
        <v>45946</v>
      </c>
      <c r="B80" s="930" t="s">
        <v>270</v>
      </c>
      <c r="C80" s="925"/>
      <c r="D80" s="925" t="s">
        <v>90</v>
      </c>
      <c r="E80" s="925"/>
      <c r="F80" s="964"/>
      <c r="G80" s="964"/>
      <c r="H80" s="964" t="s">
        <v>638</v>
      </c>
      <c r="I80" s="965">
        <v>100000</v>
      </c>
      <c r="J80"/>
      <c r="K80"/>
      <c r="L80"/>
      <c r="M80"/>
      <c r="N80"/>
      <c r="O80"/>
      <c r="P80"/>
      <c r="Q80"/>
      <c r="R80"/>
      <c r="S80"/>
      <c r="T80"/>
      <c r="U80"/>
      <c r="V80"/>
      <c r="W80"/>
      <c r="X80"/>
      <c r="Y80"/>
      <c r="Z80"/>
      <c r="AA80"/>
      <c r="AB80"/>
    </row>
    <row r="81" spans="1:28" s="813" customFormat="1" ht="24.95" customHeight="1" x14ac:dyDescent="0.35">
      <c r="A81" s="968">
        <v>45946</v>
      </c>
      <c r="B81" s="930" t="s">
        <v>270</v>
      </c>
      <c r="C81" s="925"/>
      <c r="D81" s="925" t="s">
        <v>90</v>
      </c>
      <c r="E81" s="925"/>
      <c r="F81" s="964"/>
      <c r="G81" s="964"/>
      <c r="H81" s="964" t="s">
        <v>639</v>
      </c>
      <c r="I81" s="965">
        <v>89000</v>
      </c>
      <c r="J81"/>
      <c r="K81"/>
      <c r="L81"/>
      <c r="M81"/>
      <c r="N81"/>
      <c r="O81"/>
      <c r="P81"/>
      <c r="Q81"/>
      <c r="R81"/>
      <c r="S81"/>
      <c r="T81"/>
      <c r="U81"/>
      <c r="V81"/>
      <c r="W81"/>
      <c r="X81"/>
      <c r="Y81"/>
      <c r="Z81"/>
      <c r="AA81"/>
      <c r="AB81"/>
    </row>
    <row r="82" spans="1:28" s="813" customFormat="1" ht="24.95" customHeight="1" x14ac:dyDescent="0.35">
      <c r="A82" s="968">
        <v>45946</v>
      </c>
      <c r="B82" s="930" t="s">
        <v>270</v>
      </c>
      <c r="C82" s="925"/>
      <c r="D82" s="925" t="s">
        <v>90</v>
      </c>
      <c r="E82" s="925"/>
      <c r="F82" s="964"/>
      <c r="G82" s="964"/>
      <c r="H82" s="964" t="s">
        <v>640</v>
      </c>
      <c r="I82" s="965">
        <v>105000</v>
      </c>
      <c r="J82"/>
      <c r="K82"/>
      <c r="L82"/>
      <c r="M82"/>
      <c r="N82"/>
      <c r="O82"/>
      <c r="P82"/>
      <c r="Q82"/>
      <c r="R82"/>
      <c r="S82"/>
      <c r="T82"/>
      <c r="U82"/>
      <c r="V82"/>
      <c r="W82"/>
      <c r="X82"/>
      <c r="Y82"/>
      <c r="Z82"/>
      <c r="AA82"/>
      <c r="AB82"/>
    </row>
    <row r="83" spans="1:28" s="813" customFormat="1" ht="24.95" customHeight="1" x14ac:dyDescent="0.35">
      <c r="A83" s="968">
        <v>45685</v>
      </c>
      <c r="B83" s="983" t="s">
        <v>560</v>
      </c>
      <c r="C83" s="925"/>
      <c r="D83" s="964" t="s">
        <v>90</v>
      </c>
      <c r="E83" s="964"/>
      <c r="F83" s="964"/>
      <c r="G83" s="964"/>
      <c r="H83" s="964">
        <v>5982</v>
      </c>
      <c r="I83" s="965">
        <v>133000</v>
      </c>
      <c r="J83"/>
      <c r="K83"/>
      <c r="L83"/>
      <c r="M83"/>
      <c r="N83"/>
      <c r="O83"/>
      <c r="P83"/>
      <c r="Q83"/>
      <c r="R83"/>
      <c r="S83"/>
      <c r="T83"/>
      <c r="U83"/>
      <c r="V83"/>
      <c r="W83"/>
      <c r="X83"/>
      <c r="Y83"/>
      <c r="Z83"/>
      <c r="AA83"/>
      <c r="AB83"/>
    </row>
    <row r="84" spans="1:28" s="813" customFormat="1" ht="24.95" customHeight="1" x14ac:dyDescent="0.35">
      <c r="A84" s="968">
        <v>45727</v>
      </c>
      <c r="B84" s="983" t="s">
        <v>560</v>
      </c>
      <c r="C84" s="925"/>
      <c r="D84" s="964" t="s">
        <v>90</v>
      </c>
      <c r="E84" s="964"/>
      <c r="F84" s="964"/>
      <c r="G84" s="964"/>
      <c r="H84" s="964" t="s">
        <v>475</v>
      </c>
      <c r="I84" s="965">
        <v>246350</v>
      </c>
      <c r="J84"/>
      <c r="K84"/>
      <c r="L84"/>
      <c r="M84"/>
      <c r="N84"/>
      <c r="O84"/>
      <c r="P84"/>
      <c r="Q84"/>
      <c r="R84"/>
      <c r="S84"/>
      <c r="T84"/>
      <c r="U84"/>
      <c r="V84"/>
      <c r="W84"/>
      <c r="X84"/>
      <c r="Y84"/>
      <c r="Z84"/>
      <c r="AA84"/>
      <c r="AB84"/>
    </row>
    <row r="85" spans="1:28" s="813" customFormat="1" ht="24.95" customHeight="1" x14ac:dyDescent="0.35">
      <c r="A85" s="968">
        <v>45817</v>
      </c>
      <c r="B85" s="983" t="s">
        <v>560</v>
      </c>
      <c r="C85" s="925"/>
      <c r="D85" s="964" t="s">
        <v>90</v>
      </c>
      <c r="E85" s="964"/>
      <c r="F85" s="964"/>
      <c r="G85" s="964"/>
      <c r="H85" s="964" t="s">
        <v>556</v>
      </c>
      <c r="I85" s="965" t="s">
        <v>419</v>
      </c>
      <c r="J85"/>
      <c r="K85"/>
      <c r="L85"/>
      <c r="M85"/>
      <c r="N85"/>
      <c r="O85"/>
      <c r="P85"/>
      <c r="Q85"/>
      <c r="R85"/>
      <c r="S85"/>
      <c r="T85"/>
      <c r="U85"/>
      <c r="V85"/>
      <c r="W85"/>
      <c r="X85"/>
      <c r="Y85"/>
      <c r="Z85"/>
      <c r="AA85"/>
      <c r="AB85"/>
    </row>
    <row r="86" spans="1:28" s="813" customFormat="1" ht="24.95" customHeight="1" x14ac:dyDescent="0.35">
      <c r="A86" s="968">
        <v>45818</v>
      </c>
      <c r="B86" s="983" t="s">
        <v>560</v>
      </c>
      <c r="C86" s="925"/>
      <c r="D86" s="964" t="s">
        <v>90</v>
      </c>
      <c r="E86" s="964"/>
      <c r="F86" s="964"/>
      <c r="G86" s="964"/>
      <c r="H86" s="964" t="s">
        <v>547</v>
      </c>
      <c r="I86" s="965">
        <v>173500</v>
      </c>
      <c r="J86"/>
      <c r="K86"/>
      <c r="L86"/>
      <c r="M86"/>
      <c r="N86"/>
      <c r="O86"/>
      <c r="P86"/>
      <c r="Q86"/>
      <c r="R86"/>
      <c r="S86"/>
      <c r="T86"/>
      <c r="U86"/>
      <c r="V86"/>
      <c r="W86"/>
      <c r="X86"/>
      <c r="Y86"/>
      <c r="Z86"/>
      <c r="AA86"/>
      <c r="AB86"/>
    </row>
    <row r="87" spans="1:28" s="813" customFormat="1" ht="24.95" customHeight="1" x14ac:dyDescent="0.35">
      <c r="A87" s="968">
        <v>45854</v>
      </c>
      <c r="B87" s="983" t="s">
        <v>560</v>
      </c>
      <c r="C87" s="925"/>
      <c r="D87" s="964" t="s">
        <v>90</v>
      </c>
      <c r="E87" s="964"/>
      <c r="F87" s="964"/>
      <c r="G87" s="964"/>
      <c r="H87" s="964" t="s">
        <v>561</v>
      </c>
      <c r="I87" s="965">
        <v>469985</v>
      </c>
      <c r="J87"/>
      <c r="K87"/>
      <c r="L87"/>
      <c r="M87"/>
      <c r="N87"/>
      <c r="O87"/>
      <c r="P87"/>
      <c r="Q87"/>
      <c r="R87"/>
      <c r="S87"/>
      <c r="T87"/>
      <c r="U87"/>
      <c r="V87"/>
      <c r="W87"/>
      <c r="X87"/>
      <c r="Y87"/>
      <c r="Z87"/>
      <c r="AA87"/>
      <c r="AB87"/>
    </row>
    <row r="88" spans="1:28" s="813" customFormat="1" ht="24.95" customHeight="1" x14ac:dyDescent="0.35">
      <c r="A88" s="968">
        <v>45854</v>
      </c>
      <c r="B88" s="983" t="s">
        <v>560</v>
      </c>
      <c r="C88" s="925"/>
      <c r="D88" s="964" t="s">
        <v>90</v>
      </c>
      <c r="E88" s="964"/>
      <c r="F88" s="964"/>
      <c r="G88" s="964"/>
      <c r="H88" s="964" t="s">
        <v>562</v>
      </c>
      <c r="I88" s="965" t="s">
        <v>419</v>
      </c>
      <c r="J88"/>
      <c r="K88"/>
      <c r="L88"/>
      <c r="M88"/>
      <c r="N88"/>
      <c r="O88"/>
      <c r="P88"/>
      <c r="Q88"/>
      <c r="R88"/>
      <c r="S88"/>
      <c r="T88"/>
      <c r="U88"/>
      <c r="V88"/>
      <c r="W88"/>
      <c r="X88"/>
      <c r="Y88"/>
      <c r="Z88"/>
      <c r="AA88"/>
      <c r="AB88"/>
    </row>
    <row r="89" spans="1:28" s="813" customFormat="1" ht="24.95" customHeight="1" x14ac:dyDescent="0.35">
      <c r="A89" s="968">
        <v>45857</v>
      </c>
      <c r="B89" s="983" t="s">
        <v>560</v>
      </c>
      <c r="C89" s="925"/>
      <c r="D89" s="964" t="s">
        <v>90</v>
      </c>
      <c r="E89" s="964"/>
      <c r="F89" s="964"/>
      <c r="G89" s="964"/>
      <c r="H89" s="964" t="s">
        <v>567</v>
      </c>
      <c r="I89" s="965">
        <v>438000</v>
      </c>
      <c r="J89"/>
      <c r="K89"/>
      <c r="L89"/>
      <c r="M89"/>
      <c r="N89"/>
      <c r="O89"/>
      <c r="P89"/>
      <c r="Q89"/>
      <c r="R89"/>
      <c r="S89"/>
      <c r="T89"/>
      <c r="U89"/>
      <c r="V89"/>
      <c r="W89"/>
      <c r="X89"/>
      <c r="Y89"/>
      <c r="Z89"/>
      <c r="AA89"/>
      <c r="AB89"/>
    </row>
    <row r="90" spans="1:28" s="813" customFormat="1" ht="24.95" customHeight="1" x14ac:dyDescent="0.35">
      <c r="A90" s="968">
        <v>45708</v>
      </c>
      <c r="B90" s="930" t="s">
        <v>436</v>
      </c>
      <c r="C90" s="925"/>
      <c r="D90" s="964" t="s">
        <v>92</v>
      </c>
      <c r="E90" s="964"/>
      <c r="F90" s="964"/>
      <c r="G90" s="964"/>
      <c r="H90" s="964" t="s">
        <v>443</v>
      </c>
      <c r="I90" s="965" t="s">
        <v>419</v>
      </c>
      <c r="J90"/>
      <c r="K90"/>
      <c r="L90"/>
      <c r="M90"/>
      <c r="N90"/>
      <c r="O90"/>
      <c r="P90"/>
      <c r="Q90"/>
      <c r="R90"/>
      <c r="S90"/>
      <c r="T90"/>
      <c r="U90"/>
      <c r="V90"/>
      <c r="W90"/>
      <c r="X90"/>
      <c r="Y90"/>
      <c r="Z90"/>
      <c r="AA90"/>
      <c r="AB90"/>
    </row>
    <row r="91" spans="1:28" s="813" customFormat="1" ht="24.95" customHeight="1" x14ac:dyDescent="0.35">
      <c r="A91" s="968">
        <v>45709</v>
      </c>
      <c r="B91" s="930" t="s">
        <v>434</v>
      </c>
      <c r="C91" s="925"/>
      <c r="D91" s="964" t="s">
        <v>90</v>
      </c>
      <c r="E91" s="964"/>
      <c r="F91" s="964"/>
      <c r="G91" s="964">
        <v>2372</v>
      </c>
      <c r="H91" s="964" t="s">
        <v>452</v>
      </c>
      <c r="I91" s="965">
        <v>263066.96999999997</v>
      </c>
      <c r="J91"/>
      <c r="K91"/>
      <c r="L91"/>
      <c r="M91"/>
      <c r="N91"/>
      <c r="O91"/>
      <c r="P91"/>
      <c r="Q91"/>
      <c r="R91"/>
      <c r="S91"/>
      <c r="T91"/>
      <c r="U91"/>
      <c r="V91"/>
      <c r="W91"/>
      <c r="X91"/>
      <c r="Y91"/>
      <c r="Z91"/>
      <c r="AA91"/>
      <c r="AB91"/>
    </row>
    <row r="92" spans="1:28" s="813" customFormat="1" ht="24.95" customHeight="1" x14ac:dyDescent="0.35">
      <c r="A92" s="968">
        <v>45776</v>
      </c>
      <c r="B92" s="930" t="s">
        <v>434</v>
      </c>
      <c r="C92" s="925"/>
      <c r="D92" s="964" t="s">
        <v>90</v>
      </c>
      <c r="E92" s="964"/>
      <c r="F92" s="964"/>
      <c r="G92" s="964"/>
      <c r="H92" s="964" t="s">
        <v>659</v>
      </c>
      <c r="I92" s="965">
        <v>517500</v>
      </c>
      <c r="J92"/>
      <c r="K92"/>
      <c r="L92"/>
      <c r="M92"/>
      <c r="N92"/>
      <c r="O92"/>
      <c r="P92"/>
      <c r="Q92"/>
      <c r="R92"/>
      <c r="S92"/>
      <c r="T92"/>
      <c r="U92"/>
      <c r="V92"/>
      <c r="W92"/>
      <c r="X92"/>
      <c r="Y92"/>
      <c r="Z92"/>
      <c r="AA92"/>
      <c r="AB92"/>
    </row>
    <row r="93" spans="1:28" s="813" customFormat="1" ht="24.95" customHeight="1" x14ac:dyDescent="0.35">
      <c r="A93" s="968" t="s">
        <v>421</v>
      </c>
      <c r="B93" s="930" t="s">
        <v>434</v>
      </c>
      <c r="C93" s="925"/>
      <c r="D93" s="964" t="s">
        <v>90</v>
      </c>
      <c r="E93" s="964"/>
      <c r="F93" s="964"/>
      <c r="G93" s="964"/>
      <c r="H93" s="964" t="s">
        <v>665</v>
      </c>
      <c r="I93" s="965">
        <v>2977500</v>
      </c>
      <c r="J93"/>
      <c r="K93"/>
      <c r="L93"/>
      <c r="M93"/>
      <c r="N93"/>
      <c r="O93"/>
      <c r="P93"/>
      <c r="Q93"/>
      <c r="R93"/>
      <c r="S93"/>
      <c r="T93"/>
      <c r="U93"/>
      <c r="V93"/>
      <c r="W93"/>
      <c r="X93"/>
      <c r="Y93"/>
      <c r="Z93"/>
      <c r="AA93"/>
      <c r="AB93"/>
    </row>
    <row r="94" spans="1:28" s="813" customFormat="1" ht="24.95" customHeight="1" x14ac:dyDescent="0.35">
      <c r="A94" s="968">
        <v>45723</v>
      </c>
      <c r="B94" s="930" t="s">
        <v>428</v>
      </c>
      <c r="C94" s="925"/>
      <c r="D94" s="964" t="s">
        <v>92</v>
      </c>
      <c r="E94" s="964"/>
      <c r="F94" s="964"/>
      <c r="G94" s="964"/>
      <c r="H94" s="964" t="s">
        <v>501</v>
      </c>
      <c r="I94" s="965">
        <v>8000</v>
      </c>
      <c r="J94"/>
      <c r="K94"/>
      <c r="L94"/>
      <c r="M94"/>
      <c r="N94"/>
      <c r="O94"/>
      <c r="P94"/>
      <c r="Q94"/>
      <c r="R94"/>
      <c r="S94"/>
      <c r="T94"/>
      <c r="U94"/>
      <c r="V94"/>
      <c r="W94"/>
      <c r="X94"/>
      <c r="Y94"/>
      <c r="Z94"/>
      <c r="AA94"/>
      <c r="AB94"/>
    </row>
    <row r="95" spans="1:28" s="813" customFormat="1" ht="24.95" customHeight="1" x14ac:dyDescent="0.35">
      <c r="A95" s="968">
        <v>45828</v>
      </c>
      <c r="B95" s="930" t="s">
        <v>428</v>
      </c>
      <c r="C95" s="925"/>
      <c r="D95" s="964" t="s">
        <v>92</v>
      </c>
      <c r="E95" s="964"/>
      <c r="F95" s="964"/>
      <c r="G95" s="964"/>
      <c r="H95" s="964" t="s">
        <v>559</v>
      </c>
      <c r="I95" s="965" t="s">
        <v>419</v>
      </c>
      <c r="J95"/>
      <c r="K95"/>
      <c r="L95"/>
      <c r="M95"/>
      <c r="N95"/>
      <c r="O95"/>
      <c r="P95"/>
      <c r="Q95"/>
      <c r="R95"/>
      <c r="S95"/>
      <c r="T95"/>
      <c r="U95"/>
      <c r="V95"/>
      <c r="W95"/>
      <c r="X95"/>
      <c r="Y95"/>
      <c r="Z95"/>
      <c r="AA95"/>
      <c r="AB95"/>
    </row>
    <row r="96" spans="1:28" s="813" customFormat="1" ht="24.95" customHeight="1" x14ac:dyDescent="0.35">
      <c r="A96" s="968">
        <v>45748</v>
      </c>
      <c r="B96" s="930" t="s">
        <v>115</v>
      </c>
      <c r="C96" s="925"/>
      <c r="D96" s="964" t="s">
        <v>90</v>
      </c>
      <c r="E96" s="964"/>
      <c r="F96" s="964"/>
      <c r="G96" s="964"/>
      <c r="H96" s="964" t="s">
        <v>587</v>
      </c>
      <c r="I96" s="965">
        <v>244995</v>
      </c>
      <c r="J96"/>
      <c r="K96"/>
      <c r="L96"/>
      <c r="M96"/>
      <c r="N96"/>
      <c r="O96"/>
      <c r="P96"/>
      <c r="Q96"/>
      <c r="R96"/>
      <c r="S96"/>
      <c r="T96"/>
      <c r="U96"/>
      <c r="V96"/>
      <c r="W96"/>
      <c r="X96"/>
      <c r="Y96"/>
      <c r="Z96"/>
      <c r="AA96"/>
      <c r="AB96"/>
    </row>
    <row r="97" spans="1:28" s="749" customFormat="1" ht="24.95" customHeight="1" x14ac:dyDescent="0.35">
      <c r="A97" s="968">
        <v>45750</v>
      </c>
      <c r="B97" s="930" t="s">
        <v>438</v>
      </c>
      <c r="C97" s="925"/>
      <c r="D97" s="964" t="s">
        <v>90</v>
      </c>
      <c r="E97" s="964"/>
      <c r="F97" s="964"/>
      <c r="G97" s="964"/>
      <c r="H97" s="964" t="s">
        <v>495</v>
      </c>
      <c r="I97" s="965">
        <v>339500</v>
      </c>
      <c r="J97"/>
      <c r="K97"/>
      <c r="L97"/>
      <c r="M97"/>
      <c r="N97"/>
      <c r="O97"/>
      <c r="P97"/>
      <c r="Q97"/>
      <c r="R97"/>
      <c r="S97"/>
      <c r="T97"/>
      <c r="U97"/>
      <c r="V97"/>
      <c r="W97"/>
      <c r="X97"/>
      <c r="Y97"/>
      <c r="Z97"/>
      <c r="AA97"/>
      <c r="AB97"/>
    </row>
    <row r="98" spans="1:28" s="782" customFormat="1" ht="24.95" customHeight="1" x14ac:dyDescent="0.35">
      <c r="A98" s="968">
        <v>45750</v>
      </c>
      <c r="B98" s="930" t="s">
        <v>438</v>
      </c>
      <c r="C98" s="925"/>
      <c r="D98" s="964" t="s">
        <v>90</v>
      </c>
      <c r="E98" s="964"/>
      <c r="F98" s="964"/>
      <c r="G98" s="964"/>
      <c r="H98" s="964" t="s">
        <v>496</v>
      </c>
      <c r="I98" s="965">
        <v>339500</v>
      </c>
      <c r="J98"/>
      <c r="K98"/>
      <c r="L98"/>
      <c r="M98"/>
      <c r="N98"/>
      <c r="O98"/>
      <c r="P98"/>
      <c r="Q98"/>
      <c r="R98"/>
      <c r="S98"/>
      <c r="T98"/>
      <c r="U98"/>
      <c r="V98"/>
      <c r="W98"/>
      <c r="X98"/>
      <c r="Y98"/>
      <c r="Z98"/>
      <c r="AA98"/>
      <c r="AB98"/>
    </row>
    <row r="99" spans="1:28" s="782" customFormat="1" ht="24.95" customHeight="1" x14ac:dyDescent="0.35">
      <c r="A99" s="968" t="s">
        <v>421</v>
      </c>
      <c r="B99" s="930" t="s">
        <v>438</v>
      </c>
      <c r="C99" s="925"/>
      <c r="D99" s="964" t="s">
        <v>90</v>
      </c>
      <c r="E99" s="964"/>
      <c r="F99" s="964"/>
      <c r="G99" s="964"/>
      <c r="H99" s="964" t="s">
        <v>566</v>
      </c>
      <c r="I99" s="965" t="s">
        <v>419</v>
      </c>
      <c r="J99"/>
      <c r="K99"/>
      <c r="L99"/>
      <c r="M99"/>
      <c r="N99"/>
      <c r="O99"/>
      <c r="P99"/>
      <c r="Q99"/>
      <c r="R99"/>
      <c r="S99"/>
      <c r="T99"/>
      <c r="U99"/>
      <c r="V99"/>
      <c r="W99"/>
      <c r="X99"/>
      <c r="Y99"/>
      <c r="Z99"/>
      <c r="AA99"/>
      <c r="AB99"/>
    </row>
    <row r="100" spans="1:28" s="782" customFormat="1" ht="24.95" customHeight="1" x14ac:dyDescent="0.35">
      <c r="A100" s="968" t="s">
        <v>421</v>
      </c>
      <c r="B100" s="930" t="s">
        <v>438</v>
      </c>
      <c r="C100" s="925"/>
      <c r="D100" s="964" t="s">
        <v>90</v>
      </c>
      <c r="E100" s="964"/>
      <c r="F100" s="964"/>
      <c r="G100" s="964"/>
      <c r="H100" s="964" t="s">
        <v>661</v>
      </c>
      <c r="I100" s="965">
        <v>363300</v>
      </c>
      <c r="J100"/>
      <c r="K100"/>
      <c r="L100"/>
      <c r="M100"/>
      <c r="N100"/>
      <c r="O100"/>
      <c r="P100"/>
      <c r="Q100"/>
      <c r="R100"/>
      <c r="S100"/>
      <c r="T100"/>
      <c r="U100"/>
      <c r="V100"/>
      <c r="W100"/>
      <c r="X100"/>
      <c r="Y100"/>
      <c r="Z100"/>
      <c r="AA100"/>
      <c r="AB100"/>
    </row>
    <row r="101" spans="1:28" s="782" customFormat="1" ht="24.95" customHeight="1" x14ac:dyDescent="0.35">
      <c r="A101" s="968" t="s">
        <v>421</v>
      </c>
      <c r="B101" s="930" t="s">
        <v>438</v>
      </c>
      <c r="C101" s="925"/>
      <c r="D101" s="964" t="s">
        <v>90</v>
      </c>
      <c r="E101" s="964"/>
      <c r="F101" s="964"/>
      <c r="G101" s="964"/>
      <c r="H101" s="964" t="s">
        <v>540</v>
      </c>
      <c r="I101" s="965" t="s">
        <v>419</v>
      </c>
      <c r="J101"/>
      <c r="K101"/>
      <c r="L101"/>
      <c r="M101"/>
      <c r="N101"/>
      <c r="O101"/>
      <c r="P101"/>
      <c r="Q101"/>
      <c r="R101"/>
      <c r="S101"/>
      <c r="T101"/>
      <c r="U101"/>
      <c r="V101"/>
      <c r="W101"/>
      <c r="X101"/>
      <c r="Y101"/>
      <c r="Z101"/>
      <c r="AA101"/>
      <c r="AB101"/>
    </row>
    <row r="102" spans="1:28" s="782" customFormat="1" ht="24.95" customHeight="1" x14ac:dyDescent="0.35">
      <c r="A102" s="968">
        <v>45751</v>
      </c>
      <c r="B102" s="930" t="s">
        <v>237</v>
      </c>
      <c r="C102" s="925"/>
      <c r="D102" s="925" t="s">
        <v>90</v>
      </c>
      <c r="E102" s="925"/>
      <c r="F102" s="964"/>
      <c r="G102" s="964"/>
      <c r="H102" s="964" t="s">
        <v>499</v>
      </c>
      <c r="I102" s="965" t="s">
        <v>419</v>
      </c>
      <c r="J102"/>
      <c r="K102"/>
      <c r="L102"/>
      <c r="M102"/>
      <c r="N102"/>
      <c r="O102"/>
      <c r="P102"/>
      <c r="Q102"/>
      <c r="R102"/>
      <c r="S102"/>
      <c r="T102"/>
      <c r="U102"/>
      <c r="V102"/>
      <c r="W102"/>
      <c r="X102"/>
      <c r="Y102"/>
      <c r="Z102"/>
      <c r="AA102"/>
      <c r="AB102"/>
    </row>
    <row r="103" spans="1:28" s="782" customFormat="1" ht="24.95" customHeight="1" x14ac:dyDescent="0.35">
      <c r="A103" s="968" t="s">
        <v>421</v>
      </c>
      <c r="B103" s="930" t="s">
        <v>237</v>
      </c>
      <c r="C103" s="925"/>
      <c r="D103" s="925" t="s">
        <v>90</v>
      </c>
      <c r="E103" s="925"/>
      <c r="F103" s="964"/>
      <c r="G103" s="964"/>
      <c r="H103" s="964" t="s">
        <v>514</v>
      </c>
      <c r="I103" s="965" t="s">
        <v>419</v>
      </c>
      <c r="J103"/>
      <c r="K103"/>
      <c r="L103"/>
      <c r="M103"/>
      <c r="N103"/>
      <c r="O103"/>
      <c r="P103"/>
      <c r="Q103"/>
      <c r="R103"/>
      <c r="S103"/>
      <c r="T103"/>
      <c r="U103"/>
      <c r="V103"/>
      <c r="W103"/>
      <c r="X103"/>
      <c r="Y103"/>
      <c r="Z103"/>
      <c r="AA103"/>
      <c r="AB103"/>
    </row>
    <row r="104" spans="1:28" s="749" customFormat="1" ht="24.95" customHeight="1" x14ac:dyDescent="0.35">
      <c r="A104" s="968" t="s">
        <v>421</v>
      </c>
      <c r="B104" s="930" t="s">
        <v>299</v>
      </c>
      <c r="C104" s="925"/>
      <c r="D104" s="925" t="s">
        <v>92</v>
      </c>
      <c r="E104" s="925"/>
      <c r="F104" s="964"/>
      <c r="G104" s="964"/>
      <c r="H104" s="964" t="s">
        <v>506</v>
      </c>
      <c r="I104" s="965">
        <v>77261.850000000006</v>
      </c>
      <c r="J104"/>
      <c r="K104"/>
      <c r="L104"/>
      <c r="M104"/>
      <c r="N104"/>
      <c r="O104"/>
      <c r="P104"/>
      <c r="Q104"/>
      <c r="R104"/>
      <c r="S104"/>
      <c r="T104"/>
      <c r="U104"/>
      <c r="V104"/>
      <c r="W104"/>
      <c r="X104"/>
      <c r="Y104"/>
      <c r="Z104"/>
      <c r="AA104"/>
      <c r="AB104"/>
    </row>
    <row r="105" spans="1:28" s="749" customFormat="1" ht="24.95" customHeight="1" x14ac:dyDescent="0.35">
      <c r="A105" s="968" t="s">
        <v>421</v>
      </c>
      <c r="B105" s="930" t="s">
        <v>299</v>
      </c>
      <c r="C105" s="925"/>
      <c r="D105" s="925" t="s">
        <v>92</v>
      </c>
      <c r="E105" s="925"/>
      <c r="F105" s="964"/>
      <c r="G105" s="964"/>
      <c r="H105" s="964" t="s">
        <v>525</v>
      </c>
      <c r="I105" s="965">
        <v>86950</v>
      </c>
      <c r="J105"/>
      <c r="K105"/>
      <c r="L105"/>
      <c r="M105"/>
      <c r="N105"/>
      <c r="O105"/>
      <c r="P105"/>
      <c r="Q105"/>
      <c r="R105"/>
      <c r="S105"/>
      <c r="T105"/>
      <c r="U105"/>
      <c r="V105"/>
      <c r="W105"/>
      <c r="X105"/>
      <c r="Y105"/>
      <c r="Z105"/>
      <c r="AA105"/>
      <c r="AB105"/>
    </row>
    <row r="106" spans="1:28" s="782" customFormat="1" ht="24.95" customHeight="1" x14ac:dyDescent="0.35">
      <c r="A106" s="968">
        <v>45790</v>
      </c>
      <c r="B106" s="930" t="s">
        <v>660</v>
      </c>
      <c r="C106" s="925"/>
      <c r="D106" s="925" t="s">
        <v>90</v>
      </c>
      <c r="E106" s="925"/>
      <c r="F106" s="964"/>
      <c r="G106" s="964"/>
      <c r="H106" s="964" t="s">
        <v>520</v>
      </c>
      <c r="I106" s="965">
        <v>487467.5</v>
      </c>
      <c r="J106"/>
      <c r="K106"/>
      <c r="L106"/>
      <c r="M106"/>
      <c r="N106"/>
      <c r="O106"/>
      <c r="P106"/>
      <c r="Q106"/>
      <c r="R106"/>
      <c r="S106"/>
      <c r="T106"/>
      <c r="U106"/>
      <c r="V106"/>
      <c r="W106"/>
      <c r="X106"/>
      <c r="Y106"/>
      <c r="Z106"/>
      <c r="AA106"/>
      <c r="AB106"/>
    </row>
    <row r="107" spans="1:28" s="782" customFormat="1" ht="24.95" customHeight="1" x14ac:dyDescent="0.35">
      <c r="A107" s="968">
        <v>45897</v>
      </c>
      <c r="B107" s="930" t="s">
        <v>660</v>
      </c>
      <c r="C107" s="925"/>
      <c r="D107" s="925" t="s">
        <v>90</v>
      </c>
      <c r="E107" s="925"/>
      <c r="F107" s="964"/>
      <c r="G107" s="964"/>
      <c r="H107" s="964" t="s">
        <v>606</v>
      </c>
      <c r="I107" s="965">
        <v>476000</v>
      </c>
      <c r="J107"/>
      <c r="K107"/>
      <c r="L107"/>
      <c r="M107"/>
      <c r="N107"/>
      <c r="O107"/>
      <c r="P107"/>
      <c r="Q107"/>
      <c r="R107"/>
      <c r="S107"/>
      <c r="T107"/>
      <c r="U107"/>
      <c r="V107"/>
      <c r="W107"/>
      <c r="X107"/>
      <c r="Y107"/>
      <c r="Z107"/>
      <c r="AA107"/>
      <c r="AB107"/>
    </row>
    <row r="108" spans="1:28" s="782" customFormat="1" ht="24.95" customHeight="1" x14ac:dyDescent="0.35">
      <c r="A108" s="968">
        <v>45897</v>
      </c>
      <c r="B108" s="930" t="s">
        <v>660</v>
      </c>
      <c r="C108" s="925"/>
      <c r="D108" s="925" t="s">
        <v>90</v>
      </c>
      <c r="E108" s="925"/>
      <c r="F108" s="964"/>
      <c r="G108" s="964"/>
      <c r="H108" s="964" t="s">
        <v>608</v>
      </c>
      <c r="I108" s="965">
        <v>117000</v>
      </c>
      <c r="J108"/>
      <c r="K108"/>
      <c r="L108"/>
      <c r="M108"/>
      <c r="N108"/>
      <c r="O108"/>
      <c r="P108"/>
      <c r="Q108"/>
      <c r="R108"/>
      <c r="S108"/>
      <c r="T108"/>
      <c r="U108"/>
      <c r="V108"/>
      <c r="W108"/>
      <c r="X108"/>
      <c r="Y108"/>
      <c r="Z108"/>
      <c r="AA108"/>
      <c r="AB108"/>
    </row>
    <row r="109" spans="1:28" s="782" customFormat="1" ht="24.95" customHeight="1" x14ac:dyDescent="0.35">
      <c r="A109" s="968" t="s">
        <v>421</v>
      </c>
      <c r="B109" s="983" t="s">
        <v>115</v>
      </c>
      <c r="C109" s="925"/>
      <c r="D109" s="964" t="s">
        <v>90</v>
      </c>
      <c r="E109" s="964"/>
      <c r="F109" s="964"/>
      <c r="G109" s="964"/>
      <c r="H109" s="964" t="s">
        <v>531</v>
      </c>
      <c r="I109" s="965">
        <v>782600</v>
      </c>
      <c r="J109"/>
      <c r="K109"/>
      <c r="L109"/>
      <c r="M109"/>
      <c r="N109"/>
      <c r="O109"/>
      <c r="P109"/>
      <c r="Q109"/>
      <c r="R109"/>
      <c r="S109"/>
      <c r="T109"/>
      <c r="U109"/>
      <c r="V109"/>
      <c r="W109"/>
      <c r="X109"/>
      <c r="Y109"/>
      <c r="Z109"/>
      <c r="AA109"/>
      <c r="AB109"/>
    </row>
    <row r="110" spans="1:28" s="782" customFormat="1" ht="24.95" customHeight="1" x14ac:dyDescent="0.35">
      <c r="A110" s="968">
        <v>45804</v>
      </c>
      <c r="B110" s="930" t="s">
        <v>533</v>
      </c>
      <c r="C110" s="925"/>
      <c r="D110" s="925" t="s">
        <v>92</v>
      </c>
      <c r="E110" s="925"/>
      <c r="F110" s="964"/>
      <c r="G110" s="964"/>
      <c r="H110" s="964" t="s">
        <v>534</v>
      </c>
      <c r="I110" s="965" t="s">
        <v>419</v>
      </c>
      <c r="J110"/>
      <c r="K110"/>
      <c r="L110"/>
      <c r="M110"/>
      <c r="N110"/>
      <c r="O110"/>
      <c r="P110"/>
      <c r="Q110"/>
      <c r="R110"/>
      <c r="S110"/>
      <c r="T110"/>
      <c r="U110"/>
      <c r="V110"/>
      <c r="W110"/>
      <c r="X110"/>
      <c r="Y110"/>
      <c r="Z110"/>
      <c r="AA110"/>
      <c r="AB110"/>
    </row>
    <row r="111" spans="1:28" s="782" customFormat="1" ht="24.95" customHeight="1" x14ac:dyDescent="0.35">
      <c r="A111" s="968" t="s">
        <v>557</v>
      </c>
      <c r="B111" s="930" t="s">
        <v>662</v>
      </c>
      <c r="C111" s="925"/>
      <c r="D111" s="964" t="s">
        <v>92</v>
      </c>
      <c r="E111" s="964"/>
      <c r="F111" s="964"/>
      <c r="G111" s="964"/>
      <c r="H111" s="964" t="s">
        <v>564</v>
      </c>
      <c r="I111" s="965">
        <v>115000</v>
      </c>
      <c r="J111"/>
      <c r="K111"/>
      <c r="L111"/>
      <c r="M111"/>
      <c r="N111"/>
      <c r="O111"/>
      <c r="P111"/>
      <c r="Q111"/>
      <c r="R111"/>
      <c r="S111"/>
      <c r="T111"/>
      <c r="U111"/>
      <c r="V111"/>
      <c r="W111"/>
      <c r="X111"/>
      <c r="Y111"/>
      <c r="Z111"/>
      <c r="AA111"/>
      <c r="AB111"/>
    </row>
    <row r="112" spans="1:28" s="782" customFormat="1" ht="24.95" customHeight="1" x14ac:dyDescent="0.35">
      <c r="A112" s="968" t="s">
        <v>421</v>
      </c>
      <c r="B112" s="930" t="s">
        <v>662</v>
      </c>
      <c r="C112" s="925"/>
      <c r="D112" s="964" t="s">
        <v>92</v>
      </c>
      <c r="E112" s="964"/>
      <c r="F112" s="964"/>
      <c r="G112" s="964"/>
      <c r="H112" s="964" t="s">
        <v>565</v>
      </c>
      <c r="I112" s="965">
        <v>25895</v>
      </c>
      <c r="J112"/>
      <c r="K112"/>
      <c r="L112"/>
      <c r="M112"/>
      <c r="N112"/>
      <c r="O112"/>
      <c r="P112"/>
      <c r="Q112"/>
      <c r="R112"/>
      <c r="S112"/>
      <c r="T112"/>
      <c r="U112"/>
      <c r="V112"/>
      <c r="W112"/>
      <c r="X112"/>
      <c r="Y112"/>
      <c r="Z112"/>
      <c r="AA112"/>
      <c r="AB112"/>
    </row>
    <row r="113" spans="1:28" s="782" customFormat="1" ht="24.95" customHeight="1" x14ac:dyDescent="0.35">
      <c r="A113" s="968" t="s">
        <v>421</v>
      </c>
      <c r="B113" s="930" t="s">
        <v>663</v>
      </c>
      <c r="C113" s="925"/>
      <c r="D113" s="964" t="s">
        <v>90</v>
      </c>
      <c r="E113" s="964"/>
      <c r="F113" s="964"/>
      <c r="G113" s="964"/>
      <c r="H113" s="964" t="s">
        <v>571</v>
      </c>
      <c r="I113" s="965">
        <v>45000</v>
      </c>
      <c r="J113"/>
      <c r="K113"/>
      <c r="L113"/>
      <c r="M113"/>
      <c r="N113"/>
      <c r="O113"/>
      <c r="P113"/>
      <c r="Q113"/>
      <c r="R113"/>
      <c r="S113"/>
      <c r="T113"/>
      <c r="U113"/>
      <c r="V113"/>
      <c r="W113"/>
      <c r="X113"/>
      <c r="Y113"/>
      <c r="Z113"/>
      <c r="AA113"/>
      <c r="AB113"/>
    </row>
    <row r="114" spans="1:28" s="782" customFormat="1" ht="24.95" customHeight="1" x14ac:dyDescent="0.35">
      <c r="A114" s="968">
        <v>45883</v>
      </c>
      <c r="B114" s="930" t="s">
        <v>663</v>
      </c>
      <c r="C114" s="925"/>
      <c r="D114" s="964" t="s">
        <v>90</v>
      </c>
      <c r="E114" s="964"/>
      <c r="F114" s="964"/>
      <c r="G114" s="964"/>
      <c r="H114" s="964" t="s">
        <v>595</v>
      </c>
      <c r="I114" s="965">
        <v>152000</v>
      </c>
      <c r="J114"/>
      <c r="K114"/>
      <c r="L114"/>
      <c r="M114"/>
      <c r="N114"/>
      <c r="O114"/>
      <c r="P114"/>
      <c r="Q114"/>
      <c r="R114"/>
      <c r="S114"/>
      <c r="T114"/>
      <c r="U114"/>
      <c r="V114"/>
      <c r="W114"/>
      <c r="X114"/>
      <c r="Y114"/>
      <c r="Z114"/>
      <c r="AA114"/>
      <c r="AB114"/>
    </row>
    <row r="115" spans="1:28" s="941" customFormat="1" ht="24.95" customHeight="1" x14ac:dyDescent="0.35">
      <c r="A115" s="968">
        <v>45874</v>
      </c>
      <c r="B115" s="930" t="s">
        <v>664</v>
      </c>
      <c r="C115" s="925"/>
      <c r="D115" s="964" t="s">
        <v>92</v>
      </c>
      <c r="E115" s="964"/>
      <c r="F115" s="964"/>
      <c r="G115" s="964"/>
      <c r="H115" s="964" t="s">
        <v>585</v>
      </c>
      <c r="I115" s="965">
        <v>105000</v>
      </c>
      <c r="J115"/>
      <c r="K115"/>
      <c r="L115"/>
      <c r="M115"/>
      <c r="N115"/>
      <c r="O115"/>
      <c r="P115"/>
      <c r="Q115"/>
      <c r="R115"/>
      <c r="S115"/>
      <c r="T115"/>
      <c r="U115"/>
      <c r="V115"/>
      <c r="W115"/>
      <c r="X115"/>
      <c r="Y115"/>
      <c r="Z115"/>
      <c r="AA115"/>
      <c r="AB115"/>
    </row>
    <row r="116" spans="1:28" s="749" customFormat="1" ht="24.95" customHeight="1" x14ac:dyDescent="0.35">
      <c r="A116" s="968">
        <v>45876</v>
      </c>
      <c r="B116" s="930" t="s">
        <v>576</v>
      </c>
      <c r="C116" s="925"/>
      <c r="D116" s="964" t="s">
        <v>90</v>
      </c>
      <c r="E116" s="964"/>
      <c r="F116" s="964"/>
      <c r="G116" s="964"/>
      <c r="H116" s="964" t="s">
        <v>589</v>
      </c>
      <c r="I116" s="965">
        <v>11400</v>
      </c>
      <c r="J116"/>
      <c r="K116"/>
      <c r="L116"/>
      <c r="M116"/>
      <c r="N116"/>
      <c r="O116"/>
      <c r="P116"/>
      <c r="Q116"/>
      <c r="R116"/>
      <c r="S116"/>
      <c r="T116"/>
      <c r="U116"/>
      <c r="V116"/>
      <c r="W116"/>
      <c r="X116"/>
      <c r="Y116"/>
      <c r="Z116"/>
      <c r="AA116"/>
      <c r="AB116"/>
    </row>
    <row r="117" spans="1:28" s="749" customFormat="1" ht="24.95" customHeight="1" x14ac:dyDescent="0.35">
      <c r="A117" s="968">
        <v>45876</v>
      </c>
      <c r="B117" s="930" t="s">
        <v>591</v>
      </c>
      <c r="C117" s="925"/>
      <c r="D117" s="964" t="s">
        <v>92</v>
      </c>
      <c r="E117" s="964"/>
      <c r="F117" s="964"/>
      <c r="G117" s="964"/>
      <c r="H117" s="964" t="s">
        <v>592</v>
      </c>
      <c r="I117" s="965">
        <v>2350</v>
      </c>
      <c r="J117"/>
      <c r="K117"/>
      <c r="L117"/>
      <c r="M117"/>
      <c r="N117"/>
      <c r="O117"/>
      <c r="P117"/>
      <c r="Q117"/>
      <c r="R117"/>
      <c r="S117"/>
      <c r="T117"/>
      <c r="U117"/>
      <c r="V117"/>
      <c r="W117"/>
      <c r="X117"/>
      <c r="Y117"/>
      <c r="Z117"/>
      <c r="AA117"/>
      <c r="AB117"/>
    </row>
    <row r="118" spans="1:28" s="749" customFormat="1" ht="24.95" customHeight="1" x14ac:dyDescent="0.35">
      <c r="A118" s="968">
        <v>45881</v>
      </c>
      <c r="B118" s="930" t="s">
        <v>281</v>
      </c>
      <c r="C118" s="925"/>
      <c r="D118" s="964" t="s">
        <v>282</v>
      </c>
      <c r="E118" s="964"/>
      <c r="F118" s="964"/>
      <c r="G118" s="964"/>
      <c r="H118" s="964" t="s">
        <v>593</v>
      </c>
      <c r="I118" s="965">
        <v>237780</v>
      </c>
      <c r="J118"/>
      <c r="K118"/>
      <c r="L118"/>
      <c r="M118"/>
      <c r="N118"/>
      <c r="O118"/>
      <c r="P118"/>
      <c r="Q118"/>
      <c r="R118"/>
      <c r="S118"/>
      <c r="T118"/>
      <c r="U118"/>
      <c r="V118"/>
      <c r="W118"/>
      <c r="X118"/>
      <c r="Y118"/>
      <c r="Z118"/>
      <c r="AA118"/>
      <c r="AB118"/>
    </row>
    <row r="119" spans="1:28" s="749" customFormat="1" ht="24.95" customHeight="1" x14ac:dyDescent="0.35">
      <c r="A119" s="968">
        <v>45772</v>
      </c>
      <c r="B119" s="930" t="s">
        <v>596</v>
      </c>
      <c r="C119" s="925"/>
      <c r="D119" s="964" t="s">
        <v>92</v>
      </c>
      <c r="E119" s="964"/>
      <c r="F119" s="964"/>
      <c r="G119" s="964"/>
      <c r="H119" s="964" t="s">
        <v>597</v>
      </c>
      <c r="I119" s="965">
        <v>142240</v>
      </c>
      <c r="J119"/>
      <c r="K119"/>
      <c r="L119"/>
      <c r="M119"/>
      <c r="N119"/>
      <c r="O119"/>
      <c r="P119"/>
      <c r="Q119"/>
      <c r="R119"/>
      <c r="S119"/>
      <c r="T119"/>
      <c r="U119"/>
      <c r="V119"/>
      <c r="W119"/>
      <c r="X119"/>
      <c r="Y119"/>
      <c r="Z119"/>
      <c r="AA119"/>
      <c r="AB119"/>
    </row>
    <row r="120" spans="1:28" s="749" customFormat="1" ht="24.95" customHeight="1" x14ac:dyDescent="0.35">
      <c r="A120" s="968">
        <v>45896</v>
      </c>
      <c r="B120" s="930" t="s">
        <v>619</v>
      </c>
      <c r="C120" s="925"/>
      <c r="D120" s="964" t="s">
        <v>221</v>
      </c>
      <c r="E120" s="964"/>
      <c r="F120" s="964"/>
      <c r="G120" s="964"/>
      <c r="H120" s="964" t="s">
        <v>620</v>
      </c>
      <c r="I120" s="965">
        <v>176994</v>
      </c>
      <c r="J120"/>
      <c r="K120"/>
      <c r="L120"/>
      <c r="M120"/>
      <c r="N120"/>
      <c r="O120"/>
      <c r="P120"/>
      <c r="Q120"/>
      <c r="R120"/>
      <c r="S120"/>
      <c r="T120"/>
      <c r="U120"/>
      <c r="V120"/>
      <c r="W120"/>
      <c r="X120"/>
      <c r="Y120"/>
      <c r="Z120"/>
      <c r="AA120"/>
      <c r="AB120"/>
    </row>
    <row r="121" spans="1:28" s="782" customFormat="1" ht="24.95" customHeight="1" x14ac:dyDescent="0.35">
      <c r="A121" s="968">
        <v>45897</v>
      </c>
      <c r="B121" s="930" t="s">
        <v>666</v>
      </c>
      <c r="C121" s="925"/>
      <c r="D121" s="964" t="s">
        <v>92</v>
      </c>
      <c r="E121" s="964"/>
      <c r="F121" s="964"/>
      <c r="G121" s="964"/>
      <c r="H121" s="964" t="s">
        <v>602</v>
      </c>
      <c r="I121" s="965">
        <v>3500</v>
      </c>
      <c r="J121"/>
      <c r="K121"/>
      <c r="L121"/>
      <c r="M121"/>
      <c r="N121"/>
      <c r="O121"/>
      <c r="P121"/>
      <c r="Q121"/>
      <c r="R121"/>
      <c r="S121"/>
      <c r="T121"/>
      <c r="U121"/>
      <c r="V121"/>
      <c r="W121"/>
      <c r="X121"/>
      <c r="Y121"/>
      <c r="Z121"/>
      <c r="AA121"/>
      <c r="AB121"/>
    </row>
    <row r="122" spans="1:28" s="782" customFormat="1" ht="24.95" customHeight="1" x14ac:dyDescent="0.35">
      <c r="A122" s="968">
        <v>45908</v>
      </c>
      <c r="B122" s="930" t="s">
        <v>614</v>
      </c>
      <c r="C122" s="925"/>
      <c r="D122" s="964" t="s">
        <v>92</v>
      </c>
      <c r="E122" s="964"/>
      <c r="F122" s="964"/>
      <c r="G122" s="964"/>
      <c r="H122" s="964" t="s">
        <v>615</v>
      </c>
      <c r="I122" s="965" t="s">
        <v>419</v>
      </c>
      <c r="J122"/>
      <c r="K122"/>
      <c r="L122"/>
      <c r="M122"/>
      <c r="N122"/>
      <c r="O122"/>
      <c r="P122"/>
      <c r="Q122"/>
      <c r="R122"/>
      <c r="S122"/>
      <c r="T122"/>
      <c r="U122"/>
      <c r="V122"/>
      <c r="W122"/>
      <c r="X122"/>
      <c r="Y122"/>
      <c r="Z122"/>
      <c r="AA122"/>
      <c r="AB122"/>
    </row>
    <row r="123" spans="1:28" s="782" customFormat="1" ht="24.95" customHeight="1" x14ac:dyDescent="0.35">
      <c r="A123" s="968">
        <v>45923</v>
      </c>
      <c r="B123" s="930" t="s">
        <v>614</v>
      </c>
      <c r="C123" s="925"/>
      <c r="D123" s="964" t="s">
        <v>92</v>
      </c>
      <c r="E123" s="964"/>
      <c r="F123" s="964"/>
      <c r="G123" s="964"/>
      <c r="H123" s="964" t="s">
        <v>626</v>
      </c>
      <c r="I123" s="965" t="s">
        <v>419</v>
      </c>
      <c r="J123"/>
      <c r="K123"/>
      <c r="L123"/>
      <c r="M123"/>
      <c r="N123"/>
      <c r="O123"/>
      <c r="P123"/>
      <c r="Q123"/>
      <c r="R123"/>
      <c r="S123"/>
      <c r="T123"/>
      <c r="U123"/>
      <c r="V123"/>
      <c r="W123"/>
      <c r="X123"/>
      <c r="Y123"/>
      <c r="Z123"/>
      <c r="AA123"/>
      <c r="AB123"/>
    </row>
    <row r="124" spans="1:28" s="782" customFormat="1" ht="24.95" customHeight="1" x14ac:dyDescent="0.35">
      <c r="A124" s="968">
        <v>45909</v>
      </c>
      <c r="B124" s="930" t="s">
        <v>617</v>
      </c>
      <c r="C124" s="925"/>
      <c r="D124" s="964" t="s">
        <v>92</v>
      </c>
      <c r="E124" s="964"/>
      <c r="F124" s="964"/>
      <c r="G124" s="964"/>
      <c r="H124" s="964" t="s">
        <v>618</v>
      </c>
      <c r="I124" s="965">
        <v>193995</v>
      </c>
      <c r="J124"/>
      <c r="K124"/>
      <c r="L124"/>
      <c r="M124"/>
      <c r="N124"/>
      <c r="O124"/>
      <c r="P124"/>
      <c r="Q124"/>
      <c r="R124"/>
      <c r="S124"/>
      <c r="T124"/>
      <c r="U124"/>
      <c r="V124"/>
      <c r="W124"/>
      <c r="X124"/>
      <c r="Y124"/>
      <c r="Z124"/>
      <c r="AA124"/>
      <c r="AB124"/>
    </row>
    <row r="125" spans="1:28" s="782" customFormat="1" ht="24.95" customHeight="1" x14ac:dyDescent="0.35">
      <c r="A125" s="968">
        <v>45911</v>
      </c>
      <c r="B125" s="930" t="s">
        <v>617</v>
      </c>
      <c r="C125" s="925"/>
      <c r="D125" s="964" t="s">
        <v>92</v>
      </c>
      <c r="E125" s="964"/>
      <c r="F125" s="964"/>
      <c r="G125" s="964"/>
      <c r="H125" s="964" t="s">
        <v>624</v>
      </c>
      <c r="I125" s="965">
        <v>5400</v>
      </c>
      <c r="J125"/>
      <c r="K125"/>
      <c r="L125"/>
      <c r="M125"/>
      <c r="N125"/>
      <c r="O125"/>
      <c r="P125"/>
      <c r="Q125"/>
      <c r="R125"/>
      <c r="S125"/>
      <c r="T125"/>
      <c r="U125"/>
      <c r="V125"/>
      <c r="W125"/>
      <c r="X125"/>
      <c r="Y125"/>
      <c r="Z125"/>
      <c r="AA125"/>
      <c r="AB125"/>
    </row>
    <row r="126" spans="1:28" s="941" customFormat="1" ht="24.95" customHeight="1" x14ac:dyDescent="0.35">
      <c r="A126" s="968">
        <v>45912</v>
      </c>
      <c r="B126" s="930" t="s">
        <v>617</v>
      </c>
      <c r="C126" s="925"/>
      <c r="D126" s="964" t="s">
        <v>92</v>
      </c>
      <c r="E126" s="964"/>
      <c r="F126" s="964"/>
      <c r="G126" s="964"/>
      <c r="H126" s="964" t="s">
        <v>625</v>
      </c>
      <c r="I126" s="965">
        <v>5400</v>
      </c>
      <c r="J126"/>
      <c r="K126"/>
      <c r="L126"/>
      <c r="M126"/>
      <c r="N126"/>
      <c r="O126"/>
      <c r="P126"/>
      <c r="Q126"/>
      <c r="R126"/>
      <c r="S126"/>
      <c r="T126"/>
      <c r="U126"/>
      <c r="V126"/>
      <c r="W126"/>
      <c r="X126"/>
      <c r="Y126"/>
      <c r="Z126"/>
      <c r="AA126"/>
      <c r="AB126"/>
    </row>
    <row r="127" spans="1:28" s="749" customFormat="1" ht="24.95" customHeight="1" x14ac:dyDescent="0.35">
      <c r="A127" s="968">
        <v>45929</v>
      </c>
      <c r="B127" s="930" t="s">
        <v>617</v>
      </c>
      <c r="C127" s="925"/>
      <c r="D127" s="964" t="s">
        <v>92</v>
      </c>
      <c r="E127" s="964"/>
      <c r="F127" s="964"/>
      <c r="G127" s="964"/>
      <c r="H127" s="964" t="s">
        <v>667</v>
      </c>
      <c r="I127" s="965">
        <v>180000</v>
      </c>
      <c r="J127"/>
      <c r="K127"/>
      <c r="L127"/>
      <c r="M127"/>
      <c r="N127"/>
      <c r="O127"/>
      <c r="P127"/>
      <c r="Q127"/>
      <c r="R127"/>
      <c r="S127"/>
      <c r="T127"/>
      <c r="U127"/>
      <c r="V127"/>
      <c r="W127"/>
      <c r="X127"/>
      <c r="Y127"/>
      <c r="Z127"/>
      <c r="AA127"/>
      <c r="AB127"/>
    </row>
    <row r="128" spans="1:28" s="749" customFormat="1" ht="24.95" customHeight="1" x14ac:dyDescent="0.35">
      <c r="A128" s="968">
        <v>45944</v>
      </c>
      <c r="B128" s="930" t="s">
        <v>636</v>
      </c>
      <c r="C128" s="925"/>
      <c r="D128" s="964" t="s">
        <v>92</v>
      </c>
      <c r="E128" s="964"/>
      <c r="F128" s="964"/>
      <c r="G128" s="964"/>
      <c r="H128" s="964" t="s">
        <v>637</v>
      </c>
      <c r="I128" s="965">
        <v>79500</v>
      </c>
      <c r="J128"/>
      <c r="K128"/>
      <c r="L128"/>
      <c r="M128"/>
      <c r="N128"/>
      <c r="O128"/>
      <c r="P128"/>
      <c r="Q128"/>
      <c r="R128"/>
      <c r="S128"/>
      <c r="T128"/>
      <c r="U128"/>
      <c r="V128"/>
      <c r="W128"/>
      <c r="X128"/>
      <c r="Y128"/>
      <c r="Z128"/>
      <c r="AA128"/>
      <c r="AB128"/>
    </row>
    <row r="129" spans="1:28" s="749" customFormat="1" ht="24.95" customHeight="1" x14ac:dyDescent="0.35">
      <c r="A129" s="968">
        <v>45953</v>
      </c>
      <c r="B129" s="930" t="s">
        <v>642</v>
      </c>
      <c r="C129" s="925"/>
      <c r="D129" s="964" t="s">
        <v>90</v>
      </c>
      <c r="E129" s="964"/>
      <c r="F129" s="964"/>
      <c r="G129" s="964"/>
      <c r="H129" s="964" t="s">
        <v>643</v>
      </c>
      <c r="I129" s="965">
        <v>179500</v>
      </c>
      <c r="J129"/>
      <c r="K129"/>
      <c r="L129"/>
      <c r="M129"/>
      <c r="N129"/>
      <c r="O129"/>
      <c r="P129"/>
      <c r="Q129"/>
      <c r="R129"/>
      <c r="S129"/>
      <c r="T129"/>
      <c r="U129"/>
      <c r="V129"/>
      <c r="W129"/>
      <c r="X129"/>
      <c r="Y129"/>
      <c r="Z129"/>
      <c r="AA129"/>
      <c r="AB129"/>
    </row>
    <row r="130" spans="1:28" s="889" customFormat="1" ht="24.95" customHeight="1" x14ac:dyDescent="0.35">
      <c r="A130" s="939"/>
      <c r="B130" s="984" t="s">
        <v>7</v>
      </c>
      <c r="C130" s="700"/>
      <c r="D130" s="612" t="s">
        <v>140</v>
      </c>
      <c r="E130" s="612"/>
      <c r="F130" s="700"/>
      <c r="G130" s="700"/>
      <c r="H130" s="614"/>
      <c r="I130" s="891">
        <f>SUM(I8:I129)</f>
        <v>22748541.130000003</v>
      </c>
      <c r="J130"/>
      <c r="K130"/>
      <c r="L130"/>
      <c r="M130"/>
      <c r="N130"/>
      <c r="O130"/>
      <c r="P130"/>
      <c r="Q130"/>
      <c r="R130"/>
      <c r="S130"/>
      <c r="T130"/>
      <c r="U130"/>
      <c r="V130"/>
      <c r="W130"/>
      <c r="X130"/>
      <c r="Y130"/>
      <c r="Z130"/>
      <c r="AA130"/>
      <c r="AB130"/>
    </row>
    <row r="131" spans="1:28" ht="24.95" customHeight="1" x14ac:dyDescent="0.35">
      <c r="A131" s="940" t="s">
        <v>64</v>
      </c>
      <c r="G131" s="658" t="s">
        <v>64</v>
      </c>
    </row>
    <row r="132" spans="1:28" ht="24.95" customHeight="1" x14ac:dyDescent="0.35"/>
    <row r="133" spans="1:28" ht="24.95" customHeight="1" x14ac:dyDescent="0.35">
      <c r="F133" s="524" t="s">
        <v>486</v>
      </c>
    </row>
    <row r="134" spans="1:28" ht="24.95" customHeight="1" x14ac:dyDescent="0.35">
      <c r="G134" s="658" t="s">
        <v>64</v>
      </c>
    </row>
    <row r="135" spans="1:28" ht="23.25" customHeight="1" x14ac:dyDescent="0.35">
      <c r="D135" s="524"/>
      <c r="E135" s="524"/>
      <c r="H135" s="524"/>
      <c r="I135" s="524"/>
    </row>
    <row r="136" spans="1:28" ht="24.95" customHeight="1" x14ac:dyDescent="0.35"/>
    <row r="137" spans="1:28" ht="24.95" customHeight="1" x14ac:dyDescent="0.35"/>
    <row r="138" spans="1:28" ht="24.95" customHeight="1" x14ac:dyDescent="0.35"/>
    <row r="139" spans="1:28" ht="24.95" customHeight="1" x14ac:dyDescent="0.35"/>
    <row r="140" spans="1:28" ht="24.95" customHeight="1" x14ac:dyDescent="0.35"/>
    <row r="141" spans="1:28" ht="24.95" customHeight="1" x14ac:dyDescent="0.35"/>
    <row r="142" spans="1:28" ht="24.95" customHeight="1" x14ac:dyDescent="0.35"/>
    <row r="143" spans="1:28" ht="24.95" customHeight="1" x14ac:dyDescent="0.35"/>
    <row r="144" spans="1:28" ht="24.95" customHeight="1" x14ac:dyDescent="0.35"/>
    <row r="145" ht="24.95" customHeight="1" x14ac:dyDescent="0.35"/>
    <row r="146" ht="24.95" customHeight="1" x14ac:dyDescent="0.35"/>
    <row r="147" ht="24.95" customHeight="1" x14ac:dyDescent="0.35"/>
    <row r="148" ht="24.95" customHeight="1" x14ac:dyDescent="0.35"/>
  </sheetData>
  <pageMargins left="0.70866141732283472" right="0.70866141732283472" top="0.74803149606299213" bottom="0.74803149606299213" header="0.31496062992125984" footer="0.31496062992125984"/>
  <pageSetup paperSize="9" scale="60" fitToWidth="0" orientation="landscape"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1"/>
  <sheetViews>
    <sheetView workbookViewId="0">
      <pane ySplit="6" topLeftCell="A73" activePane="bottomLeft" state="frozen"/>
      <selection pane="bottomLeft" sqref="A1:XFD1048576"/>
    </sheetView>
  </sheetViews>
  <sheetFormatPr defaultColWidth="23.85546875" defaultRowHeight="23.25" x14ac:dyDescent="0.35"/>
  <cols>
    <col min="1" max="1" width="23.85546875" style="940"/>
    <col min="2" max="2" width="56.28515625" style="657" customWidth="1"/>
    <col min="3" max="3" width="15.8554687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668</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2</v>
      </c>
      <c r="D6" s="547" t="s">
        <v>89</v>
      </c>
      <c r="E6" s="547" t="s">
        <v>104</v>
      </c>
      <c r="F6" s="546" t="s">
        <v>646</v>
      </c>
      <c r="G6" s="546" t="s">
        <v>3</v>
      </c>
      <c r="H6" s="546" t="s">
        <v>4</v>
      </c>
      <c r="I6" s="550" t="s">
        <v>11</v>
      </c>
      <c r="J6"/>
      <c r="K6"/>
      <c r="L6"/>
      <c r="M6"/>
      <c r="N6"/>
      <c r="O6"/>
      <c r="P6"/>
      <c r="Q6"/>
      <c r="R6"/>
      <c r="S6"/>
      <c r="T6"/>
      <c r="U6"/>
      <c r="V6"/>
      <c r="W6"/>
      <c r="X6"/>
      <c r="Y6"/>
      <c r="Z6"/>
      <c r="AA6"/>
      <c r="AB6"/>
    </row>
    <row r="7" spans="1:28" s="565" customFormat="1" ht="24.95" customHeight="1" x14ac:dyDescent="0.35">
      <c r="A7" s="937"/>
      <c r="B7" s="547"/>
      <c r="C7" s="546"/>
      <c r="D7" s="547"/>
      <c r="E7" s="547"/>
      <c r="F7" s="546"/>
      <c r="G7" s="546"/>
      <c r="H7" s="548"/>
      <c r="I7" s="550"/>
      <c r="J7"/>
      <c r="K7"/>
      <c r="L7"/>
      <c r="M7"/>
      <c r="N7"/>
      <c r="O7"/>
      <c r="P7"/>
      <c r="Q7"/>
      <c r="R7"/>
      <c r="S7"/>
      <c r="T7"/>
      <c r="U7"/>
      <c r="V7"/>
      <c r="W7"/>
      <c r="X7"/>
      <c r="Y7"/>
      <c r="Z7"/>
      <c r="AA7"/>
      <c r="AB7"/>
    </row>
    <row r="8" spans="1:28" s="760" customFormat="1" ht="24.95" customHeight="1" x14ac:dyDescent="0.35">
      <c r="A8" s="967">
        <v>43878</v>
      </c>
      <c r="B8" s="930" t="s">
        <v>63</v>
      </c>
      <c r="C8" s="925"/>
      <c r="D8" s="925" t="s">
        <v>90</v>
      </c>
      <c r="E8" s="925"/>
      <c r="F8" s="925"/>
      <c r="G8" s="925"/>
      <c r="H8" s="925" t="s">
        <v>102</v>
      </c>
      <c r="I8" s="965">
        <v>33421.01</v>
      </c>
      <c r="J8"/>
      <c r="K8"/>
      <c r="L8"/>
      <c r="M8"/>
      <c r="N8"/>
      <c r="O8"/>
      <c r="P8"/>
      <c r="Q8"/>
      <c r="R8"/>
      <c r="S8"/>
      <c r="T8"/>
      <c r="U8"/>
      <c r="V8"/>
      <c r="W8"/>
      <c r="X8"/>
      <c r="Y8"/>
      <c r="Z8"/>
      <c r="AA8"/>
      <c r="AB8"/>
    </row>
    <row r="9" spans="1:28" s="771" customFormat="1" ht="24.95" customHeight="1" x14ac:dyDescent="0.35">
      <c r="A9" s="968">
        <v>44092</v>
      </c>
      <c r="B9" s="930" t="s">
        <v>647</v>
      </c>
      <c r="C9" s="925"/>
      <c r="D9" s="925" t="s">
        <v>92</v>
      </c>
      <c r="E9" s="925"/>
      <c r="F9" s="925"/>
      <c r="G9" s="964"/>
      <c r="H9" s="964" t="s">
        <v>648</v>
      </c>
      <c r="I9" s="966">
        <v>108000</v>
      </c>
      <c r="J9"/>
      <c r="K9"/>
      <c r="L9"/>
      <c r="M9"/>
      <c r="N9"/>
      <c r="O9"/>
      <c r="P9"/>
      <c r="Q9"/>
      <c r="R9"/>
      <c r="S9"/>
      <c r="T9"/>
      <c r="U9"/>
      <c r="V9"/>
      <c r="W9"/>
      <c r="X9"/>
      <c r="Y9"/>
      <c r="Z9"/>
      <c r="AA9"/>
      <c r="AB9"/>
    </row>
    <row r="10" spans="1:28" s="782" customFormat="1" ht="24.95" customHeight="1" x14ac:dyDescent="0.35">
      <c r="A10" s="968">
        <v>44352</v>
      </c>
      <c r="B10" s="930" t="s">
        <v>107</v>
      </c>
      <c r="C10" s="925"/>
      <c r="D10" s="925" t="s">
        <v>90</v>
      </c>
      <c r="E10" s="925"/>
      <c r="F10" s="964"/>
      <c r="G10" s="964">
        <v>1918</v>
      </c>
      <c r="H10" s="964">
        <v>4457</v>
      </c>
      <c r="I10" s="966">
        <v>36289.599999999999</v>
      </c>
      <c r="J10"/>
      <c r="K10"/>
      <c r="L10"/>
      <c r="M10"/>
      <c r="N10"/>
      <c r="O10"/>
      <c r="P10"/>
      <c r="Q10"/>
      <c r="R10"/>
      <c r="S10"/>
      <c r="T10"/>
      <c r="U10"/>
      <c r="V10"/>
      <c r="W10"/>
      <c r="X10"/>
      <c r="Y10"/>
      <c r="Z10"/>
      <c r="AA10"/>
      <c r="AB10"/>
    </row>
    <row r="11" spans="1:28" s="782" customFormat="1" ht="24.95" customHeight="1" x14ac:dyDescent="0.35">
      <c r="A11" s="968">
        <v>44413</v>
      </c>
      <c r="B11" s="930" t="s">
        <v>107</v>
      </c>
      <c r="C11" s="925"/>
      <c r="D11" s="925" t="s">
        <v>90</v>
      </c>
      <c r="E11" s="925"/>
      <c r="F11" s="964"/>
      <c r="G11" s="964"/>
      <c r="H11" s="964">
        <v>4457</v>
      </c>
      <c r="I11" s="966">
        <v>176976.8</v>
      </c>
      <c r="J11"/>
      <c r="K11"/>
      <c r="L11"/>
      <c r="M11"/>
      <c r="N11"/>
      <c r="O11"/>
      <c r="P11"/>
      <c r="Q11"/>
      <c r="R11"/>
      <c r="S11"/>
      <c r="T11"/>
      <c r="U11"/>
      <c r="V11"/>
      <c r="W11"/>
      <c r="X11"/>
      <c r="Y11"/>
      <c r="Z11"/>
      <c r="AA11"/>
      <c r="AB11"/>
    </row>
    <row r="12" spans="1:28" s="782" customFormat="1" ht="24.95" customHeight="1" x14ac:dyDescent="0.35">
      <c r="A12" s="968">
        <v>44420</v>
      </c>
      <c r="B12" s="930" t="s">
        <v>108</v>
      </c>
      <c r="C12" s="925"/>
      <c r="D12" s="925" t="s">
        <v>90</v>
      </c>
      <c r="E12" s="925"/>
      <c r="F12" s="964"/>
      <c r="G12" s="964"/>
      <c r="H12" s="964" t="s">
        <v>120</v>
      </c>
      <c r="I12" s="965">
        <v>470000</v>
      </c>
      <c r="J12"/>
      <c r="K12"/>
      <c r="L12"/>
      <c r="M12"/>
      <c r="N12"/>
      <c r="O12"/>
      <c r="P12"/>
      <c r="Q12"/>
      <c r="R12"/>
      <c r="S12"/>
      <c r="T12"/>
      <c r="U12"/>
      <c r="V12"/>
      <c r="W12"/>
      <c r="X12"/>
      <c r="Y12"/>
      <c r="Z12"/>
      <c r="AA12"/>
      <c r="AB12"/>
    </row>
    <row r="13" spans="1:28" s="775" customFormat="1" ht="24.95" customHeight="1" x14ac:dyDescent="0.35">
      <c r="A13" s="968">
        <v>44480</v>
      </c>
      <c r="B13" s="930" t="s">
        <v>43</v>
      </c>
      <c r="C13" s="925"/>
      <c r="D13" s="964" t="s">
        <v>90</v>
      </c>
      <c r="E13" s="964"/>
      <c r="F13" s="964"/>
      <c r="G13" s="925">
        <v>2019</v>
      </c>
      <c r="H13" s="964" t="s">
        <v>132</v>
      </c>
      <c r="I13" s="965">
        <v>147281.20000000001</v>
      </c>
      <c r="J13"/>
      <c r="K13"/>
      <c r="L13"/>
      <c r="M13"/>
      <c r="N13"/>
      <c r="O13"/>
      <c r="P13"/>
      <c r="Q13"/>
      <c r="R13"/>
      <c r="S13"/>
      <c r="T13"/>
      <c r="U13"/>
      <c r="V13"/>
      <c r="W13"/>
      <c r="X13"/>
      <c r="Y13"/>
      <c r="Z13"/>
      <c r="AA13"/>
      <c r="AB13"/>
    </row>
    <row r="14" spans="1:28" s="775" customFormat="1" ht="24.95" customHeight="1" x14ac:dyDescent="0.35">
      <c r="A14" s="968">
        <v>44824</v>
      </c>
      <c r="B14" s="930" t="s">
        <v>43</v>
      </c>
      <c r="C14" s="925"/>
      <c r="D14" s="964" t="s">
        <v>90</v>
      </c>
      <c r="E14" s="964"/>
      <c r="F14" s="964"/>
      <c r="G14" s="925">
        <v>2162</v>
      </c>
      <c r="H14" s="964">
        <v>5218</v>
      </c>
      <c r="I14" s="965">
        <v>54650</v>
      </c>
      <c r="J14"/>
      <c r="K14"/>
      <c r="L14"/>
      <c r="M14"/>
      <c r="N14"/>
      <c r="O14"/>
      <c r="P14"/>
      <c r="Q14"/>
      <c r="R14"/>
      <c r="S14"/>
      <c r="T14"/>
      <c r="U14"/>
      <c r="V14"/>
      <c r="W14"/>
      <c r="X14"/>
      <c r="Y14"/>
      <c r="Z14"/>
      <c r="AA14"/>
      <c r="AB14"/>
    </row>
    <row r="15" spans="1:28" s="775" customFormat="1" ht="24.95" customHeight="1" x14ac:dyDescent="0.35">
      <c r="A15" s="968">
        <v>44839</v>
      </c>
      <c r="B15" s="930" t="s">
        <v>43</v>
      </c>
      <c r="C15" s="925"/>
      <c r="D15" s="964" t="s">
        <v>90</v>
      </c>
      <c r="E15" s="964"/>
      <c r="F15" s="964"/>
      <c r="G15" s="925">
        <v>2140</v>
      </c>
      <c r="H15" s="964">
        <v>5248</v>
      </c>
      <c r="I15" s="965">
        <v>25000</v>
      </c>
      <c r="J15"/>
      <c r="K15"/>
      <c r="L15"/>
      <c r="M15"/>
      <c r="N15"/>
      <c r="O15"/>
      <c r="P15"/>
      <c r="Q15"/>
      <c r="R15"/>
      <c r="S15"/>
      <c r="T15"/>
      <c r="U15"/>
      <c r="V15"/>
      <c r="W15"/>
      <c r="X15"/>
      <c r="Y15"/>
      <c r="Z15"/>
      <c r="AA15"/>
      <c r="AB15"/>
    </row>
    <row r="16" spans="1:28" s="775" customFormat="1" ht="24.95" customHeight="1" x14ac:dyDescent="0.35">
      <c r="A16" s="968">
        <v>45458</v>
      </c>
      <c r="B16" s="930" t="s">
        <v>43</v>
      </c>
      <c r="C16" s="925"/>
      <c r="D16" s="964" t="s">
        <v>90</v>
      </c>
      <c r="E16" s="964"/>
      <c r="F16" s="964"/>
      <c r="G16" s="925">
        <v>2355</v>
      </c>
      <c r="H16" s="964" t="s">
        <v>290</v>
      </c>
      <c r="I16" s="965">
        <v>11059.82</v>
      </c>
      <c r="J16"/>
      <c r="K16"/>
      <c r="L16"/>
      <c r="M16"/>
      <c r="N16"/>
      <c r="O16"/>
      <c r="P16"/>
      <c r="Q16"/>
      <c r="R16"/>
      <c r="S16"/>
      <c r="T16"/>
      <c r="U16"/>
      <c r="V16"/>
      <c r="W16"/>
      <c r="X16"/>
      <c r="Y16"/>
      <c r="Z16"/>
      <c r="AA16"/>
      <c r="AB16"/>
    </row>
    <row r="17" spans="1:28" s="775" customFormat="1" ht="24.95" customHeight="1" x14ac:dyDescent="0.35">
      <c r="A17" s="968" t="s">
        <v>421</v>
      </c>
      <c r="B17" s="930" t="s">
        <v>43</v>
      </c>
      <c r="C17" s="925"/>
      <c r="D17" s="964" t="s">
        <v>90</v>
      </c>
      <c r="E17" s="964"/>
      <c r="F17" s="964"/>
      <c r="G17" s="925"/>
      <c r="H17" s="964">
        <v>5987</v>
      </c>
      <c r="I17" s="965" t="s">
        <v>419</v>
      </c>
      <c r="J17"/>
      <c r="K17"/>
      <c r="L17"/>
      <c r="M17"/>
      <c r="N17"/>
      <c r="O17"/>
      <c r="P17"/>
      <c r="Q17"/>
      <c r="R17"/>
      <c r="S17"/>
      <c r="T17"/>
      <c r="U17"/>
      <c r="V17"/>
      <c r="W17"/>
      <c r="X17"/>
      <c r="Y17"/>
      <c r="Z17"/>
      <c r="AA17"/>
      <c r="AB17"/>
    </row>
    <row r="18" spans="1:28" s="775" customFormat="1" ht="24.95" customHeight="1" x14ac:dyDescent="0.35">
      <c r="A18" s="968">
        <v>45875</v>
      </c>
      <c r="B18" s="930" t="s">
        <v>43</v>
      </c>
      <c r="C18" s="925"/>
      <c r="D18" s="964" t="s">
        <v>90</v>
      </c>
      <c r="E18" s="964"/>
      <c r="F18" s="964"/>
      <c r="G18" s="925"/>
      <c r="H18" s="964" t="s">
        <v>586</v>
      </c>
      <c r="I18" s="965" t="s">
        <v>419</v>
      </c>
      <c r="J18"/>
      <c r="K18"/>
      <c r="L18"/>
      <c r="M18"/>
      <c r="N18"/>
      <c r="O18"/>
      <c r="P18"/>
      <c r="Q18"/>
      <c r="R18"/>
      <c r="S18"/>
      <c r="T18"/>
      <c r="U18"/>
      <c r="V18"/>
      <c r="W18"/>
      <c r="X18"/>
      <c r="Y18"/>
      <c r="Z18"/>
      <c r="AA18"/>
      <c r="AB18"/>
    </row>
    <row r="19" spans="1:28" s="775" customFormat="1" ht="24.95" customHeight="1" x14ac:dyDescent="0.35">
      <c r="A19" s="968" t="s">
        <v>421</v>
      </c>
      <c r="B19" s="930" t="s">
        <v>43</v>
      </c>
      <c r="C19" s="925"/>
      <c r="D19" s="964" t="s">
        <v>90</v>
      </c>
      <c r="E19" s="964"/>
      <c r="F19" s="964"/>
      <c r="G19" s="925"/>
      <c r="H19" s="964" t="s">
        <v>600</v>
      </c>
      <c r="I19" s="965">
        <v>250952.38</v>
      </c>
      <c r="J19"/>
      <c r="K19"/>
      <c r="L19"/>
      <c r="M19"/>
      <c r="N19"/>
      <c r="O19"/>
      <c r="P19"/>
      <c r="Q19"/>
      <c r="R19"/>
      <c r="S19"/>
      <c r="T19"/>
      <c r="U19"/>
      <c r="V19"/>
      <c r="W19"/>
      <c r="X19"/>
      <c r="Y19"/>
      <c r="Z19"/>
      <c r="AA19"/>
      <c r="AB19"/>
    </row>
    <row r="20" spans="1:28" s="775" customFormat="1" ht="24.95" customHeight="1" x14ac:dyDescent="0.35">
      <c r="A20" s="968">
        <v>45971</v>
      </c>
      <c r="B20" s="930" t="s">
        <v>43</v>
      </c>
      <c r="C20" s="925"/>
      <c r="D20" s="964" t="s">
        <v>90</v>
      </c>
      <c r="E20" s="964"/>
      <c r="F20" s="964" t="s">
        <v>674</v>
      </c>
      <c r="G20" s="925"/>
      <c r="H20" s="964" t="s">
        <v>675</v>
      </c>
      <c r="I20" s="965">
        <v>437500</v>
      </c>
      <c r="J20"/>
      <c r="K20"/>
      <c r="L20"/>
      <c r="M20"/>
      <c r="N20"/>
      <c r="O20"/>
      <c r="P20"/>
      <c r="Q20"/>
      <c r="R20"/>
      <c r="S20"/>
      <c r="T20"/>
      <c r="U20"/>
      <c r="V20"/>
      <c r="W20"/>
      <c r="X20"/>
      <c r="Y20"/>
      <c r="Z20"/>
      <c r="AA20"/>
      <c r="AB20"/>
    </row>
    <row r="21" spans="1:28" s="782" customFormat="1" ht="24.95" customHeight="1" x14ac:dyDescent="0.35">
      <c r="A21" s="968">
        <v>44589</v>
      </c>
      <c r="B21" s="930" t="s">
        <v>125</v>
      </c>
      <c r="C21" s="925"/>
      <c r="D21" s="925" t="s">
        <v>90</v>
      </c>
      <c r="E21" s="925"/>
      <c r="F21" s="964"/>
      <c r="G21" s="964"/>
      <c r="H21" s="964">
        <v>4880</v>
      </c>
      <c r="I21" s="965">
        <v>37000</v>
      </c>
      <c r="J21"/>
      <c r="K21"/>
      <c r="L21"/>
      <c r="M21"/>
      <c r="N21"/>
      <c r="O21"/>
      <c r="P21"/>
      <c r="Q21"/>
      <c r="R21"/>
      <c r="S21"/>
      <c r="T21"/>
      <c r="U21"/>
      <c r="V21"/>
      <c r="W21"/>
      <c r="X21"/>
      <c r="Y21"/>
      <c r="Z21"/>
      <c r="AA21"/>
      <c r="AB21"/>
    </row>
    <row r="22" spans="1:28" s="782" customFormat="1" ht="24.95" customHeight="1" x14ac:dyDescent="0.35">
      <c r="A22" s="968">
        <v>44607</v>
      </c>
      <c r="B22" s="930" t="s">
        <v>649</v>
      </c>
      <c r="C22" s="925"/>
      <c r="D22" s="925" t="s">
        <v>90</v>
      </c>
      <c r="E22" s="925">
        <v>736</v>
      </c>
      <c r="F22" s="964"/>
      <c r="G22" s="964"/>
      <c r="H22" s="964" t="s">
        <v>131</v>
      </c>
      <c r="I22" s="965">
        <v>16076.04</v>
      </c>
      <c r="J22"/>
      <c r="K22"/>
      <c r="L22"/>
      <c r="M22"/>
      <c r="N22"/>
      <c r="O22"/>
      <c r="P22"/>
      <c r="Q22"/>
      <c r="R22"/>
      <c r="S22"/>
      <c r="T22"/>
      <c r="U22"/>
      <c r="V22"/>
      <c r="W22"/>
      <c r="X22"/>
      <c r="Y22"/>
      <c r="Z22"/>
      <c r="AA22"/>
      <c r="AB22"/>
    </row>
    <row r="23" spans="1:28" s="749" customFormat="1" ht="24.95" customHeight="1" x14ac:dyDescent="0.35">
      <c r="A23" s="968">
        <v>44609</v>
      </c>
      <c r="B23" s="930" t="s">
        <v>649</v>
      </c>
      <c r="C23" s="925"/>
      <c r="D23" s="964" t="s">
        <v>90</v>
      </c>
      <c r="E23" s="964">
        <v>734</v>
      </c>
      <c r="F23" s="964"/>
      <c r="G23" s="964"/>
      <c r="H23" s="964" t="s">
        <v>118</v>
      </c>
      <c r="I23" s="965">
        <v>7186.99</v>
      </c>
      <c r="J23"/>
      <c r="K23"/>
      <c r="L23"/>
      <c r="M23"/>
      <c r="N23"/>
      <c r="O23"/>
      <c r="P23"/>
      <c r="Q23"/>
      <c r="R23"/>
      <c r="S23"/>
      <c r="T23"/>
      <c r="U23"/>
      <c r="V23"/>
      <c r="W23"/>
      <c r="X23"/>
      <c r="Y23"/>
      <c r="Z23"/>
      <c r="AA23"/>
      <c r="AB23"/>
    </row>
    <row r="24" spans="1:28" s="749" customFormat="1" ht="24.95" customHeight="1" x14ac:dyDescent="0.35">
      <c r="A24" s="968">
        <v>44714</v>
      </c>
      <c r="B24" s="930" t="s">
        <v>649</v>
      </c>
      <c r="C24" s="925"/>
      <c r="D24" s="964" t="s">
        <v>90</v>
      </c>
      <c r="E24" s="964"/>
      <c r="F24" s="964"/>
      <c r="G24" s="964">
        <v>2062</v>
      </c>
      <c r="H24" s="964" t="s">
        <v>118</v>
      </c>
      <c r="I24" s="965">
        <v>77456</v>
      </c>
      <c r="J24"/>
      <c r="K24"/>
      <c r="L24"/>
      <c r="M24"/>
      <c r="N24"/>
      <c r="O24"/>
      <c r="P24"/>
      <c r="Q24"/>
      <c r="R24"/>
      <c r="S24"/>
      <c r="T24"/>
      <c r="U24"/>
      <c r="V24"/>
      <c r="W24"/>
      <c r="X24"/>
      <c r="Y24"/>
      <c r="Z24"/>
      <c r="AA24"/>
      <c r="AB24"/>
    </row>
    <row r="25" spans="1:28" s="749" customFormat="1" ht="24.95" customHeight="1" x14ac:dyDescent="0.35">
      <c r="A25" s="968">
        <v>44734</v>
      </c>
      <c r="B25" s="930" t="s">
        <v>649</v>
      </c>
      <c r="C25" s="925"/>
      <c r="D25" s="964" t="s">
        <v>90</v>
      </c>
      <c r="E25" s="964">
        <v>743</v>
      </c>
      <c r="F25" s="964"/>
      <c r="G25" s="964"/>
      <c r="H25" s="964" t="s">
        <v>118</v>
      </c>
      <c r="I25" s="965">
        <v>72499.08</v>
      </c>
      <c r="J25"/>
      <c r="K25"/>
      <c r="L25"/>
      <c r="M25"/>
      <c r="N25"/>
      <c r="O25"/>
      <c r="P25"/>
      <c r="Q25"/>
      <c r="R25"/>
      <c r="S25"/>
      <c r="T25"/>
      <c r="U25"/>
      <c r="V25"/>
      <c r="W25"/>
      <c r="X25"/>
      <c r="Y25"/>
      <c r="Z25"/>
      <c r="AA25"/>
      <c r="AB25"/>
    </row>
    <row r="26" spans="1:28" s="749" customFormat="1" ht="24.95" customHeight="1" x14ac:dyDescent="0.35">
      <c r="A26" s="968">
        <v>44741</v>
      </c>
      <c r="B26" s="930" t="s">
        <v>649</v>
      </c>
      <c r="C26" s="925"/>
      <c r="D26" s="964" t="s">
        <v>90</v>
      </c>
      <c r="E26" s="964">
        <v>757</v>
      </c>
      <c r="F26" s="964"/>
      <c r="G26" s="964"/>
      <c r="H26" s="964">
        <v>5908</v>
      </c>
      <c r="I26" s="965">
        <v>510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755</v>
      </c>
      <c r="F27" s="964"/>
      <c r="G27" s="964"/>
      <c r="H27" s="964">
        <v>5739</v>
      </c>
      <c r="I27" s="965">
        <v>6650</v>
      </c>
      <c r="J27"/>
      <c r="K27"/>
      <c r="L27"/>
      <c r="M27"/>
      <c r="N27"/>
      <c r="O27"/>
      <c r="P27"/>
      <c r="Q27"/>
      <c r="R27"/>
      <c r="S27"/>
      <c r="T27"/>
      <c r="U27"/>
      <c r="V27"/>
      <c r="W27"/>
      <c r="X27"/>
      <c r="Y27"/>
      <c r="Z27"/>
      <c r="AA27"/>
      <c r="AB27"/>
    </row>
    <row r="28" spans="1:28" s="749" customFormat="1" ht="24.95" customHeight="1" x14ac:dyDescent="0.35">
      <c r="A28" s="968">
        <v>44855</v>
      </c>
      <c r="B28" s="930" t="s">
        <v>649</v>
      </c>
      <c r="C28" s="925"/>
      <c r="D28" s="964" t="s">
        <v>90</v>
      </c>
      <c r="E28" s="964">
        <v>758</v>
      </c>
      <c r="F28" s="964"/>
      <c r="G28" s="964"/>
      <c r="H28" s="964" t="s">
        <v>118</v>
      </c>
      <c r="I28" s="965">
        <v>3000</v>
      </c>
      <c r="J28"/>
      <c r="K28"/>
      <c r="L28"/>
      <c r="M28"/>
      <c r="N28"/>
      <c r="O28"/>
      <c r="P28"/>
      <c r="Q28"/>
      <c r="R28"/>
      <c r="S28"/>
      <c r="T28"/>
      <c r="U28"/>
      <c r="V28"/>
      <c r="W28"/>
      <c r="X28"/>
      <c r="Y28"/>
      <c r="Z28"/>
      <c r="AA28"/>
      <c r="AB28"/>
    </row>
    <row r="29" spans="1:28" s="749" customFormat="1" ht="24.95" customHeight="1" x14ac:dyDescent="0.35">
      <c r="A29" s="968">
        <v>44916</v>
      </c>
      <c r="B29" s="930" t="s">
        <v>649</v>
      </c>
      <c r="C29" s="925"/>
      <c r="D29" s="964" t="s">
        <v>90</v>
      </c>
      <c r="E29" s="964"/>
      <c r="F29" s="964"/>
      <c r="G29" s="964">
        <v>2176</v>
      </c>
      <c r="H29" s="964" t="s">
        <v>118</v>
      </c>
      <c r="I29" s="965">
        <v>186146</v>
      </c>
      <c r="J29"/>
      <c r="K29"/>
      <c r="L29"/>
      <c r="M29"/>
      <c r="N29"/>
      <c r="O29"/>
      <c r="P29"/>
      <c r="Q29"/>
      <c r="R29"/>
      <c r="S29"/>
      <c r="T29"/>
      <c r="U29"/>
      <c r="V29"/>
      <c r="W29"/>
      <c r="X29"/>
      <c r="Y29"/>
      <c r="Z29"/>
      <c r="AA29"/>
      <c r="AB29"/>
    </row>
    <row r="30" spans="1:28" s="749" customFormat="1" ht="24.95" customHeight="1" x14ac:dyDescent="0.35">
      <c r="A30" s="968">
        <v>45343</v>
      </c>
      <c r="B30" s="930" t="s">
        <v>649</v>
      </c>
      <c r="C30" s="925"/>
      <c r="D30" s="964" t="s">
        <v>90</v>
      </c>
      <c r="E30" s="964">
        <v>826</v>
      </c>
      <c r="F30" s="964"/>
      <c r="G30" s="964"/>
      <c r="H30" s="964" t="s">
        <v>118</v>
      </c>
      <c r="I30" s="965">
        <v>22500</v>
      </c>
      <c r="J30"/>
      <c r="K30"/>
      <c r="L30"/>
      <c r="M30"/>
      <c r="N30"/>
      <c r="O30"/>
      <c r="P30"/>
      <c r="Q30"/>
      <c r="R30"/>
      <c r="S30"/>
      <c r="T30"/>
      <c r="U30"/>
      <c r="V30"/>
      <c r="W30"/>
      <c r="X30"/>
      <c r="Y30"/>
      <c r="Z30"/>
      <c r="AA30"/>
      <c r="AB30"/>
    </row>
    <row r="31" spans="1:28" s="782" customFormat="1" ht="27.75" customHeight="1" x14ac:dyDescent="0.35">
      <c r="A31" s="968">
        <v>44614</v>
      </c>
      <c r="B31" s="930" t="s">
        <v>650</v>
      </c>
      <c r="C31" s="925"/>
      <c r="D31" s="925" t="s">
        <v>92</v>
      </c>
      <c r="E31" s="925"/>
      <c r="F31" s="964"/>
      <c r="G31" s="964"/>
      <c r="H31" s="964" t="s">
        <v>376</v>
      </c>
      <c r="I31" s="965">
        <v>526625</v>
      </c>
      <c r="J31"/>
      <c r="K31"/>
      <c r="L31"/>
      <c r="M31"/>
      <c r="N31"/>
      <c r="O31"/>
      <c r="P31"/>
      <c r="Q31"/>
      <c r="R31"/>
      <c r="S31"/>
      <c r="T31"/>
      <c r="U31"/>
      <c r="V31"/>
      <c r="W31"/>
      <c r="X31"/>
      <c r="Y31"/>
      <c r="Z31"/>
      <c r="AA31"/>
      <c r="AB31"/>
    </row>
    <row r="32" spans="1:28" s="782" customFormat="1" ht="24.95" customHeight="1" x14ac:dyDescent="0.35">
      <c r="A32" s="968">
        <v>44631</v>
      </c>
      <c r="B32" s="930" t="s">
        <v>650</v>
      </c>
      <c r="C32" s="925"/>
      <c r="D32" s="925" t="s">
        <v>92</v>
      </c>
      <c r="E32" s="925"/>
      <c r="F32" s="964"/>
      <c r="G32" s="964"/>
      <c r="H32" s="964">
        <v>4943</v>
      </c>
      <c r="I32" s="965">
        <v>5975</v>
      </c>
      <c r="J32"/>
      <c r="K32"/>
      <c r="L32"/>
      <c r="M32"/>
      <c r="N32"/>
      <c r="O32"/>
      <c r="P32"/>
      <c r="Q32"/>
      <c r="R32"/>
      <c r="S32"/>
      <c r="T32"/>
      <c r="U32"/>
      <c r="V32"/>
      <c r="W32"/>
      <c r="X32"/>
      <c r="Y32"/>
      <c r="Z32"/>
      <c r="AA32"/>
      <c r="AB32"/>
    </row>
    <row r="33" spans="1:28" s="800" customFormat="1" ht="24.95" customHeight="1" x14ac:dyDescent="0.35">
      <c r="A33" s="968">
        <v>44638</v>
      </c>
      <c r="B33" s="930" t="s">
        <v>650</v>
      </c>
      <c r="C33" s="925"/>
      <c r="D33" s="925" t="s">
        <v>92</v>
      </c>
      <c r="E33" s="925"/>
      <c r="F33" s="964"/>
      <c r="G33" s="964"/>
      <c r="H33" s="964">
        <v>4953</v>
      </c>
      <c r="I33" s="965">
        <v>4950</v>
      </c>
      <c r="J33"/>
      <c r="K33"/>
      <c r="L33"/>
      <c r="M33"/>
      <c r="N33"/>
      <c r="O33"/>
      <c r="P33"/>
      <c r="Q33"/>
      <c r="R33"/>
      <c r="S33"/>
      <c r="T33"/>
      <c r="U33"/>
      <c r="V33"/>
      <c r="W33"/>
      <c r="X33"/>
      <c r="Y33"/>
      <c r="Z33"/>
      <c r="AA33"/>
      <c r="AB33"/>
    </row>
    <row r="34" spans="1:28" s="800" customFormat="1" ht="24.95" customHeight="1" x14ac:dyDescent="0.35">
      <c r="A34" s="968">
        <v>44711</v>
      </c>
      <c r="B34" s="930" t="s">
        <v>153</v>
      </c>
      <c r="C34" s="925"/>
      <c r="D34" s="925" t="s">
        <v>92</v>
      </c>
      <c r="E34" s="925"/>
      <c r="F34" s="964"/>
      <c r="G34" s="964"/>
      <c r="H34" s="964" t="s">
        <v>181</v>
      </c>
      <c r="I34" s="965">
        <v>164667</v>
      </c>
      <c r="J34"/>
      <c r="K34"/>
      <c r="L34"/>
      <c r="M34"/>
      <c r="N34"/>
      <c r="O34"/>
      <c r="P34"/>
      <c r="Q34"/>
      <c r="R34"/>
      <c r="S34"/>
      <c r="T34"/>
      <c r="U34"/>
      <c r="V34"/>
      <c r="W34"/>
      <c r="X34"/>
      <c r="Y34"/>
      <c r="Z34"/>
      <c r="AA34"/>
      <c r="AB34"/>
    </row>
    <row r="35" spans="1:28" s="800" customFormat="1" ht="24.95" customHeight="1" x14ac:dyDescent="0.35">
      <c r="A35" s="968">
        <v>44768</v>
      </c>
      <c r="B35" s="930" t="s">
        <v>651</v>
      </c>
      <c r="C35" s="925"/>
      <c r="D35" s="925" t="s">
        <v>90</v>
      </c>
      <c r="E35" s="925"/>
      <c r="F35" s="964"/>
      <c r="G35" s="964"/>
      <c r="H35" s="964" t="s">
        <v>151</v>
      </c>
      <c r="I35" s="965">
        <v>847950.4</v>
      </c>
      <c r="J35"/>
      <c r="K35"/>
      <c r="L35"/>
      <c r="M35"/>
      <c r="N35"/>
      <c r="O35"/>
      <c r="P35"/>
      <c r="Q35"/>
      <c r="R35"/>
      <c r="S35"/>
      <c r="T35"/>
      <c r="U35"/>
      <c r="V35"/>
      <c r="W35"/>
      <c r="X35"/>
      <c r="Y35"/>
      <c r="Z35"/>
      <c r="AA35"/>
      <c r="AB35"/>
    </row>
    <row r="36" spans="1:28" s="800" customFormat="1" ht="24.95" customHeight="1" x14ac:dyDescent="0.35">
      <c r="A36" s="968">
        <v>45946</v>
      </c>
      <c r="B36" s="930" t="s">
        <v>651</v>
      </c>
      <c r="C36" s="925"/>
      <c r="D36" s="925" t="s">
        <v>90</v>
      </c>
      <c r="E36" s="925"/>
      <c r="F36" s="964"/>
      <c r="G36" s="964"/>
      <c r="H36" s="964" t="s">
        <v>641</v>
      </c>
      <c r="I36" s="965" t="s">
        <v>419</v>
      </c>
      <c r="J36"/>
      <c r="K36"/>
      <c r="L36"/>
      <c r="M36"/>
      <c r="N36"/>
      <c r="O36"/>
      <c r="P36"/>
      <c r="Q36"/>
      <c r="R36"/>
      <c r="S36"/>
      <c r="T36"/>
      <c r="U36"/>
      <c r="V36"/>
      <c r="W36"/>
      <c r="X36"/>
      <c r="Y36"/>
      <c r="Z36"/>
      <c r="AA36"/>
      <c r="AB36"/>
    </row>
    <row r="37" spans="1:28" s="800" customFormat="1" ht="24.95" customHeight="1" x14ac:dyDescent="0.35">
      <c r="A37" s="968">
        <v>44786</v>
      </c>
      <c r="B37" s="930" t="s">
        <v>652</v>
      </c>
      <c r="C37" s="925"/>
      <c r="D37" s="925" t="s">
        <v>94</v>
      </c>
      <c r="E37" s="925"/>
      <c r="F37" s="964"/>
      <c r="G37" s="964">
        <v>2136</v>
      </c>
      <c r="H37" s="964" t="s">
        <v>170</v>
      </c>
      <c r="I37" s="965">
        <v>193400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832</v>
      </c>
      <c r="F38" s="964"/>
      <c r="G38" s="964"/>
      <c r="H38" s="964">
        <v>5373</v>
      </c>
      <c r="I38" s="965">
        <v>666000</v>
      </c>
      <c r="J38"/>
      <c r="K38"/>
      <c r="L38"/>
      <c r="M38"/>
      <c r="N38"/>
      <c r="O38"/>
      <c r="P38"/>
      <c r="Q38"/>
      <c r="R38"/>
      <c r="S38"/>
      <c r="T38"/>
      <c r="U38"/>
      <c r="V38"/>
      <c r="W38"/>
      <c r="X38"/>
      <c r="Y38"/>
      <c r="Z38"/>
      <c r="AA38"/>
      <c r="AB38"/>
    </row>
    <row r="39" spans="1:28" s="800" customFormat="1" ht="24.95" customHeight="1" x14ac:dyDescent="0.35">
      <c r="A39" s="968">
        <v>44954</v>
      </c>
      <c r="B39" s="930" t="s">
        <v>480</v>
      </c>
      <c r="C39" s="925"/>
      <c r="D39" s="925" t="s">
        <v>92</v>
      </c>
      <c r="E39" s="925">
        <v>833</v>
      </c>
      <c r="F39" s="964"/>
      <c r="G39" s="964"/>
      <c r="H39" s="964">
        <v>5374</v>
      </c>
      <c r="I39" s="965">
        <v>657658.5</v>
      </c>
      <c r="J39"/>
      <c r="K39"/>
      <c r="L39"/>
      <c r="M39"/>
      <c r="N39"/>
      <c r="O39"/>
      <c r="P39"/>
      <c r="Q39"/>
      <c r="R39"/>
      <c r="S39"/>
      <c r="T39"/>
      <c r="U39"/>
      <c r="V39"/>
      <c r="W39"/>
      <c r="X39"/>
      <c r="Y39"/>
      <c r="Z39"/>
      <c r="AA39"/>
      <c r="AB39"/>
    </row>
    <row r="40" spans="1:28" s="800" customFormat="1" ht="24.95" customHeight="1" x14ac:dyDescent="0.35">
      <c r="A40" s="968">
        <v>45017</v>
      </c>
      <c r="B40" s="930" t="s">
        <v>480</v>
      </c>
      <c r="C40" s="925"/>
      <c r="D40" s="925" t="s">
        <v>92</v>
      </c>
      <c r="E40" s="925"/>
      <c r="F40" s="964"/>
      <c r="G40" s="964"/>
      <c r="H40" s="964">
        <v>5460</v>
      </c>
      <c r="I40" s="965">
        <v>413995.98</v>
      </c>
      <c r="J40"/>
      <c r="K40"/>
      <c r="L40"/>
      <c r="M40"/>
      <c r="N40"/>
      <c r="O40"/>
      <c r="P40"/>
      <c r="Q40"/>
      <c r="R40"/>
      <c r="S40"/>
      <c r="T40"/>
      <c r="U40"/>
      <c r="V40"/>
      <c r="W40"/>
      <c r="X40"/>
      <c r="Y40"/>
      <c r="Z40"/>
      <c r="AA40"/>
      <c r="AB40"/>
    </row>
    <row r="41" spans="1:28" s="800" customFormat="1" ht="24.95" customHeight="1" x14ac:dyDescent="0.35">
      <c r="A41" s="968">
        <v>45181</v>
      </c>
      <c r="B41" s="930" t="s">
        <v>480</v>
      </c>
      <c r="C41" s="925"/>
      <c r="D41" s="925" t="s">
        <v>92</v>
      </c>
      <c r="E41" s="925"/>
      <c r="F41" s="964" t="s">
        <v>654</v>
      </c>
      <c r="G41" s="964"/>
      <c r="H41" s="964">
        <v>5606</v>
      </c>
      <c r="I41" s="965">
        <v>676930.8</v>
      </c>
      <c r="J41"/>
      <c r="K41"/>
      <c r="L41"/>
      <c r="M41"/>
      <c r="N41"/>
      <c r="O41"/>
      <c r="P41"/>
      <c r="Q41"/>
      <c r="R41"/>
      <c r="S41"/>
      <c r="T41"/>
      <c r="U41"/>
      <c r="V41"/>
      <c r="W41"/>
      <c r="X41"/>
      <c r="Y41"/>
      <c r="Z41"/>
      <c r="AA41"/>
      <c r="AB41"/>
    </row>
    <row r="42" spans="1:28" s="800" customFormat="1" ht="24.95" customHeight="1" x14ac:dyDescent="0.35">
      <c r="A42" s="968">
        <v>45313</v>
      </c>
      <c r="B42" s="930" t="s">
        <v>480</v>
      </c>
      <c r="C42" s="925"/>
      <c r="D42" s="925" t="s">
        <v>90</v>
      </c>
      <c r="E42" s="925">
        <v>825</v>
      </c>
      <c r="F42" s="964"/>
      <c r="G42" s="964"/>
      <c r="H42" s="964">
        <v>5714</v>
      </c>
      <c r="I42" s="965">
        <v>150000</v>
      </c>
      <c r="J42"/>
      <c r="K42"/>
      <c r="L42"/>
      <c r="M42"/>
      <c r="N42"/>
      <c r="O42"/>
      <c r="P42"/>
      <c r="Q42"/>
      <c r="R42"/>
      <c r="S42"/>
      <c r="T42"/>
      <c r="U42"/>
      <c r="V42"/>
      <c r="W42"/>
      <c r="X42"/>
      <c r="Y42"/>
      <c r="Z42"/>
      <c r="AA42"/>
      <c r="AB42"/>
    </row>
    <row r="43" spans="1:28" s="800" customFormat="1" ht="24.95" customHeight="1" x14ac:dyDescent="0.35">
      <c r="A43" s="968">
        <v>45386</v>
      </c>
      <c r="B43" s="930" t="s">
        <v>480</v>
      </c>
      <c r="C43" s="925"/>
      <c r="D43" s="925" t="s">
        <v>90</v>
      </c>
      <c r="E43" s="925"/>
      <c r="F43" s="964"/>
      <c r="G43" s="964"/>
      <c r="H43" s="964">
        <v>5776</v>
      </c>
      <c r="I43" s="965">
        <v>455997.92</v>
      </c>
      <c r="J43"/>
      <c r="K43"/>
      <c r="L43"/>
      <c r="M43"/>
      <c r="N43"/>
      <c r="O43"/>
      <c r="P43"/>
      <c r="Q43"/>
      <c r="R43"/>
      <c r="S43"/>
      <c r="T43"/>
      <c r="U43"/>
      <c r="V43"/>
      <c r="W43"/>
      <c r="X43"/>
      <c r="Y43"/>
      <c r="Z43"/>
      <c r="AA43"/>
      <c r="AB43"/>
    </row>
    <row r="44" spans="1:28" s="800" customFormat="1" ht="24.95" customHeight="1" x14ac:dyDescent="0.35">
      <c r="A44" s="968">
        <v>45601</v>
      </c>
      <c r="B44" s="930" t="s">
        <v>480</v>
      </c>
      <c r="C44" s="925"/>
      <c r="D44" s="925" t="s">
        <v>90</v>
      </c>
      <c r="E44" s="925"/>
      <c r="F44" s="964"/>
      <c r="G44" s="964"/>
      <c r="H44" s="964">
        <v>5920</v>
      </c>
      <c r="I44" s="965">
        <v>310000</v>
      </c>
      <c r="J44"/>
      <c r="K44"/>
      <c r="L44"/>
      <c r="M44"/>
      <c r="N44"/>
      <c r="O44"/>
      <c r="P44"/>
      <c r="Q44"/>
      <c r="R44"/>
      <c r="S44"/>
      <c r="T44"/>
      <c r="U44"/>
      <c r="V44"/>
      <c r="W44"/>
      <c r="X44"/>
      <c r="Y44"/>
      <c r="Z44"/>
      <c r="AA44"/>
      <c r="AB44"/>
    </row>
    <row r="45" spans="1:28" s="800" customFormat="1" ht="24.95" customHeight="1" x14ac:dyDescent="0.35">
      <c r="A45" s="968">
        <v>45680</v>
      </c>
      <c r="B45" s="930" t="s">
        <v>480</v>
      </c>
      <c r="C45" s="925"/>
      <c r="D45" s="925" t="s">
        <v>90</v>
      </c>
      <c r="E45" s="925"/>
      <c r="F45" s="964"/>
      <c r="G45" s="964">
        <v>2343</v>
      </c>
      <c r="H45" s="964">
        <v>5979</v>
      </c>
      <c r="I45" s="965">
        <v>45000</v>
      </c>
      <c r="J45"/>
      <c r="K45"/>
      <c r="L45"/>
      <c r="M45"/>
      <c r="N45"/>
      <c r="O45"/>
      <c r="P45"/>
      <c r="Q45"/>
      <c r="R45"/>
      <c r="S45"/>
      <c r="T45"/>
      <c r="U45"/>
      <c r="V45"/>
      <c r="W45"/>
      <c r="X45"/>
      <c r="Y45"/>
      <c r="Z45"/>
      <c r="AA45"/>
      <c r="AB45"/>
    </row>
    <row r="46" spans="1:28" s="800" customFormat="1" ht="24.95" customHeight="1" x14ac:dyDescent="0.35">
      <c r="A46" s="968">
        <v>45731</v>
      </c>
      <c r="B46" s="930" t="s">
        <v>480</v>
      </c>
      <c r="C46" s="925"/>
      <c r="D46" s="925" t="s">
        <v>90</v>
      </c>
      <c r="E46" s="925"/>
      <c r="F46" s="964"/>
      <c r="G46" s="964"/>
      <c r="H46" s="964" t="s">
        <v>481</v>
      </c>
      <c r="I46" s="965" t="s">
        <v>419</v>
      </c>
      <c r="J46"/>
      <c r="K46"/>
      <c r="L46"/>
      <c r="M46"/>
      <c r="N46"/>
      <c r="O46"/>
      <c r="P46"/>
      <c r="Q46"/>
      <c r="R46"/>
      <c r="S46"/>
      <c r="T46"/>
      <c r="U46"/>
      <c r="V46"/>
      <c r="W46"/>
      <c r="X46"/>
      <c r="Y46"/>
      <c r="Z46"/>
      <c r="AA46"/>
      <c r="AB46"/>
    </row>
    <row r="47" spans="1:28" s="800" customFormat="1" ht="24.95" customHeight="1" x14ac:dyDescent="0.35">
      <c r="A47" s="968">
        <v>44977</v>
      </c>
      <c r="B47" s="930" t="s">
        <v>110</v>
      </c>
      <c r="C47" s="925"/>
      <c r="D47" s="925" t="s">
        <v>92</v>
      </c>
      <c r="E47" s="925"/>
      <c r="F47" s="964"/>
      <c r="G47" s="964"/>
      <c r="H47" s="964">
        <v>5407</v>
      </c>
      <c r="I47" s="965">
        <v>89500</v>
      </c>
      <c r="J47"/>
      <c r="K47"/>
      <c r="L47"/>
      <c r="M47"/>
      <c r="N47"/>
      <c r="O47"/>
      <c r="P47"/>
      <c r="Q47"/>
      <c r="R47"/>
      <c r="S47"/>
      <c r="T47"/>
      <c r="U47"/>
      <c r="V47"/>
      <c r="W47"/>
      <c r="X47"/>
      <c r="Y47"/>
      <c r="Z47"/>
      <c r="AA47"/>
      <c r="AB47"/>
    </row>
    <row r="48" spans="1:28" s="800" customFormat="1" ht="24.95" customHeight="1" x14ac:dyDescent="0.35">
      <c r="A48" s="968">
        <v>2023</v>
      </c>
      <c r="B48" s="930" t="s">
        <v>191</v>
      </c>
      <c r="C48" s="925"/>
      <c r="D48" s="925" t="s">
        <v>92</v>
      </c>
      <c r="E48" s="925"/>
      <c r="F48" s="964"/>
      <c r="G48" s="964"/>
      <c r="H48" s="964" t="s">
        <v>118</v>
      </c>
      <c r="I48" s="965">
        <v>67000</v>
      </c>
      <c r="J48"/>
      <c r="K48"/>
      <c r="L48"/>
      <c r="M48"/>
      <c r="N48"/>
      <c r="O48"/>
      <c r="P48"/>
      <c r="Q48"/>
      <c r="R48"/>
      <c r="S48"/>
      <c r="T48"/>
      <c r="U48"/>
      <c r="V48"/>
      <c r="W48"/>
      <c r="X48"/>
      <c r="Y48"/>
      <c r="Z48"/>
      <c r="AA48"/>
      <c r="AB48"/>
    </row>
    <row r="49" spans="1:28" s="782" customFormat="1" ht="24.95" customHeight="1" x14ac:dyDescent="0.35">
      <c r="A49" s="968">
        <v>45147</v>
      </c>
      <c r="B49" s="930" t="s">
        <v>653</v>
      </c>
      <c r="C49" s="925"/>
      <c r="D49" s="925" t="s">
        <v>92</v>
      </c>
      <c r="E49" s="925"/>
      <c r="F49" s="964"/>
      <c r="G49" s="964"/>
      <c r="H49" s="964">
        <v>5568</v>
      </c>
      <c r="I49" s="965">
        <v>10000</v>
      </c>
      <c r="J49"/>
      <c r="K49"/>
      <c r="L49"/>
      <c r="M49"/>
      <c r="N49"/>
      <c r="O49"/>
      <c r="P49"/>
      <c r="Q49"/>
      <c r="R49"/>
      <c r="S49"/>
      <c r="T49"/>
      <c r="U49"/>
      <c r="V49"/>
      <c r="W49"/>
      <c r="X49"/>
      <c r="Y49"/>
      <c r="Z49"/>
      <c r="AA49"/>
      <c r="AB49"/>
    </row>
    <row r="50" spans="1:28" s="782" customFormat="1" ht="24.95" customHeight="1" x14ac:dyDescent="0.35">
      <c r="A50" s="968">
        <v>45195</v>
      </c>
      <c r="B50" s="930" t="s">
        <v>271</v>
      </c>
      <c r="C50" s="925"/>
      <c r="D50" s="925" t="s">
        <v>92</v>
      </c>
      <c r="E50" s="925"/>
      <c r="F50" s="964"/>
      <c r="G50" s="964"/>
      <c r="H50" s="964" t="s">
        <v>272</v>
      </c>
      <c r="I50" s="965">
        <v>2339.29</v>
      </c>
      <c r="J50"/>
      <c r="K50"/>
      <c r="L50"/>
      <c r="M50"/>
      <c r="N50"/>
      <c r="O50"/>
      <c r="P50"/>
      <c r="Q50"/>
      <c r="R50"/>
      <c r="S50"/>
      <c r="T50"/>
      <c r="U50"/>
      <c r="V50"/>
      <c r="W50"/>
      <c r="X50"/>
      <c r="Y50"/>
      <c r="Z50"/>
      <c r="AA50"/>
      <c r="AB50"/>
    </row>
    <row r="51" spans="1:28" s="782" customFormat="1" ht="24.95" customHeight="1" x14ac:dyDescent="0.35">
      <c r="A51" s="968">
        <v>45859</v>
      </c>
      <c r="B51" s="930" t="s">
        <v>271</v>
      </c>
      <c r="C51" s="925"/>
      <c r="D51" s="925" t="s">
        <v>282</v>
      </c>
      <c r="E51" s="925"/>
      <c r="F51" s="964"/>
      <c r="G51" s="964"/>
      <c r="H51" s="964" t="s">
        <v>572</v>
      </c>
      <c r="I51" s="965">
        <v>9850</v>
      </c>
      <c r="J51"/>
      <c r="K51"/>
      <c r="L51"/>
      <c r="M51"/>
      <c r="N51"/>
      <c r="O51"/>
      <c r="P51"/>
      <c r="Q51"/>
      <c r="R51"/>
      <c r="S51"/>
      <c r="T51"/>
      <c r="U51"/>
      <c r="V51"/>
      <c r="W51"/>
      <c r="X51"/>
      <c r="Y51"/>
      <c r="Z51"/>
      <c r="AA51"/>
      <c r="AB51"/>
    </row>
    <row r="52" spans="1:28" s="782" customFormat="1" ht="24.95" customHeight="1" x14ac:dyDescent="0.35">
      <c r="A52" s="968">
        <v>45300</v>
      </c>
      <c r="B52" s="930" t="s">
        <v>417</v>
      </c>
      <c r="C52" s="925"/>
      <c r="D52" s="925" t="s">
        <v>90</v>
      </c>
      <c r="E52" s="925"/>
      <c r="F52" s="964"/>
      <c r="G52" s="964"/>
      <c r="H52" s="964" t="s">
        <v>327</v>
      </c>
      <c r="I52" s="965">
        <v>16550</v>
      </c>
      <c r="J52"/>
      <c r="K52"/>
      <c r="L52"/>
      <c r="M52"/>
      <c r="N52"/>
      <c r="O52"/>
      <c r="P52"/>
      <c r="Q52"/>
      <c r="R52"/>
      <c r="S52"/>
      <c r="T52"/>
      <c r="U52"/>
      <c r="V52"/>
      <c r="W52"/>
      <c r="X52"/>
      <c r="Y52"/>
      <c r="Z52"/>
      <c r="AA52"/>
      <c r="AB52"/>
    </row>
    <row r="53" spans="1:28" s="782" customFormat="1" ht="24.95" customHeight="1" x14ac:dyDescent="0.35">
      <c r="A53" s="968">
        <v>45582</v>
      </c>
      <c r="B53" s="930" t="s">
        <v>417</v>
      </c>
      <c r="C53" s="925"/>
      <c r="D53" s="925" t="s">
        <v>90</v>
      </c>
      <c r="E53" s="925"/>
      <c r="F53" s="964"/>
      <c r="G53" s="964"/>
      <c r="H53" s="964" t="s">
        <v>656</v>
      </c>
      <c r="I53" s="965">
        <v>73520</v>
      </c>
      <c r="J53"/>
      <c r="K53"/>
      <c r="L53"/>
      <c r="M53"/>
      <c r="N53"/>
      <c r="O53"/>
      <c r="P53"/>
      <c r="Q53"/>
      <c r="R53"/>
      <c r="S53"/>
      <c r="T53"/>
      <c r="U53"/>
      <c r="V53"/>
      <c r="W53"/>
      <c r="X53"/>
      <c r="Y53"/>
      <c r="Z53"/>
      <c r="AA53"/>
      <c r="AB53"/>
    </row>
    <row r="54" spans="1:28" s="782" customFormat="1" ht="24.95" customHeight="1" x14ac:dyDescent="0.35">
      <c r="A54" s="968" t="s">
        <v>421</v>
      </c>
      <c r="B54" s="930" t="s">
        <v>417</v>
      </c>
      <c r="C54" s="925"/>
      <c r="D54" s="925" t="s">
        <v>90</v>
      </c>
      <c r="E54" s="925"/>
      <c r="F54" s="964"/>
      <c r="G54" s="964"/>
      <c r="H54" s="964" t="s">
        <v>456</v>
      </c>
      <c r="I54" s="965" t="s">
        <v>419</v>
      </c>
      <c r="J54"/>
      <c r="K54"/>
      <c r="L54"/>
      <c r="M54"/>
      <c r="N54"/>
      <c r="O54"/>
      <c r="P54"/>
      <c r="Q54"/>
      <c r="R54"/>
      <c r="S54"/>
      <c r="T54"/>
      <c r="U54"/>
      <c r="V54"/>
      <c r="W54"/>
      <c r="X54"/>
      <c r="Y54"/>
      <c r="Z54"/>
      <c r="AA54"/>
      <c r="AB54"/>
    </row>
    <row r="55" spans="1:28" s="782" customFormat="1" ht="24.95" customHeight="1" x14ac:dyDescent="0.35">
      <c r="A55" s="968">
        <v>45897</v>
      </c>
      <c r="B55" s="930" t="s">
        <v>417</v>
      </c>
      <c r="C55" s="925"/>
      <c r="D55" s="925" t="s">
        <v>90</v>
      </c>
      <c r="E55" s="925"/>
      <c r="F55" s="964"/>
      <c r="G55" s="964"/>
      <c r="H55" s="964" t="s">
        <v>609</v>
      </c>
      <c r="I55" s="965" t="s">
        <v>419</v>
      </c>
      <c r="J55"/>
      <c r="K55"/>
      <c r="L55"/>
      <c r="M55"/>
      <c r="N55"/>
      <c r="O55"/>
      <c r="P55"/>
      <c r="Q55"/>
      <c r="R55"/>
      <c r="S55"/>
      <c r="T55"/>
      <c r="U55"/>
      <c r="V55"/>
      <c r="W55"/>
      <c r="X55"/>
      <c r="Y55"/>
      <c r="Z55"/>
      <c r="AA55"/>
      <c r="AB55"/>
    </row>
    <row r="56" spans="1:28" s="782" customFormat="1" ht="24.95" customHeight="1" x14ac:dyDescent="0.35">
      <c r="A56" s="968">
        <v>45985</v>
      </c>
      <c r="B56" s="930" t="s">
        <v>417</v>
      </c>
      <c r="C56" s="925"/>
      <c r="D56" s="925" t="s">
        <v>90</v>
      </c>
      <c r="E56" s="925"/>
      <c r="F56" s="964"/>
      <c r="G56" s="964"/>
      <c r="H56" s="964" t="s">
        <v>688</v>
      </c>
      <c r="I56" s="965" t="s">
        <v>419</v>
      </c>
      <c r="J56"/>
      <c r="K56"/>
      <c r="L56"/>
      <c r="M56"/>
      <c r="N56"/>
      <c r="O56"/>
      <c r="P56"/>
      <c r="Q56"/>
      <c r="R56"/>
      <c r="S56"/>
      <c r="T56"/>
      <c r="U56"/>
      <c r="V56"/>
      <c r="W56"/>
      <c r="X56"/>
      <c r="Y56"/>
      <c r="Z56"/>
      <c r="AA56"/>
      <c r="AB56"/>
    </row>
    <row r="57" spans="1:28" s="782" customFormat="1" ht="24.95" customHeight="1" x14ac:dyDescent="0.35">
      <c r="A57" s="968">
        <v>45313</v>
      </c>
      <c r="B57" s="930" t="s">
        <v>230</v>
      </c>
      <c r="C57" s="925"/>
      <c r="D57" s="925" t="s">
        <v>92</v>
      </c>
      <c r="E57" s="925"/>
      <c r="F57" s="964"/>
      <c r="G57" s="964"/>
      <c r="H57" s="964">
        <v>5715</v>
      </c>
      <c r="I57" s="965">
        <v>78</v>
      </c>
      <c r="J57"/>
      <c r="K57"/>
      <c r="L57"/>
      <c r="M57"/>
      <c r="N57"/>
      <c r="O57"/>
      <c r="P57"/>
      <c r="Q57"/>
      <c r="R57"/>
      <c r="S57"/>
      <c r="T57"/>
      <c r="U57"/>
      <c r="V57"/>
      <c r="W57"/>
      <c r="X57"/>
      <c r="Y57"/>
      <c r="Z57"/>
      <c r="AA57"/>
      <c r="AB57"/>
    </row>
    <row r="58" spans="1:28" s="782" customFormat="1" ht="24.95" customHeight="1" x14ac:dyDescent="0.35">
      <c r="A58" s="968">
        <v>45371</v>
      </c>
      <c r="B58" s="930" t="s">
        <v>655</v>
      </c>
      <c r="C58" s="925"/>
      <c r="D58" s="925" t="s">
        <v>221</v>
      </c>
      <c r="E58" s="925"/>
      <c r="F58" s="964"/>
      <c r="G58" s="964"/>
      <c r="H58" s="964">
        <v>5769</v>
      </c>
      <c r="I58" s="965">
        <v>250</v>
      </c>
      <c r="J58"/>
      <c r="K58"/>
      <c r="L58"/>
      <c r="M58"/>
      <c r="N58"/>
      <c r="O58"/>
      <c r="P58"/>
      <c r="Q58"/>
      <c r="R58"/>
      <c r="S58"/>
      <c r="T58"/>
      <c r="U58"/>
      <c r="V58"/>
      <c r="W58"/>
      <c r="X58"/>
      <c r="Y58"/>
      <c r="Z58"/>
      <c r="AA58"/>
      <c r="AB58"/>
    </row>
    <row r="59" spans="1:28" s="782" customFormat="1" ht="24.95" customHeight="1" x14ac:dyDescent="0.35">
      <c r="A59" s="968">
        <v>45512</v>
      </c>
      <c r="B59" s="930" t="s">
        <v>545</v>
      </c>
      <c r="C59" s="925"/>
      <c r="D59" s="925" t="s">
        <v>90</v>
      </c>
      <c r="E59" s="925"/>
      <c r="F59" s="964"/>
      <c r="G59" s="964"/>
      <c r="H59" s="964">
        <v>5860</v>
      </c>
      <c r="I59" s="965">
        <v>194000</v>
      </c>
      <c r="J59"/>
      <c r="K59"/>
      <c r="L59"/>
      <c r="M59"/>
      <c r="N59"/>
      <c r="O59"/>
      <c r="P59"/>
      <c r="Q59"/>
      <c r="R59"/>
      <c r="S59"/>
      <c r="T59"/>
      <c r="U59"/>
      <c r="V59"/>
      <c r="W59"/>
      <c r="X59"/>
      <c r="Y59"/>
      <c r="Z59"/>
      <c r="AA59"/>
      <c r="AB59"/>
    </row>
    <row r="60" spans="1:28" s="813" customFormat="1" ht="24.95" customHeight="1" x14ac:dyDescent="0.35">
      <c r="A60" s="968">
        <v>45539</v>
      </c>
      <c r="B60" s="930" t="s">
        <v>545</v>
      </c>
      <c r="C60" s="925"/>
      <c r="D60" s="925" t="s">
        <v>90</v>
      </c>
      <c r="E60" s="925"/>
      <c r="F60" s="964"/>
      <c r="G60" s="964"/>
      <c r="H60" s="964">
        <v>5881</v>
      </c>
      <c r="I60" s="965" t="s">
        <v>419</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v>5984</v>
      </c>
      <c r="I61" s="965">
        <v>685000</v>
      </c>
      <c r="J61"/>
      <c r="K61"/>
      <c r="L61"/>
      <c r="M61"/>
      <c r="N61"/>
      <c r="O61"/>
      <c r="P61"/>
      <c r="Q61"/>
      <c r="R61"/>
      <c r="S61"/>
      <c r="T61"/>
      <c r="U61"/>
      <c r="V61"/>
      <c r="W61"/>
      <c r="X61"/>
      <c r="Y61"/>
      <c r="Z61"/>
      <c r="AA61"/>
      <c r="AB61"/>
    </row>
    <row r="62" spans="1:28" s="813" customFormat="1" ht="24.95" customHeight="1" x14ac:dyDescent="0.35">
      <c r="A62" s="968" t="s">
        <v>421</v>
      </c>
      <c r="B62" s="930" t="s">
        <v>545</v>
      </c>
      <c r="C62" s="925"/>
      <c r="D62" s="925" t="s">
        <v>90</v>
      </c>
      <c r="E62" s="925"/>
      <c r="F62" s="964"/>
      <c r="G62" s="964"/>
      <c r="H62" s="964">
        <v>5985</v>
      </c>
      <c r="I62" s="965">
        <v>695000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c r="G63" s="964"/>
      <c r="H63" s="964">
        <v>5992</v>
      </c>
      <c r="I63" s="965">
        <v>55000</v>
      </c>
      <c r="J63"/>
      <c r="K63"/>
      <c r="L63"/>
      <c r="M63"/>
      <c r="N63"/>
      <c r="O63"/>
      <c r="P63"/>
      <c r="Q63"/>
      <c r="R63"/>
      <c r="S63"/>
      <c r="T63"/>
      <c r="U63"/>
      <c r="V63"/>
      <c r="W63"/>
      <c r="X63"/>
      <c r="Y63"/>
      <c r="Z63"/>
      <c r="AA63"/>
      <c r="AB63"/>
    </row>
    <row r="64" spans="1:28" s="813" customFormat="1" ht="24.95" customHeight="1" x14ac:dyDescent="0.35">
      <c r="A64" s="968" t="s">
        <v>658</v>
      </c>
      <c r="B64" s="930" t="s">
        <v>545</v>
      </c>
      <c r="C64" s="925"/>
      <c r="D64" s="925" t="s">
        <v>90</v>
      </c>
      <c r="E64" s="925"/>
      <c r="F64" s="964"/>
      <c r="G64" s="964"/>
      <c r="H64" s="964" t="s">
        <v>498</v>
      </c>
      <c r="I64" s="965">
        <v>167500</v>
      </c>
      <c r="J64"/>
      <c r="K64"/>
      <c r="L64"/>
      <c r="M64"/>
      <c r="N64"/>
      <c r="O64"/>
      <c r="P64"/>
      <c r="Q64"/>
      <c r="R64"/>
      <c r="S64"/>
      <c r="T64"/>
      <c r="U64"/>
      <c r="V64"/>
      <c r="W64"/>
      <c r="X64"/>
      <c r="Y64"/>
      <c r="Z64"/>
      <c r="AA64"/>
      <c r="AB64"/>
    </row>
    <row r="65" spans="1:28" s="813" customFormat="1" ht="24.95" customHeight="1" x14ac:dyDescent="0.35">
      <c r="A65" s="968" t="s">
        <v>421</v>
      </c>
      <c r="B65" s="930" t="s">
        <v>545</v>
      </c>
      <c r="C65" s="925"/>
      <c r="D65" s="925" t="s">
        <v>90</v>
      </c>
      <c r="E65" s="925"/>
      <c r="F65" s="964"/>
      <c r="G65" s="964"/>
      <c r="H65" s="964" t="s">
        <v>503</v>
      </c>
      <c r="I65" s="965" t="s">
        <v>419</v>
      </c>
      <c r="J65"/>
      <c r="K65"/>
      <c r="L65"/>
      <c r="M65"/>
      <c r="N65"/>
      <c r="O65"/>
      <c r="P65"/>
      <c r="Q65"/>
      <c r="R65"/>
      <c r="S65"/>
      <c r="T65"/>
      <c r="U65"/>
      <c r="V65"/>
      <c r="W65"/>
      <c r="X65"/>
      <c r="Y65"/>
      <c r="Z65"/>
      <c r="AA65"/>
      <c r="AB65"/>
    </row>
    <row r="66" spans="1:28" s="813" customFormat="1" ht="24.95" customHeight="1" x14ac:dyDescent="0.35">
      <c r="A66" s="968" t="s">
        <v>421</v>
      </c>
      <c r="B66" s="930" t="s">
        <v>545</v>
      </c>
      <c r="C66" s="925"/>
      <c r="D66" s="925" t="s">
        <v>90</v>
      </c>
      <c r="E66" s="925"/>
      <c r="F66" s="964"/>
      <c r="G66" s="964"/>
      <c r="H66" s="964" t="s">
        <v>550</v>
      </c>
      <c r="I66" s="965">
        <v>174800</v>
      </c>
      <c r="J66"/>
      <c r="K66"/>
      <c r="L66"/>
      <c r="M66"/>
      <c r="N66"/>
      <c r="O66"/>
      <c r="P66"/>
      <c r="Q66"/>
      <c r="R66"/>
      <c r="S66"/>
      <c r="T66"/>
      <c r="U66"/>
      <c r="V66"/>
      <c r="W66"/>
      <c r="X66"/>
      <c r="Y66"/>
      <c r="Z66"/>
      <c r="AA66"/>
      <c r="AB66"/>
    </row>
    <row r="67" spans="1:28" s="813" customFormat="1" ht="24.95" customHeight="1" x14ac:dyDescent="0.35">
      <c r="A67" s="968" t="s">
        <v>421</v>
      </c>
      <c r="B67" s="930" t="s">
        <v>545</v>
      </c>
      <c r="C67" s="925"/>
      <c r="D67" s="925" t="s">
        <v>90</v>
      </c>
      <c r="E67" s="925"/>
      <c r="F67" s="964"/>
      <c r="G67" s="964"/>
      <c r="H67" s="964" t="s">
        <v>582</v>
      </c>
      <c r="I67" s="965">
        <v>948000</v>
      </c>
      <c r="J67"/>
      <c r="K67"/>
      <c r="L67"/>
      <c r="M67"/>
      <c r="N67"/>
      <c r="O67"/>
      <c r="P67"/>
      <c r="Q67"/>
      <c r="R67"/>
      <c r="S67"/>
      <c r="T67"/>
      <c r="U67"/>
      <c r="V67"/>
      <c r="W67"/>
      <c r="X67"/>
      <c r="Y67"/>
      <c r="Z67"/>
      <c r="AA67"/>
      <c r="AB67"/>
    </row>
    <row r="68" spans="1:28" s="813" customFormat="1" ht="24.95" customHeight="1" x14ac:dyDescent="0.35">
      <c r="A68" s="968" t="s">
        <v>421</v>
      </c>
      <c r="B68" s="930" t="s">
        <v>545</v>
      </c>
      <c r="C68" s="925"/>
      <c r="D68" s="925" t="s">
        <v>90</v>
      </c>
      <c r="E68" s="925"/>
      <c r="F68" s="964"/>
      <c r="G68" s="964"/>
      <c r="H68" s="964" t="s">
        <v>583</v>
      </c>
      <c r="I68" s="965">
        <v>280000</v>
      </c>
      <c r="J68"/>
      <c r="K68"/>
      <c r="L68"/>
      <c r="M68"/>
      <c r="N68"/>
      <c r="O68"/>
      <c r="P68"/>
      <c r="Q68"/>
      <c r="R68"/>
      <c r="S68"/>
      <c r="T68"/>
      <c r="U68"/>
      <c r="V68"/>
      <c r="W68"/>
      <c r="X68"/>
      <c r="Y68"/>
      <c r="Z68"/>
      <c r="AA68"/>
      <c r="AB68"/>
    </row>
    <row r="69" spans="1:28" s="813" customFormat="1" ht="24.95" customHeight="1" x14ac:dyDescent="0.35">
      <c r="A69" s="968" t="s">
        <v>421</v>
      </c>
      <c r="B69" s="930" t="s">
        <v>545</v>
      </c>
      <c r="C69" s="925"/>
      <c r="D69" s="925" t="s">
        <v>90</v>
      </c>
      <c r="E69" s="925"/>
      <c r="F69" s="964" t="s">
        <v>676</v>
      </c>
      <c r="G69" s="964"/>
      <c r="H69" s="964" t="s">
        <v>603</v>
      </c>
      <c r="I69" s="965">
        <v>685000</v>
      </c>
      <c r="J69"/>
      <c r="K69"/>
      <c r="L69"/>
      <c r="M69"/>
      <c r="N69"/>
      <c r="O69"/>
      <c r="P69"/>
      <c r="Q69"/>
      <c r="R69"/>
      <c r="S69"/>
      <c r="T69"/>
      <c r="U69"/>
      <c r="V69"/>
      <c r="W69"/>
      <c r="X69"/>
      <c r="Y69"/>
      <c r="Z69"/>
      <c r="AA69"/>
      <c r="AB69"/>
    </row>
    <row r="70" spans="1:28" s="813" customFormat="1" ht="24.95" customHeight="1" x14ac:dyDescent="0.35">
      <c r="A70" s="968">
        <v>45952</v>
      </c>
      <c r="B70" s="930" t="s">
        <v>545</v>
      </c>
      <c r="C70" s="925"/>
      <c r="D70" s="925" t="s">
        <v>90</v>
      </c>
      <c r="E70" s="925"/>
      <c r="F70" s="964"/>
      <c r="G70" s="964"/>
      <c r="H70" s="964" t="s">
        <v>645</v>
      </c>
      <c r="I70" s="965" t="s">
        <v>419</v>
      </c>
      <c r="J70"/>
      <c r="K70"/>
      <c r="L70"/>
      <c r="M70"/>
      <c r="N70"/>
      <c r="O70"/>
      <c r="P70"/>
      <c r="Q70"/>
      <c r="R70"/>
      <c r="S70"/>
      <c r="T70"/>
      <c r="U70"/>
      <c r="V70"/>
      <c r="W70"/>
      <c r="X70"/>
      <c r="Y70"/>
      <c r="Z70"/>
      <c r="AA70"/>
      <c r="AB70"/>
    </row>
    <row r="71" spans="1:28" s="813" customFormat="1" ht="24.95" customHeight="1" x14ac:dyDescent="0.35">
      <c r="A71" s="968">
        <v>45985</v>
      </c>
      <c r="B71" s="930" t="s">
        <v>545</v>
      </c>
      <c r="C71" s="925"/>
      <c r="D71" s="925" t="s">
        <v>90</v>
      </c>
      <c r="E71" s="925"/>
      <c r="F71" s="964"/>
      <c r="G71" s="964"/>
      <c r="H71" s="964" t="s">
        <v>471</v>
      </c>
      <c r="I71" s="965" t="s">
        <v>419</v>
      </c>
      <c r="J71"/>
      <c r="K71"/>
      <c r="L71"/>
      <c r="M71"/>
      <c r="N71"/>
      <c r="O71"/>
      <c r="P71"/>
      <c r="Q71"/>
      <c r="R71"/>
      <c r="S71"/>
      <c r="T71"/>
      <c r="U71"/>
      <c r="V71"/>
      <c r="W71"/>
      <c r="X71"/>
      <c r="Y71"/>
      <c r="Z71"/>
      <c r="AA71"/>
      <c r="AB71"/>
    </row>
    <row r="72" spans="1:28" s="813" customFormat="1" ht="24.95" customHeight="1" x14ac:dyDescent="0.35">
      <c r="A72" s="968">
        <v>45986</v>
      </c>
      <c r="B72" s="930" t="s">
        <v>545</v>
      </c>
      <c r="C72" s="925"/>
      <c r="D72" s="925" t="s">
        <v>90</v>
      </c>
      <c r="E72" s="925"/>
      <c r="F72" s="964"/>
      <c r="G72" s="964"/>
      <c r="H72" s="964" t="s">
        <v>689</v>
      </c>
      <c r="I72" s="965" t="s">
        <v>419</v>
      </c>
      <c r="J72"/>
      <c r="K72"/>
      <c r="L72"/>
      <c r="M72"/>
      <c r="N72"/>
      <c r="O72"/>
      <c r="P72"/>
      <c r="Q72"/>
      <c r="R72"/>
      <c r="S72"/>
      <c r="T72"/>
      <c r="U72"/>
      <c r="V72"/>
      <c r="W72"/>
      <c r="X72"/>
      <c r="Y72"/>
      <c r="Z72"/>
      <c r="AA72"/>
      <c r="AB72"/>
    </row>
    <row r="73" spans="1:28" s="813" customFormat="1" ht="24.95" customHeight="1" x14ac:dyDescent="0.35">
      <c r="A73" s="968">
        <v>45630</v>
      </c>
      <c r="B73" s="930" t="s">
        <v>466</v>
      </c>
      <c r="C73" s="925"/>
      <c r="D73" s="925" t="s">
        <v>92</v>
      </c>
      <c r="E73" s="925"/>
      <c r="F73" s="964"/>
      <c r="G73" s="964"/>
      <c r="H73" s="964">
        <v>5939</v>
      </c>
      <c r="I73" s="965">
        <v>297900</v>
      </c>
      <c r="J73"/>
      <c r="K73"/>
      <c r="L73"/>
      <c r="M73"/>
      <c r="N73"/>
      <c r="O73"/>
      <c r="P73"/>
      <c r="Q73"/>
      <c r="R73"/>
      <c r="S73"/>
      <c r="T73"/>
      <c r="U73"/>
      <c r="V73"/>
      <c r="W73"/>
      <c r="X73"/>
      <c r="Y73"/>
      <c r="Z73"/>
      <c r="AA73"/>
      <c r="AB73"/>
    </row>
    <row r="74" spans="1:28" s="813" customFormat="1" ht="24.95" customHeight="1" x14ac:dyDescent="0.35">
      <c r="A74" s="968">
        <v>45749</v>
      </c>
      <c r="B74" s="930" t="s">
        <v>657</v>
      </c>
      <c r="C74" s="925"/>
      <c r="D74" s="925" t="s">
        <v>92</v>
      </c>
      <c r="E74" s="925"/>
      <c r="F74" s="964"/>
      <c r="G74" s="964"/>
      <c r="H74" s="964" t="s">
        <v>493</v>
      </c>
      <c r="I74" s="965">
        <v>11000</v>
      </c>
      <c r="J74"/>
      <c r="K74"/>
      <c r="L74"/>
      <c r="M74"/>
      <c r="N74"/>
      <c r="O74"/>
      <c r="P74"/>
      <c r="Q74"/>
      <c r="R74"/>
      <c r="S74"/>
      <c r="T74"/>
      <c r="U74"/>
      <c r="V74"/>
      <c r="W74"/>
      <c r="X74"/>
      <c r="Y74"/>
      <c r="Z74"/>
      <c r="AA74"/>
      <c r="AB74"/>
    </row>
    <row r="75" spans="1:28" s="813" customFormat="1" ht="24.95" customHeight="1" x14ac:dyDescent="0.35">
      <c r="A75" s="968">
        <v>45749</v>
      </c>
      <c r="B75" s="930" t="s">
        <v>657</v>
      </c>
      <c r="C75" s="925"/>
      <c r="D75" s="925" t="s">
        <v>92</v>
      </c>
      <c r="E75" s="925"/>
      <c r="F75" s="964"/>
      <c r="G75" s="964"/>
      <c r="H75" s="964" t="s">
        <v>494</v>
      </c>
      <c r="I75" s="965">
        <v>7500</v>
      </c>
      <c r="J75"/>
      <c r="K75"/>
      <c r="L75"/>
      <c r="M75"/>
      <c r="N75"/>
      <c r="O75"/>
      <c r="P75"/>
      <c r="Q75"/>
      <c r="R75"/>
      <c r="S75"/>
      <c r="T75"/>
      <c r="U75"/>
      <c r="V75"/>
      <c r="W75"/>
      <c r="X75"/>
      <c r="Y75"/>
      <c r="Z75"/>
      <c r="AA75"/>
      <c r="AB75"/>
    </row>
    <row r="76" spans="1:28" s="813" customFormat="1" ht="24.95" customHeight="1" x14ac:dyDescent="0.35">
      <c r="A76" s="968" t="s">
        <v>421</v>
      </c>
      <c r="B76" s="930" t="s">
        <v>270</v>
      </c>
      <c r="C76" s="925"/>
      <c r="D76" s="925" t="s">
        <v>90</v>
      </c>
      <c r="E76" s="925"/>
      <c r="F76" s="964"/>
      <c r="G76" s="964"/>
      <c r="H76" s="964">
        <v>5950</v>
      </c>
      <c r="I76" s="965" t="s">
        <v>419</v>
      </c>
      <c r="J76"/>
      <c r="K76"/>
      <c r="L76"/>
      <c r="M76"/>
      <c r="N76"/>
      <c r="O76"/>
      <c r="P76"/>
      <c r="Q76"/>
      <c r="R76"/>
      <c r="S76"/>
      <c r="T76"/>
      <c r="U76"/>
      <c r="V76"/>
      <c r="W76"/>
      <c r="X76"/>
      <c r="Y76"/>
      <c r="Z76"/>
      <c r="AA76"/>
      <c r="AB76"/>
    </row>
    <row r="77" spans="1:28" s="813" customFormat="1" ht="24.95" customHeight="1" x14ac:dyDescent="0.35">
      <c r="A77" s="968">
        <v>45700</v>
      </c>
      <c r="B77" s="930" t="s">
        <v>270</v>
      </c>
      <c r="C77" s="925"/>
      <c r="D77" s="925" t="s">
        <v>90</v>
      </c>
      <c r="E77" s="925"/>
      <c r="F77" s="964"/>
      <c r="G77" s="964"/>
      <c r="H77" s="964">
        <v>5990</v>
      </c>
      <c r="I77" s="965">
        <v>1200</v>
      </c>
      <c r="J77"/>
      <c r="K77"/>
      <c r="L77"/>
      <c r="M77"/>
      <c r="N77"/>
      <c r="O77"/>
      <c r="P77"/>
      <c r="Q77"/>
      <c r="R77"/>
      <c r="S77"/>
      <c r="T77"/>
      <c r="U77"/>
      <c r="V77"/>
      <c r="W77"/>
      <c r="X77"/>
      <c r="Y77"/>
      <c r="Z77"/>
      <c r="AA77"/>
      <c r="AB77"/>
    </row>
    <row r="78" spans="1:28" s="813" customFormat="1" ht="24.95" customHeight="1" x14ac:dyDescent="0.35">
      <c r="A78" s="968">
        <v>45896</v>
      </c>
      <c r="B78" s="930" t="s">
        <v>270</v>
      </c>
      <c r="C78" s="925"/>
      <c r="D78" s="925" t="s">
        <v>90</v>
      </c>
      <c r="E78" s="925"/>
      <c r="F78" s="964"/>
      <c r="G78" s="964"/>
      <c r="H78" s="964" t="s">
        <v>601</v>
      </c>
      <c r="I78" s="965" t="s">
        <v>419</v>
      </c>
      <c r="J78"/>
      <c r="K78"/>
      <c r="L78"/>
      <c r="M78"/>
      <c r="N78"/>
      <c r="O78"/>
      <c r="P78"/>
      <c r="Q78"/>
      <c r="R78"/>
      <c r="S78"/>
      <c r="T78"/>
      <c r="U78"/>
      <c r="V78"/>
      <c r="W78"/>
      <c r="X78"/>
      <c r="Y78"/>
      <c r="Z78"/>
      <c r="AA78"/>
      <c r="AB78"/>
    </row>
    <row r="79" spans="1:28" s="813" customFormat="1" ht="24.95" customHeight="1" x14ac:dyDescent="0.35">
      <c r="A79" s="968">
        <v>45908</v>
      </c>
      <c r="B79" s="930" t="s">
        <v>270</v>
      </c>
      <c r="C79" s="925"/>
      <c r="D79" s="925" t="s">
        <v>90</v>
      </c>
      <c r="E79" s="925"/>
      <c r="F79" s="964"/>
      <c r="G79" s="964"/>
      <c r="H79" s="964" t="s">
        <v>613</v>
      </c>
      <c r="I79" s="965">
        <v>240350</v>
      </c>
      <c r="J79"/>
      <c r="K79"/>
      <c r="L79"/>
      <c r="M79"/>
      <c r="N79"/>
      <c r="O79"/>
      <c r="P79"/>
      <c r="Q79"/>
      <c r="R79"/>
      <c r="S79"/>
      <c r="T79"/>
      <c r="U79"/>
      <c r="V79"/>
      <c r="W79"/>
      <c r="X79"/>
      <c r="Y79"/>
      <c r="Z79"/>
      <c r="AA79"/>
      <c r="AB79"/>
    </row>
    <row r="80" spans="1:28" s="813" customFormat="1" ht="24.95" customHeight="1" x14ac:dyDescent="0.35">
      <c r="A80" s="968">
        <v>45933</v>
      </c>
      <c r="B80" s="930" t="s">
        <v>270</v>
      </c>
      <c r="C80" s="925"/>
      <c r="D80" s="925" t="s">
        <v>90</v>
      </c>
      <c r="E80" s="925"/>
      <c r="F80" s="964"/>
      <c r="G80" s="964"/>
      <c r="H80" s="964" t="s">
        <v>671</v>
      </c>
      <c r="I80" s="965">
        <v>274513</v>
      </c>
      <c r="J80"/>
      <c r="K80"/>
      <c r="L80"/>
      <c r="M80"/>
      <c r="N80"/>
      <c r="O80"/>
      <c r="P80"/>
      <c r="Q80"/>
      <c r="R80"/>
      <c r="S80"/>
      <c r="T80"/>
      <c r="U80"/>
      <c r="V80"/>
      <c r="W80"/>
      <c r="X80"/>
      <c r="Y80"/>
      <c r="Z80"/>
      <c r="AA80"/>
      <c r="AB80"/>
    </row>
    <row r="81" spans="1:28" s="813" customFormat="1" ht="24.95" customHeight="1" x14ac:dyDescent="0.35">
      <c r="A81" s="968">
        <v>45944</v>
      </c>
      <c r="B81" s="930" t="s">
        <v>270</v>
      </c>
      <c r="C81" s="925"/>
      <c r="D81" s="925" t="s">
        <v>90</v>
      </c>
      <c r="E81" s="925"/>
      <c r="F81" s="964"/>
      <c r="G81" s="964"/>
      <c r="H81" s="964" t="s">
        <v>635</v>
      </c>
      <c r="I81" s="965">
        <v>58000</v>
      </c>
      <c r="J81"/>
      <c r="K81"/>
      <c r="L81"/>
      <c r="M81"/>
      <c r="N81"/>
      <c r="O81"/>
      <c r="P81"/>
      <c r="Q81"/>
      <c r="R81"/>
      <c r="S81"/>
      <c r="T81"/>
      <c r="U81"/>
      <c r="V81"/>
      <c r="W81"/>
      <c r="X81"/>
      <c r="Y81"/>
      <c r="Z81"/>
      <c r="AA81"/>
      <c r="AB81"/>
    </row>
    <row r="82" spans="1:28" s="813" customFormat="1" ht="24.95" customHeight="1" x14ac:dyDescent="0.35">
      <c r="A82" s="968">
        <v>45946</v>
      </c>
      <c r="B82" s="930" t="s">
        <v>270</v>
      </c>
      <c r="C82" s="925"/>
      <c r="D82" s="925" t="s">
        <v>90</v>
      </c>
      <c r="E82" s="925"/>
      <c r="F82" s="964"/>
      <c r="G82" s="964"/>
      <c r="H82" s="964" t="s">
        <v>638</v>
      </c>
      <c r="I82" s="965">
        <v>100000</v>
      </c>
      <c r="J82"/>
      <c r="K82"/>
      <c r="L82"/>
      <c r="M82"/>
      <c r="N82"/>
      <c r="O82"/>
      <c r="P82"/>
      <c r="Q82"/>
      <c r="R82"/>
      <c r="S82"/>
      <c r="T82"/>
      <c r="U82"/>
      <c r="V82"/>
      <c r="W82"/>
      <c r="X82"/>
      <c r="Y82"/>
      <c r="Z82"/>
      <c r="AA82"/>
      <c r="AB82"/>
    </row>
    <row r="83" spans="1:28" s="813" customFormat="1" ht="24.95" customHeight="1" x14ac:dyDescent="0.35">
      <c r="A83" s="968">
        <v>45946</v>
      </c>
      <c r="B83" s="930" t="s">
        <v>270</v>
      </c>
      <c r="C83" s="925"/>
      <c r="D83" s="925" t="s">
        <v>90</v>
      </c>
      <c r="E83" s="925"/>
      <c r="F83" s="964"/>
      <c r="G83" s="964"/>
      <c r="H83" s="964" t="s">
        <v>639</v>
      </c>
      <c r="I83" s="965">
        <v>89000</v>
      </c>
      <c r="J83"/>
      <c r="K83"/>
      <c r="L83"/>
      <c r="M83"/>
      <c r="N83"/>
      <c r="O83"/>
      <c r="P83"/>
      <c r="Q83"/>
      <c r="R83"/>
      <c r="S83"/>
      <c r="T83"/>
      <c r="U83"/>
      <c r="V83"/>
      <c r="W83"/>
      <c r="X83"/>
      <c r="Y83"/>
      <c r="Z83"/>
      <c r="AA83"/>
      <c r="AB83"/>
    </row>
    <row r="84" spans="1:28" s="813" customFormat="1" ht="24.95" customHeight="1" x14ac:dyDescent="0.35">
      <c r="A84" s="968">
        <v>45946</v>
      </c>
      <c r="B84" s="930" t="s">
        <v>270</v>
      </c>
      <c r="C84" s="925"/>
      <c r="D84" s="925" t="s">
        <v>90</v>
      </c>
      <c r="E84" s="925"/>
      <c r="F84" s="964"/>
      <c r="G84" s="964"/>
      <c r="H84" s="964" t="s">
        <v>640</v>
      </c>
      <c r="I84" s="965">
        <v>105000</v>
      </c>
      <c r="J84"/>
      <c r="K84"/>
      <c r="L84"/>
      <c r="M84"/>
      <c r="N84"/>
      <c r="O84"/>
      <c r="P84"/>
      <c r="Q84"/>
      <c r="R84"/>
      <c r="S84"/>
      <c r="T84"/>
      <c r="U84"/>
      <c r="V84"/>
      <c r="W84"/>
      <c r="X84"/>
      <c r="Y84"/>
      <c r="Z84"/>
      <c r="AA84"/>
      <c r="AB84"/>
    </row>
    <row r="85" spans="1:28" s="813" customFormat="1" ht="24.95" customHeight="1" x14ac:dyDescent="0.35">
      <c r="A85" s="968">
        <v>45817</v>
      </c>
      <c r="B85" s="983" t="s">
        <v>560</v>
      </c>
      <c r="C85" s="925"/>
      <c r="D85" s="964" t="s">
        <v>90</v>
      </c>
      <c r="E85" s="964"/>
      <c r="F85" s="964"/>
      <c r="G85" s="964"/>
      <c r="H85" s="964" t="s">
        <v>556</v>
      </c>
      <c r="I85" s="965" t="s">
        <v>419</v>
      </c>
      <c r="J85"/>
      <c r="K85"/>
      <c r="L85"/>
      <c r="M85"/>
      <c r="N85"/>
      <c r="O85"/>
      <c r="P85"/>
      <c r="Q85"/>
      <c r="R85"/>
      <c r="S85"/>
      <c r="T85"/>
      <c r="U85"/>
      <c r="V85"/>
      <c r="W85"/>
      <c r="X85"/>
      <c r="Y85"/>
      <c r="Z85"/>
      <c r="AA85"/>
      <c r="AB85"/>
    </row>
    <row r="86" spans="1:28" s="813" customFormat="1" ht="24.95" customHeight="1" x14ac:dyDescent="0.35">
      <c r="A86" s="968">
        <v>45854</v>
      </c>
      <c r="B86" s="983" t="s">
        <v>560</v>
      </c>
      <c r="C86" s="925"/>
      <c r="D86" s="964" t="s">
        <v>90</v>
      </c>
      <c r="E86" s="964"/>
      <c r="F86" s="964"/>
      <c r="G86" s="964"/>
      <c r="H86" s="964" t="s">
        <v>562</v>
      </c>
      <c r="I86" s="965" t="s">
        <v>419</v>
      </c>
      <c r="J86"/>
      <c r="K86"/>
      <c r="L86"/>
      <c r="M86"/>
      <c r="N86"/>
      <c r="O86"/>
      <c r="P86"/>
      <c r="Q86"/>
      <c r="R86"/>
      <c r="S86"/>
      <c r="T86"/>
      <c r="U86"/>
      <c r="V86"/>
      <c r="W86"/>
      <c r="X86"/>
      <c r="Y86"/>
      <c r="Z86"/>
      <c r="AA86"/>
      <c r="AB86"/>
    </row>
    <row r="87" spans="1:28" s="813" customFormat="1" ht="24.95" customHeight="1" x14ac:dyDescent="0.35">
      <c r="A87" s="968">
        <v>45993</v>
      </c>
      <c r="B87" s="983" t="s">
        <v>432</v>
      </c>
      <c r="C87" s="925"/>
      <c r="D87" s="964" t="s">
        <v>90</v>
      </c>
      <c r="E87" s="964"/>
      <c r="F87" s="964"/>
      <c r="G87" s="964"/>
      <c r="H87" s="964" t="s">
        <v>692</v>
      </c>
      <c r="I87" s="965" t="s">
        <v>419</v>
      </c>
      <c r="J87"/>
      <c r="K87"/>
      <c r="L87"/>
      <c r="M87"/>
      <c r="N87"/>
      <c r="O87"/>
      <c r="P87"/>
      <c r="Q87"/>
      <c r="R87"/>
      <c r="S87"/>
      <c r="T87"/>
      <c r="U87"/>
      <c r="V87"/>
      <c r="W87"/>
      <c r="X87"/>
      <c r="Y87"/>
      <c r="Z87"/>
      <c r="AA87"/>
      <c r="AB87"/>
    </row>
    <row r="88" spans="1:28" s="813" customFormat="1" ht="24.95" customHeight="1" x14ac:dyDescent="0.35">
      <c r="A88" s="968">
        <v>45708</v>
      </c>
      <c r="B88" s="930" t="s">
        <v>436</v>
      </c>
      <c r="C88" s="925"/>
      <c r="D88" s="964" t="s">
        <v>92</v>
      </c>
      <c r="E88" s="964"/>
      <c r="F88" s="964"/>
      <c r="G88" s="964"/>
      <c r="H88" s="964" t="s">
        <v>443</v>
      </c>
      <c r="I88" s="965" t="s">
        <v>693</v>
      </c>
      <c r="J88"/>
      <c r="K88"/>
      <c r="L88"/>
      <c r="M88"/>
      <c r="N88"/>
      <c r="O88"/>
      <c r="P88"/>
      <c r="Q88"/>
      <c r="R88"/>
      <c r="S88"/>
      <c r="T88"/>
      <c r="U88"/>
      <c r="V88"/>
      <c r="W88"/>
      <c r="X88"/>
      <c r="Y88"/>
      <c r="Z88"/>
      <c r="AA88"/>
      <c r="AB88"/>
    </row>
    <row r="89" spans="1:28" s="813" customFormat="1" ht="24.95" customHeight="1" x14ac:dyDescent="0.35">
      <c r="A89" s="968" t="s">
        <v>421</v>
      </c>
      <c r="B89" s="930" t="s">
        <v>434</v>
      </c>
      <c r="C89" s="925"/>
      <c r="D89" s="964" t="s">
        <v>90</v>
      </c>
      <c r="E89" s="964"/>
      <c r="F89" s="964"/>
      <c r="G89" s="964"/>
      <c r="H89" s="964" t="s">
        <v>665</v>
      </c>
      <c r="I89" s="965">
        <v>2977500</v>
      </c>
      <c r="J89"/>
      <c r="K89"/>
      <c r="L89"/>
      <c r="M89"/>
      <c r="N89"/>
      <c r="O89"/>
      <c r="P89"/>
      <c r="Q89"/>
      <c r="R89"/>
      <c r="S89"/>
      <c r="T89"/>
      <c r="U89"/>
      <c r="V89"/>
      <c r="W89"/>
      <c r="X89"/>
      <c r="Y89"/>
      <c r="Z89"/>
      <c r="AA89"/>
      <c r="AB89"/>
    </row>
    <row r="90" spans="1:28" s="813" customFormat="1" ht="24.95" customHeight="1" x14ac:dyDescent="0.35">
      <c r="A90" s="968">
        <v>45965</v>
      </c>
      <c r="B90" s="930" t="s">
        <v>434</v>
      </c>
      <c r="C90" s="925"/>
      <c r="D90" s="964" t="s">
        <v>90</v>
      </c>
      <c r="E90" s="964"/>
      <c r="F90" s="964"/>
      <c r="G90" s="964"/>
      <c r="H90" s="964" t="s">
        <v>672</v>
      </c>
      <c r="I90" s="965">
        <v>3950000</v>
      </c>
      <c r="J90"/>
      <c r="K90"/>
      <c r="L90"/>
      <c r="M90"/>
      <c r="N90"/>
      <c r="O90"/>
      <c r="P90"/>
      <c r="Q90"/>
      <c r="R90"/>
      <c r="S90"/>
      <c r="T90"/>
      <c r="U90"/>
      <c r="V90"/>
      <c r="W90"/>
      <c r="X90"/>
      <c r="Y90"/>
      <c r="Z90"/>
      <c r="AA90"/>
      <c r="AB90"/>
    </row>
    <row r="91" spans="1:28" s="813" customFormat="1" ht="24.95" customHeight="1" x14ac:dyDescent="0.35">
      <c r="A91" s="968">
        <v>45723</v>
      </c>
      <c r="B91" s="930" t="s">
        <v>428</v>
      </c>
      <c r="C91" s="925"/>
      <c r="D91" s="964" t="s">
        <v>92</v>
      </c>
      <c r="E91" s="964"/>
      <c r="F91" s="964"/>
      <c r="G91" s="964"/>
      <c r="H91" s="964" t="s">
        <v>501</v>
      </c>
      <c r="I91" s="965">
        <v>8000</v>
      </c>
      <c r="J91"/>
      <c r="K91"/>
      <c r="L91"/>
      <c r="M91"/>
      <c r="N91"/>
      <c r="O91"/>
      <c r="P91"/>
      <c r="Q91"/>
      <c r="R91"/>
      <c r="S91"/>
      <c r="T91"/>
      <c r="U91"/>
      <c r="V91"/>
      <c r="W91"/>
      <c r="X91"/>
      <c r="Y91"/>
      <c r="Z91"/>
      <c r="AA91"/>
      <c r="AB91"/>
    </row>
    <row r="92" spans="1:28" s="813" customFormat="1" ht="24.95" customHeight="1" x14ac:dyDescent="0.35">
      <c r="A92" s="968">
        <v>45828</v>
      </c>
      <c r="B92" s="930" t="s">
        <v>428</v>
      </c>
      <c r="C92" s="925"/>
      <c r="D92" s="964" t="s">
        <v>92</v>
      </c>
      <c r="E92" s="964"/>
      <c r="F92" s="964"/>
      <c r="G92" s="964"/>
      <c r="H92" s="964" t="s">
        <v>559</v>
      </c>
      <c r="I92" s="965" t="s">
        <v>419</v>
      </c>
      <c r="J92"/>
      <c r="K92"/>
      <c r="L92"/>
      <c r="M92"/>
      <c r="N92"/>
      <c r="O92"/>
      <c r="P92"/>
      <c r="Q92"/>
      <c r="R92"/>
      <c r="S92"/>
      <c r="T92"/>
      <c r="U92"/>
      <c r="V92"/>
      <c r="W92"/>
      <c r="X92"/>
      <c r="Y92"/>
      <c r="Z92"/>
      <c r="AA92"/>
      <c r="AB92"/>
    </row>
    <row r="93" spans="1:28" s="813" customFormat="1" ht="24.95" customHeight="1" x14ac:dyDescent="0.35">
      <c r="A93" s="968">
        <v>45748</v>
      </c>
      <c r="B93" s="930" t="s">
        <v>115</v>
      </c>
      <c r="C93" s="925"/>
      <c r="D93" s="964" t="s">
        <v>90</v>
      </c>
      <c r="E93" s="964"/>
      <c r="F93" s="964"/>
      <c r="G93" s="964"/>
      <c r="H93" s="964" t="s">
        <v>587</v>
      </c>
      <c r="I93" s="965">
        <v>244995</v>
      </c>
      <c r="J93"/>
      <c r="K93"/>
      <c r="L93"/>
      <c r="M93"/>
      <c r="N93"/>
      <c r="O93"/>
      <c r="P93"/>
      <c r="Q93"/>
      <c r="R93"/>
      <c r="S93"/>
      <c r="T93"/>
      <c r="U93"/>
      <c r="V93"/>
      <c r="W93"/>
      <c r="X93"/>
      <c r="Y93"/>
      <c r="Z93"/>
      <c r="AA93"/>
      <c r="AB93"/>
    </row>
    <row r="94" spans="1:28" s="782" customFormat="1" ht="24.95" customHeight="1" x14ac:dyDescent="0.35">
      <c r="A94" s="968" t="s">
        <v>421</v>
      </c>
      <c r="B94" s="983" t="s">
        <v>115</v>
      </c>
      <c r="C94" s="925"/>
      <c r="D94" s="964" t="s">
        <v>90</v>
      </c>
      <c r="E94" s="964"/>
      <c r="F94" s="964"/>
      <c r="G94" s="964"/>
      <c r="H94" s="964" t="s">
        <v>531</v>
      </c>
      <c r="I94" s="965">
        <v>782600</v>
      </c>
      <c r="J94"/>
      <c r="K94"/>
      <c r="L94"/>
      <c r="M94"/>
      <c r="N94"/>
      <c r="O94"/>
      <c r="P94"/>
      <c r="Q94"/>
      <c r="R94"/>
      <c r="S94"/>
      <c r="T94"/>
      <c r="U94"/>
      <c r="V94"/>
      <c r="W94"/>
      <c r="X94"/>
      <c r="Y94"/>
      <c r="Z94"/>
      <c r="AA94"/>
      <c r="AB94"/>
    </row>
    <row r="95" spans="1:28" s="749" customFormat="1" ht="24.95" customHeight="1" x14ac:dyDescent="0.35">
      <c r="A95" s="968">
        <v>45750</v>
      </c>
      <c r="B95" s="930" t="s">
        <v>438</v>
      </c>
      <c r="C95" s="925"/>
      <c r="D95" s="964" t="s">
        <v>90</v>
      </c>
      <c r="E95" s="964"/>
      <c r="F95" s="964"/>
      <c r="G95" s="964"/>
      <c r="H95" s="964" t="s">
        <v>495</v>
      </c>
      <c r="I95" s="965">
        <v>339500</v>
      </c>
      <c r="J95"/>
      <c r="K95"/>
      <c r="L95"/>
      <c r="M95"/>
      <c r="N95"/>
      <c r="O95"/>
      <c r="P95"/>
      <c r="Q95"/>
      <c r="R95"/>
      <c r="S95"/>
      <c r="T95"/>
      <c r="U95"/>
      <c r="V95"/>
      <c r="W95"/>
      <c r="X95"/>
      <c r="Y95"/>
      <c r="Z95"/>
      <c r="AA95"/>
      <c r="AB95"/>
    </row>
    <row r="96" spans="1:28" s="782" customFormat="1" ht="24.95" customHeight="1" x14ac:dyDescent="0.35">
      <c r="A96" s="968">
        <v>45750</v>
      </c>
      <c r="B96" s="930" t="s">
        <v>438</v>
      </c>
      <c r="C96" s="925"/>
      <c r="D96" s="964" t="s">
        <v>90</v>
      </c>
      <c r="E96" s="964"/>
      <c r="F96" s="964"/>
      <c r="G96" s="964"/>
      <c r="H96" s="964" t="s">
        <v>496</v>
      </c>
      <c r="I96" s="965">
        <v>339500</v>
      </c>
      <c r="J96"/>
      <c r="K96"/>
      <c r="L96"/>
      <c r="M96"/>
      <c r="N96"/>
      <c r="O96"/>
      <c r="P96"/>
      <c r="Q96"/>
      <c r="R96"/>
      <c r="S96"/>
      <c r="T96"/>
      <c r="U96"/>
      <c r="V96"/>
      <c r="W96"/>
      <c r="X96"/>
      <c r="Y96"/>
      <c r="Z96"/>
      <c r="AA96"/>
      <c r="AB96"/>
    </row>
    <row r="97" spans="1:28" s="782" customFormat="1" ht="24.95" customHeight="1" x14ac:dyDescent="0.35">
      <c r="A97" s="968" t="s">
        <v>421</v>
      </c>
      <c r="B97" s="930" t="s">
        <v>438</v>
      </c>
      <c r="C97" s="925"/>
      <c r="D97" s="964" t="s">
        <v>90</v>
      </c>
      <c r="E97" s="964"/>
      <c r="F97" s="964"/>
      <c r="G97" s="964"/>
      <c r="H97" s="964" t="s">
        <v>566</v>
      </c>
      <c r="I97" s="965" t="s">
        <v>419</v>
      </c>
      <c r="J97"/>
      <c r="K97"/>
      <c r="L97"/>
      <c r="M97"/>
      <c r="N97"/>
      <c r="O97"/>
      <c r="P97"/>
      <c r="Q97"/>
      <c r="R97"/>
      <c r="S97"/>
      <c r="T97"/>
      <c r="U97"/>
      <c r="V97"/>
      <c r="W97"/>
      <c r="X97"/>
      <c r="Y97"/>
      <c r="Z97"/>
      <c r="AA97"/>
      <c r="AB97"/>
    </row>
    <row r="98" spans="1:28" s="782" customFormat="1" ht="24.95" customHeight="1" x14ac:dyDescent="0.35">
      <c r="A98" s="968" t="s">
        <v>421</v>
      </c>
      <c r="B98" s="930" t="s">
        <v>438</v>
      </c>
      <c r="C98" s="925"/>
      <c r="D98" s="964" t="s">
        <v>90</v>
      </c>
      <c r="E98" s="964"/>
      <c r="F98" s="964"/>
      <c r="G98" s="964"/>
      <c r="H98" s="964" t="s">
        <v>661</v>
      </c>
      <c r="I98" s="965">
        <v>363300</v>
      </c>
      <c r="J98"/>
      <c r="K98"/>
      <c r="L98"/>
      <c r="M98"/>
      <c r="N98"/>
      <c r="O98"/>
      <c r="P98"/>
      <c r="Q98"/>
      <c r="R98"/>
      <c r="S98"/>
      <c r="T98"/>
      <c r="U98"/>
      <c r="V98"/>
      <c r="W98"/>
      <c r="X98"/>
      <c r="Y98"/>
      <c r="Z98"/>
      <c r="AA98"/>
      <c r="AB98"/>
    </row>
    <row r="99" spans="1:28" s="782" customFormat="1" ht="24.95" customHeight="1" x14ac:dyDescent="0.35">
      <c r="A99" s="968" t="s">
        <v>421</v>
      </c>
      <c r="B99" s="930" t="s">
        <v>438</v>
      </c>
      <c r="C99" s="925"/>
      <c r="D99" s="964" t="s">
        <v>90</v>
      </c>
      <c r="E99" s="964"/>
      <c r="F99" s="964"/>
      <c r="G99" s="964"/>
      <c r="H99" s="964" t="s">
        <v>540</v>
      </c>
      <c r="I99" s="965" t="s">
        <v>419</v>
      </c>
      <c r="J99"/>
      <c r="K99"/>
      <c r="L99"/>
      <c r="M99"/>
      <c r="N99"/>
      <c r="O99"/>
      <c r="P99"/>
      <c r="Q99"/>
      <c r="R99"/>
      <c r="S99"/>
      <c r="T99"/>
      <c r="U99"/>
      <c r="V99"/>
      <c r="W99"/>
      <c r="X99"/>
      <c r="Y99"/>
      <c r="Z99"/>
      <c r="AA99"/>
      <c r="AB99"/>
    </row>
    <row r="100" spans="1:28" s="749" customFormat="1" ht="24.95" customHeight="1" x14ac:dyDescent="0.35">
      <c r="A100" s="968" t="s">
        <v>421</v>
      </c>
      <c r="B100" s="930" t="s">
        <v>299</v>
      </c>
      <c r="C100" s="925"/>
      <c r="D100" s="925" t="s">
        <v>92</v>
      </c>
      <c r="E100" s="925"/>
      <c r="F100" s="964"/>
      <c r="G100" s="964"/>
      <c r="H100" s="964" t="s">
        <v>506</v>
      </c>
      <c r="I100" s="965">
        <v>77261.850000000006</v>
      </c>
      <c r="J100"/>
      <c r="K100"/>
      <c r="L100"/>
      <c r="M100"/>
      <c r="N100"/>
      <c r="O100"/>
      <c r="P100"/>
      <c r="Q100"/>
      <c r="R100"/>
      <c r="S100"/>
      <c r="T100"/>
      <c r="U100"/>
      <c r="V100"/>
      <c r="W100"/>
      <c r="X100"/>
      <c r="Y100"/>
      <c r="Z100"/>
      <c r="AA100"/>
      <c r="AB100"/>
    </row>
    <row r="101" spans="1:28" s="749" customFormat="1" ht="24.95" customHeight="1" x14ac:dyDescent="0.35">
      <c r="A101" s="968" t="s">
        <v>421</v>
      </c>
      <c r="B101" s="930" t="s">
        <v>299</v>
      </c>
      <c r="C101" s="925"/>
      <c r="D101" s="925" t="s">
        <v>92</v>
      </c>
      <c r="E101" s="925"/>
      <c r="F101" s="964"/>
      <c r="G101" s="964"/>
      <c r="H101" s="964" t="s">
        <v>525</v>
      </c>
      <c r="I101" s="965">
        <v>86950</v>
      </c>
      <c r="J101"/>
      <c r="K101"/>
      <c r="L101"/>
      <c r="M101"/>
      <c r="N101"/>
      <c r="O101"/>
      <c r="P101"/>
      <c r="Q101"/>
      <c r="R101"/>
      <c r="S101"/>
      <c r="T101"/>
      <c r="U101"/>
      <c r="V101"/>
      <c r="W101"/>
      <c r="X101"/>
      <c r="Y101"/>
      <c r="Z101"/>
      <c r="AA101"/>
      <c r="AB101"/>
    </row>
    <row r="102" spans="1:28" s="782" customFormat="1" ht="24.95" customHeight="1" x14ac:dyDescent="0.35">
      <c r="A102" s="968">
        <v>45790</v>
      </c>
      <c r="B102" s="930" t="s">
        <v>660</v>
      </c>
      <c r="C102" s="925"/>
      <c r="D102" s="925" t="s">
        <v>90</v>
      </c>
      <c r="E102" s="925"/>
      <c r="F102" s="964"/>
      <c r="G102" s="964"/>
      <c r="H102" s="964" t="s">
        <v>520</v>
      </c>
      <c r="I102" s="965">
        <v>487467.5</v>
      </c>
      <c r="J102"/>
      <c r="K102"/>
      <c r="L102"/>
      <c r="M102"/>
      <c r="N102"/>
      <c r="O102"/>
      <c r="P102"/>
      <c r="Q102"/>
      <c r="R102"/>
      <c r="S102"/>
      <c r="T102"/>
      <c r="U102"/>
      <c r="V102"/>
      <c r="W102"/>
      <c r="X102"/>
      <c r="Y102"/>
      <c r="Z102"/>
      <c r="AA102"/>
      <c r="AB102"/>
    </row>
    <row r="103" spans="1:28" s="782" customFormat="1" ht="24.95" customHeight="1" x14ac:dyDescent="0.35">
      <c r="A103" s="968">
        <v>45897</v>
      </c>
      <c r="B103" s="930" t="s">
        <v>660</v>
      </c>
      <c r="C103" s="925"/>
      <c r="D103" s="925" t="s">
        <v>90</v>
      </c>
      <c r="E103" s="925"/>
      <c r="F103" s="964"/>
      <c r="G103" s="964"/>
      <c r="H103" s="964" t="s">
        <v>606</v>
      </c>
      <c r="I103" s="965">
        <v>476000</v>
      </c>
      <c r="J103"/>
      <c r="K103"/>
      <c r="L103"/>
      <c r="M103"/>
      <c r="N103"/>
      <c r="O103"/>
      <c r="P103"/>
      <c r="Q103"/>
      <c r="R103"/>
      <c r="S103"/>
      <c r="T103"/>
      <c r="U103"/>
      <c r="V103"/>
      <c r="W103"/>
      <c r="X103"/>
      <c r="Y103"/>
      <c r="Z103"/>
      <c r="AA103"/>
      <c r="AB103"/>
    </row>
    <row r="104" spans="1:28" s="782" customFormat="1" ht="24.95" customHeight="1" x14ac:dyDescent="0.35">
      <c r="A104" s="968">
        <v>45897</v>
      </c>
      <c r="B104" s="930" t="s">
        <v>660</v>
      </c>
      <c r="C104" s="925"/>
      <c r="D104" s="925" t="s">
        <v>90</v>
      </c>
      <c r="E104" s="925"/>
      <c r="F104" s="964"/>
      <c r="G104" s="964"/>
      <c r="H104" s="964" t="s">
        <v>608</v>
      </c>
      <c r="I104" s="965">
        <v>117000</v>
      </c>
      <c r="J104"/>
      <c r="K104"/>
      <c r="L104"/>
      <c r="M104"/>
      <c r="N104"/>
      <c r="O104"/>
      <c r="P104"/>
      <c r="Q104"/>
      <c r="R104"/>
      <c r="S104"/>
      <c r="T104"/>
      <c r="U104"/>
      <c r="V104"/>
      <c r="W104"/>
      <c r="X104"/>
      <c r="Y104"/>
      <c r="Z104"/>
      <c r="AA104"/>
      <c r="AB104"/>
    </row>
    <row r="105" spans="1:28" s="782" customFormat="1" ht="24.95" customHeight="1" x14ac:dyDescent="0.35">
      <c r="A105" s="968">
        <v>45973</v>
      </c>
      <c r="B105" s="930" t="s">
        <v>660</v>
      </c>
      <c r="C105" s="925"/>
      <c r="D105" s="925" t="s">
        <v>90</v>
      </c>
      <c r="E105" s="925"/>
      <c r="F105" s="964"/>
      <c r="G105" s="964"/>
      <c r="H105" s="964" t="s">
        <v>677</v>
      </c>
      <c r="I105" s="965">
        <v>39180</v>
      </c>
      <c r="J105"/>
      <c r="K105"/>
      <c r="L105"/>
      <c r="M105"/>
      <c r="N105"/>
      <c r="O105"/>
      <c r="P105"/>
      <c r="Q105"/>
      <c r="R105"/>
      <c r="S105"/>
      <c r="T105"/>
      <c r="U105"/>
      <c r="V105"/>
      <c r="W105"/>
      <c r="X105"/>
      <c r="Y105"/>
      <c r="Z105"/>
      <c r="AA105"/>
      <c r="AB105"/>
    </row>
    <row r="106" spans="1:28" s="782" customFormat="1" ht="24.95" customHeight="1" x14ac:dyDescent="0.35">
      <c r="A106" s="968">
        <v>45804</v>
      </c>
      <c r="B106" s="930" t="s">
        <v>533</v>
      </c>
      <c r="C106" s="925"/>
      <c r="D106" s="925" t="s">
        <v>92</v>
      </c>
      <c r="E106" s="925"/>
      <c r="F106" s="964"/>
      <c r="G106" s="964"/>
      <c r="H106" s="964" t="s">
        <v>534</v>
      </c>
      <c r="I106" s="965" t="s">
        <v>419</v>
      </c>
      <c r="J106"/>
      <c r="K106"/>
      <c r="L106"/>
      <c r="M106"/>
      <c r="N106"/>
      <c r="O106"/>
      <c r="P106"/>
      <c r="Q106"/>
      <c r="R106"/>
      <c r="S106"/>
      <c r="T106"/>
      <c r="U106"/>
      <c r="V106"/>
      <c r="W106"/>
      <c r="X106"/>
      <c r="Y106"/>
      <c r="Z106"/>
      <c r="AA106"/>
      <c r="AB106"/>
    </row>
    <row r="107" spans="1:28" s="782" customFormat="1" ht="24.95" customHeight="1" x14ac:dyDescent="0.35">
      <c r="A107" s="968" t="s">
        <v>557</v>
      </c>
      <c r="B107" s="930" t="s">
        <v>662</v>
      </c>
      <c r="C107" s="925"/>
      <c r="D107" s="964" t="s">
        <v>92</v>
      </c>
      <c r="E107" s="964"/>
      <c r="F107" s="964"/>
      <c r="G107" s="964"/>
      <c r="H107" s="964" t="s">
        <v>564</v>
      </c>
      <c r="I107" s="965">
        <v>115000</v>
      </c>
      <c r="J107"/>
      <c r="K107"/>
      <c r="L107"/>
      <c r="M107"/>
      <c r="N107"/>
      <c r="O107"/>
      <c r="P107"/>
      <c r="Q107"/>
      <c r="R107"/>
      <c r="S107"/>
      <c r="T107"/>
      <c r="U107"/>
      <c r="V107"/>
      <c r="W107"/>
      <c r="X107"/>
      <c r="Y107"/>
      <c r="Z107"/>
      <c r="AA107"/>
      <c r="AB107"/>
    </row>
    <row r="108" spans="1:28" s="782" customFormat="1" ht="24.95" customHeight="1" x14ac:dyDescent="0.35">
      <c r="A108" s="968" t="s">
        <v>421</v>
      </c>
      <c r="B108" s="930" t="s">
        <v>662</v>
      </c>
      <c r="C108" s="925"/>
      <c r="D108" s="964" t="s">
        <v>92</v>
      </c>
      <c r="E108" s="964"/>
      <c r="F108" s="964"/>
      <c r="G108" s="964"/>
      <c r="H108" s="964" t="s">
        <v>565</v>
      </c>
      <c r="I108" s="965">
        <v>25895</v>
      </c>
      <c r="J108"/>
      <c r="K108"/>
      <c r="L108"/>
      <c r="M108"/>
      <c r="N108"/>
      <c r="O108"/>
      <c r="P108"/>
      <c r="Q108"/>
      <c r="R108"/>
      <c r="S108"/>
      <c r="T108"/>
      <c r="U108"/>
      <c r="V108"/>
      <c r="W108"/>
      <c r="X108"/>
      <c r="Y108"/>
      <c r="Z108"/>
      <c r="AA108"/>
      <c r="AB108"/>
    </row>
    <row r="109" spans="1:28" s="782" customFormat="1" ht="24.95" customHeight="1" x14ac:dyDescent="0.35">
      <c r="A109" s="968" t="s">
        <v>421</v>
      </c>
      <c r="B109" s="930" t="s">
        <v>663</v>
      </c>
      <c r="C109" s="925"/>
      <c r="D109" s="964" t="s">
        <v>90</v>
      </c>
      <c r="E109" s="964"/>
      <c r="F109" s="964"/>
      <c r="G109" s="964"/>
      <c r="H109" s="964" t="s">
        <v>571</v>
      </c>
      <c r="I109" s="965">
        <v>45000</v>
      </c>
      <c r="J109"/>
      <c r="K109"/>
      <c r="L109"/>
      <c r="M109"/>
      <c r="N109"/>
      <c r="O109"/>
      <c r="P109"/>
      <c r="Q109"/>
      <c r="R109"/>
      <c r="S109"/>
      <c r="T109"/>
      <c r="U109"/>
      <c r="V109"/>
      <c r="W109"/>
      <c r="X109"/>
      <c r="Y109"/>
      <c r="Z109"/>
      <c r="AA109"/>
      <c r="AB109"/>
    </row>
    <row r="110" spans="1:28" s="782" customFormat="1" ht="24.95" customHeight="1" x14ac:dyDescent="0.35">
      <c r="A110" s="968">
        <v>45883</v>
      </c>
      <c r="B110" s="930" t="s">
        <v>663</v>
      </c>
      <c r="C110" s="925"/>
      <c r="D110" s="964" t="s">
        <v>90</v>
      </c>
      <c r="E110" s="964"/>
      <c r="F110" s="964"/>
      <c r="G110" s="964"/>
      <c r="H110" s="964" t="s">
        <v>595</v>
      </c>
      <c r="I110" s="965">
        <v>152000</v>
      </c>
      <c r="J110"/>
      <c r="K110"/>
      <c r="L110"/>
      <c r="M110"/>
      <c r="N110"/>
      <c r="O110"/>
      <c r="P110"/>
      <c r="Q110"/>
      <c r="R110"/>
      <c r="S110"/>
      <c r="T110"/>
      <c r="U110"/>
      <c r="V110"/>
      <c r="W110"/>
      <c r="X110"/>
      <c r="Y110"/>
      <c r="Z110"/>
      <c r="AA110"/>
      <c r="AB110"/>
    </row>
    <row r="111" spans="1:28" s="941" customFormat="1" ht="24.95" customHeight="1" x14ac:dyDescent="0.35">
      <c r="A111" s="968">
        <v>45874</v>
      </c>
      <c r="B111" s="930" t="s">
        <v>664</v>
      </c>
      <c r="C111" s="925"/>
      <c r="D111" s="964" t="s">
        <v>92</v>
      </c>
      <c r="E111" s="964"/>
      <c r="F111" s="964"/>
      <c r="G111" s="964"/>
      <c r="H111" s="964" t="s">
        <v>585</v>
      </c>
      <c r="I111" s="965">
        <v>105000</v>
      </c>
      <c r="J111"/>
      <c r="K111"/>
      <c r="L111"/>
      <c r="M111"/>
      <c r="N111"/>
      <c r="O111"/>
      <c r="P111"/>
      <c r="Q111"/>
      <c r="R111"/>
      <c r="S111"/>
      <c r="T111"/>
      <c r="U111"/>
      <c r="V111"/>
      <c r="W111"/>
      <c r="X111"/>
      <c r="Y111"/>
      <c r="Z111"/>
      <c r="AA111"/>
      <c r="AB111"/>
    </row>
    <row r="112" spans="1:28" s="941" customFormat="1" ht="24.95" customHeight="1" x14ac:dyDescent="0.35">
      <c r="A112" s="968">
        <v>45993</v>
      </c>
      <c r="B112" s="930" t="s">
        <v>664</v>
      </c>
      <c r="C112" s="925"/>
      <c r="D112" s="964" t="s">
        <v>92</v>
      </c>
      <c r="E112" s="964"/>
      <c r="F112" s="964"/>
      <c r="G112" s="964"/>
      <c r="H112" s="964" t="s">
        <v>694</v>
      </c>
      <c r="I112" s="965" t="s">
        <v>419</v>
      </c>
      <c r="J112"/>
      <c r="K112"/>
      <c r="L112"/>
      <c r="M112"/>
      <c r="N112"/>
      <c r="O112"/>
      <c r="P112"/>
      <c r="Q112"/>
      <c r="R112"/>
      <c r="S112"/>
      <c r="T112"/>
      <c r="U112"/>
      <c r="V112"/>
      <c r="W112"/>
      <c r="X112"/>
      <c r="Y112"/>
      <c r="Z112"/>
      <c r="AA112"/>
      <c r="AB112"/>
    </row>
    <row r="113" spans="1:28" s="749" customFormat="1" ht="24.95" customHeight="1" x14ac:dyDescent="0.35">
      <c r="A113" s="968">
        <v>45978</v>
      </c>
      <c r="B113" s="930" t="s">
        <v>281</v>
      </c>
      <c r="C113" s="925"/>
      <c r="D113" s="964" t="s">
        <v>282</v>
      </c>
      <c r="E113" s="964"/>
      <c r="F113" s="964"/>
      <c r="G113" s="964"/>
      <c r="H113" s="964" t="s">
        <v>678</v>
      </c>
      <c r="I113" s="965">
        <v>317000</v>
      </c>
      <c r="J113"/>
      <c r="K113"/>
      <c r="L113"/>
      <c r="M113"/>
      <c r="N113"/>
      <c r="O113"/>
      <c r="P113"/>
      <c r="Q113"/>
      <c r="R113"/>
      <c r="S113"/>
      <c r="T113"/>
      <c r="U113"/>
      <c r="V113"/>
      <c r="W113"/>
      <c r="X113"/>
      <c r="Y113"/>
      <c r="Z113"/>
      <c r="AA113"/>
      <c r="AB113"/>
    </row>
    <row r="114" spans="1:28" s="749" customFormat="1" ht="24.95" customHeight="1" x14ac:dyDescent="0.35">
      <c r="A114" s="968">
        <v>45772</v>
      </c>
      <c r="B114" s="930" t="s">
        <v>596</v>
      </c>
      <c r="C114" s="925"/>
      <c r="D114" s="964" t="s">
        <v>92</v>
      </c>
      <c r="E114" s="964"/>
      <c r="F114" s="964"/>
      <c r="G114" s="964"/>
      <c r="H114" s="964" t="s">
        <v>597</v>
      </c>
      <c r="I114" s="965">
        <v>142240</v>
      </c>
      <c r="J114"/>
      <c r="K114"/>
      <c r="L114"/>
      <c r="M114"/>
      <c r="N114"/>
      <c r="O114"/>
      <c r="P114"/>
      <c r="Q114"/>
      <c r="R114"/>
      <c r="S114"/>
      <c r="T114"/>
      <c r="U114"/>
      <c r="V114"/>
      <c r="W114"/>
      <c r="X114"/>
      <c r="Y114"/>
      <c r="Z114"/>
      <c r="AA114"/>
      <c r="AB114"/>
    </row>
    <row r="115" spans="1:28" s="749" customFormat="1" ht="24.95" customHeight="1" x14ac:dyDescent="0.35">
      <c r="A115" s="968">
        <v>45896</v>
      </c>
      <c r="B115" s="930" t="s">
        <v>619</v>
      </c>
      <c r="C115" s="925"/>
      <c r="D115" s="964" t="s">
        <v>221</v>
      </c>
      <c r="E115" s="964"/>
      <c r="F115" s="964"/>
      <c r="G115" s="964"/>
      <c r="H115" s="964" t="s">
        <v>620</v>
      </c>
      <c r="I115" s="965">
        <v>176994</v>
      </c>
      <c r="J115"/>
      <c r="K115"/>
      <c r="L115"/>
      <c r="M115"/>
      <c r="N115"/>
      <c r="O115"/>
      <c r="P115"/>
      <c r="Q115"/>
      <c r="R115"/>
      <c r="S115"/>
      <c r="T115"/>
      <c r="U115"/>
      <c r="V115"/>
      <c r="W115"/>
      <c r="X115"/>
      <c r="Y115"/>
      <c r="Z115"/>
      <c r="AA115"/>
      <c r="AB115"/>
    </row>
    <row r="116" spans="1:28" s="782" customFormat="1" ht="24.95" customHeight="1" x14ac:dyDescent="0.35">
      <c r="A116" s="968">
        <v>45897</v>
      </c>
      <c r="B116" s="930" t="s">
        <v>666</v>
      </c>
      <c r="C116" s="925"/>
      <c r="D116" s="964" t="s">
        <v>92</v>
      </c>
      <c r="E116" s="964"/>
      <c r="F116" s="964"/>
      <c r="G116" s="964"/>
      <c r="H116" s="964" t="s">
        <v>602</v>
      </c>
      <c r="I116" s="965">
        <v>3500</v>
      </c>
      <c r="J116"/>
      <c r="K116"/>
      <c r="L116"/>
      <c r="M116"/>
      <c r="N116"/>
      <c r="O116"/>
      <c r="P116"/>
      <c r="Q116"/>
      <c r="R116"/>
      <c r="S116"/>
      <c r="T116"/>
      <c r="U116"/>
      <c r="V116"/>
      <c r="W116"/>
      <c r="X116"/>
      <c r="Y116"/>
      <c r="Z116"/>
      <c r="AA116"/>
      <c r="AB116"/>
    </row>
    <row r="117" spans="1:28" s="782" customFormat="1" ht="24.95" customHeight="1" x14ac:dyDescent="0.35">
      <c r="A117" s="968">
        <v>45908</v>
      </c>
      <c r="B117" s="930" t="s">
        <v>614</v>
      </c>
      <c r="C117" s="925"/>
      <c r="D117" s="964" t="s">
        <v>92</v>
      </c>
      <c r="E117" s="964"/>
      <c r="F117" s="964"/>
      <c r="G117" s="964"/>
      <c r="H117" s="964" t="s">
        <v>615</v>
      </c>
      <c r="I117" s="965" t="s">
        <v>419</v>
      </c>
      <c r="J117"/>
      <c r="K117"/>
      <c r="L117"/>
      <c r="M117"/>
      <c r="N117"/>
      <c r="O117"/>
      <c r="P117"/>
      <c r="Q117"/>
      <c r="R117"/>
      <c r="S117"/>
      <c r="T117"/>
      <c r="U117"/>
      <c r="V117"/>
      <c r="W117"/>
      <c r="X117"/>
      <c r="Y117"/>
      <c r="Z117"/>
      <c r="AA117"/>
      <c r="AB117"/>
    </row>
    <row r="118" spans="1:28" s="782" customFormat="1" ht="24.95" customHeight="1" x14ac:dyDescent="0.35">
      <c r="A118" s="968">
        <v>45923</v>
      </c>
      <c r="B118" s="930" t="s">
        <v>614</v>
      </c>
      <c r="C118" s="925"/>
      <c r="D118" s="964" t="s">
        <v>92</v>
      </c>
      <c r="E118" s="964"/>
      <c r="F118" s="964"/>
      <c r="G118" s="964"/>
      <c r="H118" s="964" t="s">
        <v>626</v>
      </c>
      <c r="I118" s="965" t="s">
        <v>419</v>
      </c>
      <c r="J118"/>
      <c r="K118"/>
      <c r="L118"/>
      <c r="M118"/>
      <c r="N118"/>
      <c r="O118"/>
      <c r="P118"/>
      <c r="Q118"/>
      <c r="R118"/>
      <c r="S118"/>
      <c r="T118"/>
      <c r="U118"/>
      <c r="V118"/>
      <c r="W118"/>
      <c r="X118"/>
      <c r="Y118"/>
      <c r="Z118"/>
      <c r="AA118"/>
      <c r="AB118"/>
    </row>
    <row r="119" spans="1:28" s="782" customFormat="1" ht="24.95" customHeight="1" x14ac:dyDescent="0.35">
      <c r="A119" s="968">
        <v>45909</v>
      </c>
      <c r="B119" s="930" t="s">
        <v>617</v>
      </c>
      <c r="C119" s="925"/>
      <c r="D119" s="964" t="s">
        <v>92</v>
      </c>
      <c r="E119" s="964"/>
      <c r="F119" s="964"/>
      <c r="G119" s="964"/>
      <c r="H119" s="964" t="s">
        <v>618</v>
      </c>
      <c r="I119" s="965">
        <v>193995</v>
      </c>
      <c r="J119"/>
      <c r="K119"/>
      <c r="L119"/>
      <c r="M119"/>
      <c r="N119"/>
      <c r="O119"/>
      <c r="P119"/>
      <c r="Q119"/>
      <c r="R119"/>
      <c r="S119"/>
      <c r="T119"/>
      <c r="U119"/>
      <c r="V119"/>
      <c r="W119"/>
      <c r="X119"/>
      <c r="Y119"/>
      <c r="Z119"/>
      <c r="AA119"/>
      <c r="AB119"/>
    </row>
    <row r="120" spans="1:28" s="782" customFormat="1" ht="24.95" customHeight="1" x14ac:dyDescent="0.35">
      <c r="A120" s="968">
        <v>45911</v>
      </c>
      <c r="B120" s="930" t="s">
        <v>617</v>
      </c>
      <c r="C120" s="925"/>
      <c r="D120" s="964" t="s">
        <v>92</v>
      </c>
      <c r="E120" s="964"/>
      <c r="F120" s="964"/>
      <c r="G120" s="964"/>
      <c r="H120" s="964" t="s">
        <v>624</v>
      </c>
      <c r="I120" s="965">
        <v>5400</v>
      </c>
      <c r="J120"/>
      <c r="K120"/>
      <c r="L120"/>
      <c r="M120"/>
      <c r="N120"/>
      <c r="O120"/>
      <c r="P120"/>
      <c r="Q120"/>
      <c r="R120"/>
      <c r="S120"/>
      <c r="T120"/>
      <c r="U120"/>
      <c r="V120"/>
      <c r="W120"/>
      <c r="X120"/>
      <c r="Y120"/>
      <c r="Z120"/>
      <c r="AA120"/>
      <c r="AB120"/>
    </row>
    <row r="121" spans="1:28" s="941" customFormat="1" ht="24.95" customHeight="1" x14ac:dyDescent="0.35">
      <c r="A121" s="968">
        <v>45912</v>
      </c>
      <c r="B121" s="930" t="s">
        <v>617</v>
      </c>
      <c r="C121" s="925"/>
      <c r="D121" s="964" t="s">
        <v>92</v>
      </c>
      <c r="E121" s="964"/>
      <c r="F121" s="964"/>
      <c r="G121" s="964"/>
      <c r="H121" s="964" t="s">
        <v>625</v>
      </c>
      <c r="I121" s="965">
        <v>5400</v>
      </c>
      <c r="J121"/>
      <c r="K121"/>
      <c r="L121"/>
      <c r="M121"/>
      <c r="N121"/>
      <c r="O121"/>
      <c r="P121"/>
      <c r="Q121"/>
      <c r="R121"/>
      <c r="S121"/>
      <c r="T121"/>
      <c r="U121"/>
      <c r="V121"/>
      <c r="W121"/>
      <c r="X121"/>
      <c r="Y121"/>
      <c r="Z121"/>
      <c r="AA121"/>
      <c r="AB121"/>
    </row>
    <row r="122" spans="1:28" s="749" customFormat="1" ht="24.95" customHeight="1" x14ac:dyDescent="0.35">
      <c r="A122" s="968">
        <v>45929</v>
      </c>
      <c r="B122" s="930" t="s">
        <v>617</v>
      </c>
      <c r="C122" s="925"/>
      <c r="D122" s="964" t="s">
        <v>92</v>
      </c>
      <c r="E122" s="964"/>
      <c r="F122" s="964"/>
      <c r="G122" s="964"/>
      <c r="H122" s="964" t="s">
        <v>667</v>
      </c>
      <c r="I122" s="965">
        <v>180000</v>
      </c>
      <c r="J122"/>
      <c r="K122"/>
      <c r="L122"/>
      <c r="M122"/>
      <c r="N122"/>
      <c r="O122"/>
      <c r="P122"/>
      <c r="Q122"/>
      <c r="R122"/>
      <c r="S122"/>
      <c r="T122"/>
      <c r="U122"/>
      <c r="V122"/>
      <c r="W122"/>
      <c r="X122"/>
      <c r="Y122"/>
      <c r="Z122"/>
      <c r="AA122"/>
      <c r="AB122"/>
    </row>
    <row r="123" spans="1:28" s="749" customFormat="1" ht="24.95" customHeight="1" x14ac:dyDescent="0.35">
      <c r="A123" s="968">
        <v>45944</v>
      </c>
      <c r="B123" s="930" t="s">
        <v>636</v>
      </c>
      <c r="C123" s="925"/>
      <c r="D123" s="964" t="s">
        <v>92</v>
      </c>
      <c r="E123" s="964"/>
      <c r="F123" s="964"/>
      <c r="G123" s="964"/>
      <c r="H123" s="964" t="s">
        <v>637</v>
      </c>
      <c r="I123" s="965">
        <v>79500</v>
      </c>
      <c r="J123"/>
      <c r="K123"/>
      <c r="L123"/>
      <c r="M123"/>
      <c r="N123"/>
      <c r="O123"/>
      <c r="P123"/>
      <c r="Q123"/>
      <c r="R123"/>
      <c r="S123"/>
      <c r="T123"/>
      <c r="U123"/>
      <c r="V123"/>
      <c r="W123"/>
      <c r="X123"/>
      <c r="Y123"/>
      <c r="Z123"/>
      <c r="AA123"/>
      <c r="AB123"/>
    </row>
    <row r="124" spans="1:28" s="749" customFormat="1" ht="24.95" customHeight="1" x14ac:dyDescent="0.35">
      <c r="A124" s="968">
        <v>45964</v>
      </c>
      <c r="B124" s="930" t="s">
        <v>669</v>
      </c>
      <c r="C124" s="925"/>
      <c r="D124" s="964" t="s">
        <v>282</v>
      </c>
      <c r="E124" s="964"/>
      <c r="F124" s="964"/>
      <c r="G124" s="964"/>
      <c r="H124" s="964" t="s">
        <v>670</v>
      </c>
      <c r="I124" s="965">
        <v>81575</v>
      </c>
      <c r="J124"/>
      <c r="K124"/>
      <c r="L124"/>
      <c r="M124"/>
      <c r="N124"/>
      <c r="O124"/>
      <c r="P124"/>
      <c r="Q124"/>
      <c r="R124"/>
      <c r="S124"/>
      <c r="T124"/>
      <c r="U124"/>
      <c r="V124"/>
      <c r="W124"/>
      <c r="X124"/>
      <c r="Y124"/>
      <c r="Z124"/>
      <c r="AA124"/>
      <c r="AB124"/>
    </row>
    <row r="125" spans="1:28" s="749" customFormat="1" ht="24.95" customHeight="1" x14ac:dyDescent="0.35">
      <c r="A125" s="968">
        <v>45978</v>
      </c>
      <c r="B125" s="930" t="s">
        <v>669</v>
      </c>
      <c r="C125" s="925"/>
      <c r="D125" s="964" t="s">
        <v>282</v>
      </c>
      <c r="E125" s="964"/>
      <c r="F125" s="964"/>
      <c r="G125" s="964"/>
      <c r="H125" s="964" t="s">
        <v>493</v>
      </c>
      <c r="I125" s="965">
        <v>134000</v>
      </c>
      <c r="J125"/>
      <c r="K125"/>
      <c r="L125"/>
      <c r="M125"/>
      <c r="N125"/>
      <c r="O125"/>
      <c r="P125"/>
      <c r="Q125"/>
      <c r="R125"/>
      <c r="S125"/>
      <c r="T125"/>
      <c r="U125"/>
      <c r="V125"/>
      <c r="W125"/>
      <c r="X125"/>
      <c r="Y125"/>
      <c r="Z125"/>
      <c r="AA125"/>
      <c r="AB125"/>
    </row>
    <row r="126" spans="1:28" s="749" customFormat="1" ht="24.95" customHeight="1" x14ac:dyDescent="0.35">
      <c r="A126" s="968">
        <v>45965</v>
      </c>
      <c r="B126" s="930" t="s">
        <v>673</v>
      </c>
      <c r="C126" s="925"/>
      <c r="D126" s="964" t="s">
        <v>90</v>
      </c>
      <c r="E126" s="964"/>
      <c r="F126" s="964"/>
      <c r="G126" s="964"/>
      <c r="H126" s="964" t="s">
        <v>685</v>
      </c>
      <c r="I126" s="965">
        <v>596000</v>
      </c>
      <c r="J126"/>
      <c r="K126"/>
      <c r="L126"/>
      <c r="M126"/>
      <c r="N126"/>
      <c r="O126"/>
      <c r="P126"/>
      <c r="Q126"/>
      <c r="R126"/>
      <c r="S126"/>
      <c r="T126"/>
      <c r="U126"/>
      <c r="V126"/>
      <c r="W126"/>
      <c r="X126"/>
      <c r="Y126"/>
      <c r="Z126"/>
      <c r="AA126"/>
      <c r="AB126"/>
    </row>
    <row r="127" spans="1:28" s="749" customFormat="1" ht="24.95" customHeight="1" x14ac:dyDescent="0.35">
      <c r="A127" s="968">
        <v>45980</v>
      </c>
      <c r="B127" s="930" t="s">
        <v>679</v>
      </c>
      <c r="C127" s="925"/>
      <c r="D127" s="964" t="s">
        <v>282</v>
      </c>
      <c r="E127" s="964"/>
      <c r="F127" s="964"/>
      <c r="G127" s="964"/>
      <c r="H127" s="964" t="s">
        <v>680</v>
      </c>
      <c r="I127" s="965">
        <v>29000</v>
      </c>
      <c r="J127"/>
      <c r="K127"/>
      <c r="L127"/>
      <c r="M127"/>
      <c r="N127"/>
      <c r="O127"/>
      <c r="P127"/>
      <c r="Q127"/>
      <c r="R127"/>
      <c r="S127"/>
      <c r="T127"/>
      <c r="U127"/>
      <c r="V127"/>
      <c r="W127"/>
      <c r="X127"/>
      <c r="Y127"/>
      <c r="Z127"/>
      <c r="AA127"/>
      <c r="AB127"/>
    </row>
    <row r="128" spans="1:28" s="749" customFormat="1" ht="24.95" customHeight="1" x14ac:dyDescent="0.35">
      <c r="A128" s="968">
        <v>45981</v>
      </c>
      <c r="B128" s="930" t="s">
        <v>683</v>
      </c>
      <c r="C128" s="925"/>
      <c r="D128" s="964" t="s">
        <v>92</v>
      </c>
      <c r="E128" s="964"/>
      <c r="F128" s="964"/>
      <c r="G128" s="964"/>
      <c r="H128" s="964" t="s">
        <v>684</v>
      </c>
      <c r="I128" s="965">
        <v>72550</v>
      </c>
      <c r="J128"/>
      <c r="K128"/>
      <c r="L128"/>
      <c r="M128"/>
      <c r="N128"/>
      <c r="O128"/>
      <c r="P128"/>
      <c r="Q128"/>
      <c r="R128"/>
      <c r="S128"/>
      <c r="T128"/>
      <c r="U128"/>
      <c r="V128"/>
      <c r="W128"/>
      <c r="X128"/>
      <c r="Y128"/>
      <c r="Z128"/>
      <c r="AA128"/>
      <c r="AB128"/>
    </row>
    <row r="129" spans="1:28" s="749" customFormat="1" ht="24.95" customHeight="1" x14ac:dyDescent="0.35">
      <c r="A129" s="968">
        <v>45985</v>
      </c>
      <c r="B129" s="930" t="s">
        <v>681</v>
      </c>
      <c r="C129" s="925"/>
      <c r="D129" s="964" t="s">
        <v>92</v>
      </c>
      <c r="E129" s="964"/>
      <c r="F129" s="964"/>
      <c r="G129" s="964"/>
      <c r="H129" s="964" t="s">
        <v>682</v>
      </c>
      <c r="I129" s="965">
        <v>1850000</v>
      </c>
      <c r="J129"/>
      <c r="K129"/>
      <c r="L129"/>
      <c r="M129"/>
      <c r="N129"/>
      <c r="O129"/>
      <c r="P129"/>
      <c r="Q129"/>
      <c r="R129"/>
      <c r="S129"/>
      <c r="T129"/>
      <c r="U129"/>
      <c r="V129"/>
      <c r="W129"/>
      <c r="X129"/>
      <c r="Y129"/>
      <c r="Z129"/>
      <c r="AA129"/>
      <c r="AB129"/>
    </row>
    <row r="130" spans="1:28" s="749" customFormat="1" ht="24.95" customHeight="1" x14ac:dyDescent="0.35">
      <c r="A130" s="968">
        <v>45986</v>
      </c>
      <c r="B130" s="930" t="s">
        <v>686</v>
      </c>
      <c r="C130" s="925"/>
      <c r="D130" s="964" t="s">
        <v>90</v>
      </c>
      <c r="E130" s="964"/>
      <c r="F130" s="964"/>
      <c r="G130" s="964"/>
      <c r="H130" s="964" t="s">
        <v>687</v>
      </c>
      <c r="I130" s="965">
        <v>2430000</v>
      </c>
      <c r="J130"/>
      <c r="K130"/>
      <c r="L130"/>
      <c r="M130"/>
      <c r="N130"/>
      <c r="O130"/>
      <c r="P130"/>
      <c r="Q130"/>
      <c r="R130"/>
      <c r="S130"/>
      <c r="T130"/>
      <c r="U130"/>
      <c r="V130"/>
      <c r="W130"/>
      <c r="X130"/>
      <c r="Y130"/>
      <c r="Z130"/>
      <c r="AA130"/>
      <c r="AB130"/>
    </row>
    <row r="131" spans="1:28" s="749" customFormat="1" ht="24.95" customHeight="1" x14ac:dyDescent="0.35">
      <c r="A131" s="968">
        <v>45989</v>
      </c>
      <c r="B131" s="930" t="s">
        <v>690</v>
      </c>
      <c r="C131" s="925"/>
      <c r="D131" s="964" t="s">
        <v>90</v>
      </c>
      <c r="E131" s="964"/>
      <c r="F131" s="964"/>
      <c r="G131" s="964"/>
      <c r="H131" s="964" t="s">
        <v>691</v>
      </c>
      <c r="I131" s="965">
        <v>5935</v>
      </c>
      <c r="J131"/>
      <c r="K131"/>
      <c r="L131"/>
      <c r="M131"/>
      <c r="N131"/>
      <c r="O131"/>
      <c r="P131"/>
      <c r="Q131"/>
      <c r="R131"/>
      <c r="S131"/>
      <c r="T131"/>
      <c r="U131"/>
      <c r="V131"/>
      <c r="W131"/>
      <c r="X131"/>
      <c r="Y131"/>
      <c r="Z131"/>
      <c r="AA131"/>
      <c r="AB131"/>
    </row>
    <row r="132" spans="1:28" s="749" customFormat="1" ht="24.95" customHeight="1" x14ac:dyDescent="0.35">
      <c r="A132" s="968">
        <v>45965</v>
      </c>
      <c r="B132" s="930" t="s">
        <v>695</v>
      </c>
      <c r="C132" s="925"/>
      <c r="D132" s="964" t="s">
        <v>90</v>
      </c>
      <c r="E132" s="964"/>
      <c r="F132" s="964"/>
      <c r="G132" s="964"/>
      <c r="H132" s="964" t="s">
        <v>696</v>
      </c>
      <c r="I132" s="965" t="s">
        <v>419</v>
      </c>
      <c r="J132"/>
      <c r="K132"/>
      <c r="L132"/>
      <c r="M132"/>
      <c r="N132"/>
      <c r="O132"/>
      <c r="P132"/>
      <c r="Q132"/>
      <c r="R132"/>
      <c r="S132"/>
      <c r="T132"/>
      <c r="U132"/>
      <c r="V132"/>
      <c r="W132"/>
      <c r="X132"/>
      <c r="Y132"/>
      <c r="Z132"/>
      <c r="AA132"/>
      <c r="AB132"/>
    </row>
    <row r="133" spans="1:28" s="889" customFormat="1" ht="24.95" customHeight="1" x14ac:dyDescent="0.35">
      <c r="A133" s="939"/>
      <c r="B133" s="984" t="s">
        <v>7</v>
      </c>
      <c r="C133" s="700"/>
      <c r="D133" s="612" t="s">
        <v>140</v>
      </c>
      <c r="E133" s="612"/>
      <c r="F133" s="700"/>
      <c r="G133" s="700"/>
      <c r="H133" s="614"/>
      <c r="I133" s="891">
        <f>SUM(I8:I131)</f>
        <v>29672394.160000004</v>
      </c>
      <c r="J133"/>
      <c r="K133"/>
      <c r="L133"/>
      <c r="M133"/>
      <c r="N133"/>
      <c r="O133"/>
      <c r="P133"/>
      <c r="Q133"/>
      <c r="R133"/>
      <c r="S133"/>
      <c r="T133"/>
      <c r="U133"/>
      <c r="V133"/>
      <c r="W133"/>
      <c r="X133"/>
      <c r="Y133"/>
      <c r="Z133"/>
      <c r="AA133"/>
      <c r="AB133"/>
    </row>
    <row r="134" spans="1:28" ht="24.95" customHeight="1" x14ac:dyDescent="0.35">
      <c r="A134" s="940" t="s">
        <v>64</v>
      </c>
      <c r="G134" s="658" t="s">
        <v>64</v>
      </c>
    </row>
    <row r="135" spans="1:28" ht="24.95" customHeight="1" x14ac:dyDescent="0.35"/>
    <row r="136" spans="1:28" ht="24.95" customHeight="1" x14ac:dyDescent="0.35">
      <c r="F136" s="524" t="s">
        <v>486</v>
      </c>
    </row>
    <row r="137" spans="1:28" ht="24.95" customHeight="1" x14ac:dyDescent="0.35">
      <c r="G137" s="658" t="s">
        <v>64</v>
      </c>
    </row>
    <row r="138" spans="1:28" ht="23.25" customHeight="1" x14ac:dyDescent="0.35">
      <c r="D138" s="524"/>
      <c r="E138" s="524"/>
      <c r="H138" s="524"/>
      <c r="I138" s="524"/>
    </row>
    <row r="139" spans="1:28" ht="24.95" customHeight="1" x14ac:dyDescent="0.35"/>
    <row r="140" spans="1:28" ht="24.95" customHeight="1" x14ac:dyDescent="0.35"/>
    <row r="141" spans="1:28" ht="24.95" customHeight="1" x14ac:dyDescent="0.35"/>
    <row r="142" spans="1:28" ht="24.95" customHeight="1" x14ac:dyDescent="0.35"/>
    <row r="143" spans="1:28" ht="24.95" customHeight="1" x14ac:dyDescent="0.35"/>
    <row r="144" spans="1:28" ht="24.95" customHeight="1" x14ac:dyDescent="0.35"/>
    <row r="145" ht="24.95" customHeight="1" x14ac:dyDescent="0.35"/>
    <row r="146" ht="24.95" customHeight="1" x14ac:dyDescent="0.35"/>
    <row r="147" ht="24.95" customHeight="1" x14ac:dyDescent="0.35"/>
    <row r="148" ht="24.95" customHeight="1" x14ac:dyDescent="0.35"/>
    <row r="149" ht="24.95" customHeight="1" x14ac:dyDescent="0.35"/>
    <row r="150" ht="24.95" customHeight="1" x14ac:dyDescent="0.35"/>
    <row r="151" ht="24.95" customHeight="1" x14ac:dyDescent="0.35"/>
  </sheetData>
  <pageMargins left="0.70866141732283472" right="0.70866141732283472" top="0.74803149606299213" bottom="0.74803149606299213" header="0.31496062992125984" footer="0.31496062992125984"/>
  <pageSetup paperSize="9" scale="55" orientation="landscape"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7"/>
  <sheetViews>
    <sheetView topLeftCell="A130" zoomScale="106" zoomScaleNormal="106" workbookViewId="0">
      <selection activeCell="A6" sqref="A6"/>
    </sheetView>
  </sheetViews>
  <sheetFormatPr defaultColWidth="23.85546875" defaultRowHeight="23.25" x14ac:dyDescent="0.35"/>
  <cols>
    <col min="1" max="1" width="23.85546875" style="940"/>
    <col min="2" max="2" width="56.28515625" style="657" customWidth="1"/>
    <col min="3" max="3" width="15.8554687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697</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2</v>
      </c>
      <c r="D6" s="547" t="s">
        <v>89</v>
      </c>
      <c r="E6" s="547" t="s">
        <v>104</v>
      </c>
      <c r="F6" s="546" t="s">
        <v>646</v>
      </c>
      <c r="G6" s="546" t="s">
        <v>3</v>
      </c>
      <c r="H6" s="546" t="s">
        <v>4</v>
      </c>
      <c r="I6" s="550" t="s">
        <v>11</v>
      </c>
      <c r="J6"/>
      <c r="K6"/>
      <c r="L6"/>
      <c r="M6"/>
      <c r="N6"/>
      <c r="O6"/>
      <c r="P6"/>
      <c r="Q6"/>
      <c r="R6"/>
      <c r="S6"/>
      <c r="T6"/>
      <c r="U6"/>
      <c r="V6"/>
      <c r="W6"/>
      <c r="X6"/>
      <c r="Y6"/>
      <c r="Z6"/>
      <c r="AA6"/>
      <c r="AB6"/>
    </row>
    <row r="7" spans="1:28" s="565" customFormat="1" ht="24.95" customHeight="1" x14ac:dyDescent="0.35">
      <c r="A7" s="937"/>
      <c r="B7" s="547"/>
      <c r="C7" s="546"/>
      <c r="D7" s="547"/>
      <c r="E7" s="547"/>
      <c r="F7" s="546"/>
      <c r="G7" s="546"/>
      <c r="H7" s="548"/>
      <c r="I7" s="550"/>
      <c r="J7"/>
      <c r="K7"/>
      <c r="L7"/>
      <c r="M7"/>
      <c r="N7"/>
      <c r="O7"/>
      <c r="P7"/>
      <c r="Q7"/>
      <c r="R7"/>
      <c r="S7"/>
      <c r="T7"/>
      <c r="U7"/>
      <c r="V7"/>
      <c r="W7"/>
      <c r="X7"/>
      <c r="Y7"/>
      <c r="Z7"/>
      <c r="AA7"/>
      <c r="AB7"/>
    </row>
    <row r="8" spans="1:28" s="760" customFormat="1" ht="24.95" customHeight="1" x14ac:dyDescent="0.35">
      <c r="A8" s="967">
        <v>43878</v>
      </c>
      <c r="B8" s="930" t="s">
        <v>63</v>
      </c>
      <c r="C8" s="925"/>
      <c r="D8" s="925" t="s">
        <v>90</v>
      </c>
      <c r="E8" s="925"/>
      <c r="F8" s="925"/>
      <c r="G8" s="925"/>
      <c r="H8" s="925" t="s">
        <v>102</v>
      </c>
      <c r="I8" s="965">
        <v>33421.01</v>
      </c>
      <c r="J8"/>
      <c r="K8"/>
      <c r="L8"/>
      <c r="M8"/>
      <c r="N8"/>
      <c r="O8"/>
      <c r="P8"/>
      <c r="Q8"/>
      <c r="R8"/>
      <c r="S8"/>
      <c r="T8"/>
      <c r="U8"/>
      <c r="V8"/>
      <c r="W8"/>
      <c r="X8"/>
      <c r="Y8"/>
      <c r="Z8"/>
      <c r="AA8"/>
      <c r="AB8"/>
    </row>
    <row r="9" spans="1:28" s="771" customFormat="1" ht="24.95" customHeight="1" x14ac:dyDescent="0.35">
      <c r="A9" s="968">
        <v>44092</v>
      </c>
      <c r="B9" s="930" t="s">
        <v>647</v>
      </c>
      <c r="C9" s="925"/>
      <c r="D9" s="925" t="s">
        <v>92</v>
      </c>
      <c r="E9" s="925"/>
      <c r="F9" s="925"/>
      <c r="G9" s="964"/>
      <c r="H9" s="964" t="s">
        <v>648</v>
      </c>
      <c r="I9" s="966">
        <v>108000</v>
      </c>
      <c r="J9"/>
      <c r="K9"/>
      <c r="L9"/>
      <c r="M9"/>
      <c r="N9"/>
      <c r="O9"/>
      <c r="P9"/>
      <c r="Q9"/>
      <c r="R9"/>
      <c r="S9"/>
      <c r="T9"/>
      <c r="U9"/>
      <c r="V9"/>
      <c r="W9"/>
      <c r="X9"/>
      <c r="Y9"/>
      <c r="Z9"/>
      <c r="AA9"/>
      <c r="AB9"/>
    </row>
    <row r="10" spans="1:28" s="782" customFormat="1" ht="24.95" customHeight="1" x14ac:dyDescent="0.35">
      <c r="A10" s="968">
        <v>44352</v>
      </c>
      <c r="B10" s="930" t="s">
        <v>107</v>
      </c>
      <c r="C10" s="925"/>
      <c r="D10" s="925" t="s">
        <v>90</v>
      </c>
      <c r="E10" s="925"/>
      <c r="F10" s="964"/>
      <c r="G10" s="964">
        <v>1918</v>
      </c>
      <c r="H10" s="964">
        <v>4457</v>
      </c>
      <c r="I10" s="966">
        <v>36289.599999999999</v>
      </c>
      <c r="J10"/>
      <c r="K10"/>
      <c r="L10"/>
      <c r="M10"/>
      <c r="N10"/>
      <c r="O10"/>
      <c r="P10"/>
      <c r="Q10"/>
      <c r="R10"/>
      <c r="S10"/>
      <c r="T10"/>
      <c r="U10"/>
      <c r="V10"/>
      <c r="W10"/>
      <c r="X10"/>
      <c r="Y10"/>
      <c r="Z10"/>
      <c r="AA10"/>
      <c r="AB10"/>
    </row>
    <row r="11" spans="1:28" s="782" customFormat="1" ht="24.95" customHeight="1" x14ac:dyDescent="0.35">
      <c r="A11" s="968">
        <v>44413</v>
      </c>
      <c r="B11" s="930" t="s">
        <v>107</v>
      </c>
      <c r="C11" s="925"/>
      <c r="D11" s="925" t="s">
        <v>90</v>
      </c>
      <c r="E11" s="925"/>
      <c r="F11" s="964"/>
      <c r="G11" s="964"/>
      <c r="H11" s="964">
        <v>4457</v>
      </c>
      <c r="I11" s="966">
        <v>176976.8</v>
      </c>
      <c r="J11"/>
      <c r="K11"/>
      <c r="L11"/>
      <c r="M11"/>
      <c r="N11"/>
      <c r="O11"/>
      <c r="P11"/>
      <c r="Q11"/>
      <c r="R11"/>
      <c r="S11"/>
      <c r="T11"/>
      <c r="U11"/>
      <c r="V11"/>
      <c r="W11"/>
      <c r="X11"/>
      <c r="Y11"/>
      <c r="Z11"/>
      <c r="AA11"/>
      <c r="AB11"/>
    </row>
    <row r="12" spans="1:28" s="782" customFormat="1" ht="24.95" customHeight="1" x14ac:dyDescent="0.35">
      <c r="A12" s="968">
        <v>44420</v>
      </c>
      <c r="B12" s="930" t="s">
        <v>108</v>
      </c>
      <c r="C12" s="925"/>
      <c r="D12" s="925" t="s">
        <v>90</v>
      </c>
      <c r="E12" s="925"/>
      <c r="F12" s="964"/>
      <c r="G12" s="964"/>
      <c r="H12" s="964" t="s">
        <v>120</v>
      </c>
      <c r="I12" s="965">
        <v>470000</v>
      </c>
      <c r="J12"/>
      <c r="K12"/>
      <c r="L12"/>
      <c r="M12"/>
      <c r="N12"/>
      <c r="O12"/>
      <c r="P12"/>
      <c r="Q12"/>
      <c r="R12"/>
      <c r="S12"/>
      <c r="T12"/>
      <c r="U12"/>
      <c r="V12"/>
      <c r="W12"/>
      <c r="X12"/>
      <c r="Y12"/>
      <c r="Z12"/>
      <c r="AA12"/>
      <c r="AB12"/>
    </row>
    <row r="13" spans="1:28" s="775" customFormat="1" ht="24.95" customHeight="1" x14ac:dyDescent="0.35">
      <c r="A13" s="968">
        <v>44480</v>
      </c>
      <c r="B13" s="930" t="s">
        <v>43</v>
      </c>
      <c r="C13" s="925"/>
      <c r="D13" s="964" t="s">
        <v>90</v>
      </c>
      <c r="E13" s="964"/>
      <c r="F13" s="964"/>
      <c r="G13" s="925">
        <v>2019</v>
      </c>
      <c r="H13" s="964" t="s">
        <v>132</v>
      </c>
      <c r="I13" s="965">
        <v>147281.20000000001</v>
      </c>
      <c r="J13"/>
      <c r="K13"/>
      <c r="L13"/>
      <c r="M13"/>
      <c r="N13"/>
      <c r="O13"/>
      <c r="P13"/>
      <c r="Q13"/>
      <c r="R13"/>
      <c r="S13"/>
      <c r="T13"/>
      <c r="U13"/>
      <c r="V13"/>
      <c r="W13"/>
      <c r="X13"/>
      <c r="Y13"/>
      <c r="Z13"/>
      <c r="AA13"/>
      <c r="AB13"/>
    </row>
    <row r="14" spans="1:28" s="775" customFormat="1" ht="24.95" customHeight="1" x14ac:dyDescent="0.35">
      <c r="A14" s="968">
        <v>44824</v>
      </c>
      <c r="B14" s="930" t="s">
        <v>43</v>
      </c>
      <c r="C14" s="925"/>
      <c r="D14" s="964" t="s">
        <v>90</v>
      </c>
      <c r="E14" s="964"/>
      <c r="F14" s="964"/>
      <c r="G14" s="925">
        <v>2162</v>
      </c>
      <c r="H14" s="964">
        <v>5218</v>
      </c>
      <c r="I14" s="965">
        <v>54650</v>
      </c>
      <c r="J14"/>
      <c r="K14"/>
      <c r="L14"/>
      <c r="M14"/>
      <c r="N14"/>
      <c r="O14"/>
      <c r="P14"/>
      <c r="Q14"/>
      <c r="R14"/>
      <c r="S14"/>
      <c r="T14"/>
      <c r="U14"/>
      <c r="V14"/>
      <c r="W14"/>
      <c r="X14"/>
      <c r="Y14"/>
      <c r="Z14"/>
      <c r="AA14"/>
      <c r="AB14"/>
    </row>
    <row r="15" spans="1:28" s="775" customFormat="1" ht="24.95" customHeight="1" x14ac:dyDescent="0.35">
      <c r="A15" s="968">
        <v>44839</v>
      </c>
      <c r="B15" s="930" t="s">
        <v>43</v>
      </c>
      <c r="C15" s="925"/>
      <c r="D15" s="964" t="s">
        <v>90</v>
      </c>
      <c r="E15" s="964"/>
      <c r="F15" s="964"/>
      <c r="G15" s="925">
        <v>2140</v>
      </c>
      <c r="H15" s="964">
        <v>5248</v>
      </c>
      <c r="I15" s="965">
        <v>25000</v>
      </c>
      <c r="J15"/>
      <c r="K15"/>
      <c r="L15"/>
      <c r="M15"/>
      <c r="N15"/>
      <c r="O15"/>
      <c r="P15"/>
      <c r="Q15"/>
      <c r="R15"/>
      <c r="S15"/>
      <c r="T15"/>
      <c r="U15"/>
      <c r="V15"/>
      <c r="W15"/>
      <c r="X15"/>
      <c r="Y15"/>
      <c r="Z15"/>
      <c r="AA15"/>
      <c r="AB15"/>
    </row>
    <row r="16" spans="1:28" s="775" customFormat="1" ht="24.95" customHeight="1" x14ac:dyDescent="0.35">
      <c r="A16" s="968">
        <v>45458</v>
      </c>
      <c r="B16" s="930" t="s">
        <v>43</v>
      </c>
      <c r="C16" s="925"/>
      <c r="D16" s="964" t="s">
        <v>90</v>
      </c>
      <c r="E16" s="964"/>
      <c r="F16" s="964"/>
      <c r="G16" s="925">
        <v>2355</v>
      </c>
      <c r="H16" s="964" t="s">
        <v>290</v>
      </c>
      <c r="I16" s="965">
        <v>11059.82</v>
      </c>
      <c r="J16"/>
      <c r="K16"/>
      <c r="L16"/>
      <c r="M16"/>
      <c r="N16"/>
      <c r="O16"/>
      <c r="P16"/>
      <c r="Q16"/>
      <c r="R16"/>
      <c r="S16"/>
      <c r="T16"/>
      <c r="U16"/>
      <c r="V16"/>
      <c r="W16"/>
      <c r="X16"/>
      <c r="Y16"/>
      <c r="Z16"/>
      <c r="AA16"/>
      <c r="AB16"/>
    </row>
    <row r="17" spans="1:28" s="775" customFormat="1" ht="24.95" customHeight="1" x14ac:dyDescent="0.35">
      <c r="A17" s="968" t="s">
        <v>421</v>
      </c>
      <c r="B17" s="930" t="s">
        <v>43</v>
      </c>
      <c r="C17" s="925"/>
      <c r="D17" s="964" t="s">
        <v>90</v>
      </c>
      <c r="E17" s="964"/>
      <c r="F17" s="964"/>
      <c r="G17" s="925"/>
      <c r="H17" s="964">
        <v>5987</v>
      </c>
      <c r="I17" s="965" t="s">
        <v>419</v>
      </c>
      <c r="J17"/>
      <c r="K17"/>
      <c r="L17"/>
      <c r="M17"/>
      <c r="N17"/>
      <c r="O17"/>
      <c r="P17"/>
      <c r="Q17"/>
      <c r="R17"/>
      <c r="S17"/>
      <c r="T17"/>
      <c r="U17"/>
      <c r="V17"/>
      <c r="W17"/>
      <c r="X17"/>
      <c r="Y17"/>
      <c r="Z17"/>
      <c r="AA17"/>
      <c r="AB17"/>
    </row>
    <row r="18" spans="1:28" s="775" customFormat="1" ht="24.95" customHeight="1" x14ac:dyDescent="0.35">
      <c r="A18" s="968">
        <v>45875</v>
      </c>
      <c r="B18" s="930" t="s">
        <v>43</v>
      </c>
      <c r="C18" s="925"/>
      <c r="D18" s="964" t="s">
        <v>90</v>
      </c>
      <c r="E18" s="964"/>
      <c r="F18" s="964"/>
      <c r="G18" s="925"/>
      <c r="H18" s="964" t="s">
        <v>586</v>
      </c>
      <c r="I18" s="965" t="s">
        <v>419</v>
      </c>
      <c r="J18"/>
      <c r="K18"/>
      <c r="L18"/>
      <c r="M18"/>
      <c r="N18"/>
      <c r="O18"/>
      <c r="P18"/>
      <c r="Q18"/>
      <c r="R18"/>
      <c r="S18"/>
      <c r="T18"/>
      <c r="U18"/>
      <c r="V18"/>
      <c r="W18"/>
      <c r="X18"/>
      <c r="Y18"/>
      <c r="Z18"/>
      <c r="AA18"/>
      <c r="AB18"/>
    </row>
    <row r="19" spans="1:28" s="775" customFormat="1" ht="24.95" customHeight="1" x14ac:dyDescent="0.35">
      <c r="A19" s="968" t="s">
        <v>421</v>
      </c>
      <c r="B19" s="930" t="s">
        <v>43</v>
      </c>
      <c r="C19" s="925"/>
      <c r="D19" s="964" t="s">
        <v>90</v>
      </c>
      <c r="E19" s="964"/>
      <c r="F19" s="964"/>
      <c r="G19" s="925"/>
      <c r="H19" s="964" t="s">
        <v>600</v>
      </c>
      <c r="I19" s="965">
        <v>250952.38</v>
      </c>
      <c r="J19"/>
      <c r="K19"/>
      <c r="L19"/>
      <c r="M19"/>
      <c r="N19"/>
      <c r="O19"/>
      <c r="P19"/>
      <c r="Q19"/>
      <c r="R19"/>
      <c r="S19"/>
      <c r="T19"/>
      <c r="U19"/>
      <c r="V19"/>
      <c r="W19"/>
      <c r="X19"/>
      <c r="Y19"/>
      <c r="Z19"/>
      <c r="AA19"/>
      <c r="AB19"/>
    </row>
    <row r="20" spans="1:28" s="775" customFormat="1" ht="24.95" customHeight="1" x14ac:dyDescent="0.35">
      <c r="A20" s="968">
        <v>45971</v>
      </c>
      <c r="B20" s="930" t="s">
        <v>43</v>
      </c>
      <c r="C20" s="925"/>
      <c r="D20" s="964" t="s">
        <v>90</v>
      </c>
      <c r="E20" s="964"/>
      <c r="F20" s="964" t="s">
        <v>674</v>
      </c>
      <c r="G20" s="925"/>
      <c r="H20" s="964" t="s">
        <v>675</v>
      </c>
      <c r="I20" s="965">
        <v>230468.75</v>
      </c>
      <c r="J20"/>
      <c r="K20"/>
      <c r="L20"/>
      <c r="M20"/>
      <c r="N20"/>
      <c r="O20"/>
      <c r="P20"/>
      <c r="Q20"/>
      <c r="R20"/>
      <c r="S20"/>
      <c r="T20"/>
      <c r="U20"/>
      <c r="V20"/>
      <c r="W20"/>
      <c r="X20"/>
      <c r="Y20"/>
      <c r="Z20"/>
      <c r="AA20"/>
      <c r="AB20"/>
    </row>
    <row r="21" spans="1:28" s="775" customFormat="1" ht="24.95" customHeight="1" x14ac:dyDescent="0.35">
      <c r="A21" s="968">
        <v>46002</v>
      </c>
      <c r="B21" s="930" t="s">
        <v>43</v>
      </c>
      <c r="C21" s="925"/>
      <c r="D21" s="964" t="s">
        <v>90</v>
      </c>
      <c r="E21" s="964"/>
      <c r="F21" s="964"/>
      <c r="G21" s="925"/>
      <c r="H21" s="964" t="s">
        <v>703</v>
      </c>
      <c r="I21" s="965" t="s">
        <v>419</v>
      </c>
      <c r="J21"/>
      <c r="K21"/>
      <c r="L21"/>
      <c r="M21"/>
      <c r="N21"/>
      <c r="O21"/>
      <c r="P21"/>
      <c r="Q21"/>
      <c r="R21"/>
      <c r="S21"/>
      <c r="T21"/>
      <c r="U21"/>
      <c r="V21"/>
      <c r="W21"/>
      <c r="X21"/>
      <c r="Y21"/>
      <c r="Z21"/>
      <c r="AA21"/>
      <c r="AB21"/>
    </row>
    <row r="22" spans="1:28" s="775" customFormat="1" ht="24.95" customHeight="1" x14ac:dyDescent="0.35">
      <c r="A22" s="968">
        <v>46006</v>
      </c>
      <c r="B22" s="930" t="s">
        <v>43</v>
      </c>
      <c r="C22" s="925"/>
      <c r="D22" s="964" t="s">
        <v>90</v>
      </c>
      <c r="E22" s="964"/>
      <c r="F22" s="964"/>
      <c r="G22" s="925"/>
      <c r="H22" s="964" t="s">
        <v>708</v>
      </c>
      <c r="I22" s="965" t="s">
        <v>419</v>
      </c>
      <c r="J22"/>
      <c r="K22"/>
      <c r="L22"/>
      <c r="M22"/>
      <c r="N22"/>
      <c r="O22"/>
      <c r="P22"/>
      <c r="Q22"/>
      <c r="R22"/>
      <c r="S22"/>
      <c r="T22"/>
      <c r="U22"/>
      <c r="V22"/>
      <c r="W22"/>
      <c r="X22"/>
      <c r="Y22"/>
      <c r="Z22"/>
      <c r="AA22"/>
      <c r="AB22"/>
    </row>
    <row r="23" spans="1:28" s="782" customFormat="1" ht="24.95" customHeight="1" x14ac:dyDescent="0.35">
      <c r="A23" s="968">
        <v>44589</v>
      </c>
      <c r="B23" s="930" t="s">
        <v>125</v>
      </c>
      <c r="C23" s="925"/>
      <c r="D23" s="925" t="s">
        <v>90</v>
      </c>
      <c r="E23" s="925"/>
      <c r="F23" s="964"/>
      <c r="G23" s="964"/>
      <c r="H23" s="964">
        <v>4880</v>
      </c>
      <c r="I23" s="965">
        <v>37000</v>
      </c>
      <c r="J23"/>
      <c r="K23"/>
      <c r="L23"/>
      <c r="M23"/>
      <c r="N23"/>
      <c r="O23"/>
      <c r="P23"/>
      <c r="Q23"/>
      <c r="R23"/>
      <c r="S23"/>
      <c r="T23"/>
      <c r="U23"/>
      <c r="V23"/>
      <c r="W23"/>
      <c r="X23"/>
      <c r="Y23"/>
      <c r="Z23"/>
      <c r="AA23"/>
      <c r="AB23"/>
    </row>
    <row r="24" spans="1:28" s="782" customFormat="1" ht="24.95" customHeight="1" x14ac:dyDescent="0.35">
      <c r="A24" s="968">
        <v>44607</v>
      </c>
      <c r="B24" s="930" t="s">
        <v>649</v>
      </c>
      <c r="C24" s="925"/>
      <c r="D24" s="925" t="s">
        <v>90</v>
      </c>
      <c r="E24" s="925">
        <v>736</v>
      </c>
      <c r="F24" s="964"/>
      <c r="G24" s="964"/>
      <c r="H24" s="964" t="s">
        <v>131</v>
      </c>
      <c r="I24" s="965">
        <v>16076.04</v>
      </c>
      <c r="J24"/>
      <c r="K24"/>
      <c r="L24"/>
      <c r="M24"/>
      <c r="N24"/>
      <c r="O24"/>
      <c r="P24"/>
      <c r="Q24"/>
      <c r="R24"/>
      <c r="S24"/>
      <c r="T24"/>
      <c r="U24"/>
      <c r="V24"/>
      <c r="W24"/>
      <c r="X24"/>
      <c r="Y24"/>
      <c r="Z24"/>
      <c r="AA24"/>
      <c r="AB24"/>
    </row>
    <row r="25" spans="1:28" s="749" customFormat="1" ht="24.95" customHeight="1" x14ac:dyDescent="0.35">
      <c r="A25" s="968">
        <v>44609</v>
      </c>
      <c r="B25" s="930" t="s">
        <v>649</v>
      </c>
      <c r="C25" s="925"/>
      <c r="D25" s="964" t="s">
        <v>90</v>
      </c>
      <c r="E25" s="964">
        <v>734</v>
      </c>
      <c r="F25" s="964"/>
      <c r="G25" s="964"/>
      <c r="H25" s="964" t="s">
        <v>118</v>
      </c>
      <c r="I25" s="965">
        <v>7186.99</v>
      </c>
      <c r="J25"/>
      <c r="K25"/>
      <c r="L25"/>
      <c r="M25"/>
      <c r="N25"/>
      <c r="O25"/>
      <c r="P25"/>
      <c r="Q25"/>
      <c r="R25"/>
      <c r="S25"/>
      <c r="T25"/>
      <c r="U25"/>
      <c r="V25"/>
      <c r="W25"/>
      <c r="X25"/>
      <c r="Y25"/>
      <c r="Z25"/>
      <c r="AA25"/>
      <c r="AB25"/>
    </row>
    <row r="26" spans="1:28" s="749" customFormat="1" ht="24.95" customHeight="1" x14ac:dyDescent="0.35">
      <c r="A26" s="968">
        <v>44714</v>
      </c>
      <c r="B26" s="930" t="s">
        <v>649</v>
      </c>
      <c r="C26" s="925"/>
      <c r="D26" s="964" t="s">
        <v>90</v>
      </c>
      <c r="E26" s="964"/>
      <c r="F26" s="964"/>
      <c r="G26" s="964">
        <v>2062</v>
      </c>
      <c r="H26" s="964" t="s">
        <v>118</v>
      </c>
      <c r="I26" s="965">
        <v>77456</v>
      </c>
      <c r="J26"/>
      <c r="K26"/>
      <c r="L26"/>
      <c r="M26"/>
      <c r="N26"/>
      <c r="O26"/>
      <c r="P26"/>
      <c r="Q26"/>
      <c r="R26"/>
      <c r="S26"/>
      <c r="T26"/>
      <c r="U26"/>
      <c r="V26"/>
      <c r="W26"/>
      <c r="X26"/>
      <c r="Y26"/>
      <c r="Z26"/>
      <c r="AA26"/>
      <c r="AB26"/>
    </row>
    <row r="27" spans="1:28" s="749" customFormat="1" ht="24.95" customHeight="1" x14ac:dyDescent="0.35">
      <c r="A27" s="968">
        <v>44734</v>
      </c>
      <c r="B27" s="930" t="s">
        <v>649</v>
      </c>
      <c r="C27" s="925"/>
      <c r="D27" s="964" t="s">
        <v>90</v>
      </c>
      <c r="E27" s="964">
        <v>743</v>
      </c>
      <c r="F27" s="964"/>
      <c r="G27" s="964"/>
      <c r="H27" s="964" t="s">
        <v>118</v>
      </c>
      <c r="I27" s="965">
        <v>72499.08</v>
      </c>
      <c r="J27"/>
      <c r="K27"/>
      <c r="L27"/>
      <c r="M27"/>
      <c r="N27"/>
      <c r="O27"/>
      <c r="P27"/>
      <c r="Q27"/>
      <c r="R27"/>
      <c r="S27"/>
      <c r="T27"/>
      <c r="U27"/>
      <c r="V27"/>
      <c r="W27"/>
      <c r="X27"/>
      <c r="Y27"/>
      <c r="Z27"/>
      <c r="AA27"/>
      <c r="AB27"/>
    </row>
    <row r="28" spans="1:28" s="749" customFormat="1" ht="24.95" customHeight="1" x14ac:dyDescent="0.35">
      <c r="A28" s="968">
        <v>44741</v>
      </c>
      <c r="B28" s="930" t="s">
        <v>649</v>
      </c>
      <c r="C28" s="925"/>
      <c r="D28" s="964" t="s">
        <v>90</v>
      </c>
      <c r="E28" s="964">
        <v>757</v>
      </c>
      <c r="F28" s="964"/>
      <c r="G28" s="964"/>
      <c r="H28" s="964">
        <v>5908</v>
      </c>
      <c r="I28" s="965">
        <v>510</v>
      </c>
      <c r="J28"/>
      <c r="K28"/>
      <c r="L28"/>
      <c r="M28"/>
      <c r="N28"/>
      <c r="O28"/>
      <c r="P28"/>
      <c r="Q28"/>
      <c r="R28"/>
      <c r="S28"/>
      <c r="T28"/>
      <c r="U28"/>
      <c r="V28"/>
      <c r="W28"/>
      <c r="X28"/>
      <c r="Y28"/>
      <c r="Z28"/>
      <c r="AA28"/>
      <c r="AB28"/>
    </row>
    <row r="29" spans="1:28" s="749" customFormat="1" ht="24.95" customHeight="1" x14ac:dyDescent="0.35">
      <c r="A29" s="968">
        <v>44855</v>
      </c>
      <c r="B29" s="930" t="s">
        <v>649</v>
      </c>
      <c r="C29" s="925"/>
      <c r="D29" s="964" t="s">
        <v>90</v>
      </c>
      <c r="E29" s="964">
        <v>755</v>
      </c>
      <c r="F29" s="964"/>
      <c r="G29" s="964"/>
      <c r="H29" s="964">
        <v>5739</v>
      </c>
      <c r="I29" s="965">
        <v>6650</v>
      </c>
      <c r="J29"/>
      <c r="K29"/>
      <c r="L29"/>
      <c r="M29"/>
      <c r="N29"/>
      <c r="O29"/>
      <c r="P29"/>
      <c r="Q29"/>
      <c r="R29"/>
      <c r="S29"/>
      <c r="T29"/>
      <c r="U29"/>
      <c r="V29"/>
      <c r="W29"/>
      <c r="X29"/>
      <c r="Y29"/>
      <c r="Z29"/>
      <c r="AA29"/>
      <c r="AB29"/>
    </row>
    <row r="30" spans="1:28" s="749" customFormat="1" ht="24.95" customHeight="1" x14ac:dyDescent="0.35">
      <c r="A30" s="968">
        <v>44855</v>
      </c>
      <c r="B30" s="930" t="s">
        <v>649</v>
      </c>
      <c r="C30" s="925"/>
      <c r="D30" s="964" t="s">
        <v>90</v>
      </c>
      <c r="E30" s="964">
        <v>758</v>
      </c>
      <c r="F30" s="964"/>
      <c r="G30" s="964"/>
      <c r="H30" s="964" t="s">
        <v>118</v>
      </c>
      <c r="I30" s="965">
        <v>3000</v>
      </c>
      <c r="J30"/>
      <c r="K30"/>
      <c r="L30"/>
      <c r="M30"/>
      <c r="N30"/>
      <c r="O30"/>
      <c r="P30"/>
      <c r="Q30"/>
      <c r="R30"/>
      <c r="S30"/>
      <c r="T30"/>
      <c r="U30"/>
      <c r="V30"/>
      <c r="W30"/>
      <c r="X30"/>
      <c r="Y30"/>
      <c r="Z30"/>
      <c r="AA30"/>
      <c r="AB30"/>
    </row>
    <row r="31" spans="1:28" s="749" customFormat="1" ht="24.95" customHeight="1" x14ac:dyDescent="0.35">
      <c r="A31" s="968">
        <v>44916</v>
      </c>
      <c r="B31" s="930" t="s">
        <v>649</v>
      </c>
      <c r="C31" s="925"/>
      <c r="D31" s="964" t="s">
        <v>90</v>
      </c>
      <c r="E31" s="964"/>
      <c r="F31" s="964"/>
      <c r="G31" s="964">
        <v>2176</v>
      </c>
      <c r="H31" s="964" t="s">
        <v>118</v>
      </c>
      <c r="I31" s="965">
        <v>186146</v>
      </c>
      <c r="J31"/>
      <c r="K31"/>
      <c r="L31"/>
      <c r="M31"/>
      <c r="N31"/>
      <c r="O31"/>
      <c r="P31"/>
      <c r="Q31"/>
      <c r="R31"/>
      <c r="S31"/>
      <c r="T31"/>
      <c r="U31"/>
      <c r="V31"/>
      <c r="W31"/>
      <c r="X31"/>
      <c r="Y31"/>
      <c r="Z31"/>
      <c r="AA31"/>
      <c r="AB31"/>
    </row>
    <row r="32" spans="1:28" s="749" customFormat="1" ht="24.95" customHeight="1" x14ac:dyDescent="0.35">
      <c r="A32" s="968">
        <v>45343</v>
      </c>
      <c r="B32" s="930" t="s">
        <v>649</v>
      </c>
      <c r="C32" s="925"/>
      <c r="D32" s="964" t="s">
        <v>90</v>
      </c>
      <c r="E32" s="964">
        <v>826</v>
      </c>
      <c r="F32" s="964"/>
      <c r="G32" s="964"/>
      <c r="H32" s="964" t="s">
        <v>118</v>
      </c>
      <c r="I32" s="965">
        <v>22500</v>
      </c>
      <c r="J32"/>
      <c r="K32"/>
      <c r="L32"/>
      <c r="M32"/>
      <c r="N32"/>
      <c r="O32"/>
      <c r="P32"/>
      <c r="Q32"/>
      <c r="R32"/>
      <c r="S32"/>
      <c r="T32"/>
      <c r="U32"/>
      <c r="V32"/>
      <c r="W32"/>
      <c r="X32"/>
      <c r="Y32"/>
      <c r="Z32"/>
      <c r="AA32"/>
      <c r="AB32"/>
    </row>
    <row r="33" spans="1:28" s="782" customFormat="1" ht="27.75" customHeight="1" x14ac:dyDescent="0.35">
      <c r="A33" s="968">
        <v>44614</v>
      </c>
      <c r="B33" s="930" t="s">
        <v>650</v>
      </c>
      <c r="C33" s="925"/>
      <c r="D33" s="925" t="s">
        <v>92</v>
      </c>
      <c r="E33" s="925"/>
      <c r="F33" s="964"/>
      <c r="G33" s="964"/>
      <c r="H33" s="964" t="s">
        <v>376</v>
      </c>
      <c r="I33" s="965">
        <v>526625</v>
      </c>
      <c r="J33"/>
      <c r="K33"/>
      <c r="L33"/>
      <c r="M33"/>
      <c r="N33"/>
      <c r="O33"/>
      <c r="P33"/>
      <c r="Q33"/>
      <c r="R33"/>
      <c r="S33"/>
      <c r="T33"/>
      <c r="U33"/>
      <c r="V33"/>
      <c r="W33"/>
      <c r="X33"/>
      <c r="Y33"/>
      <c r="Z33"/>
      <c r="AA33"/>
      <c r="AB33"/>
    </row>
    <row r="34" spans="1:28" s="782" customFormat="1" ht="24.95" customHeight="1" x14ac:dyDescent="0.35">
      <c r="A34" s="968">
        <v>44631</v>
      </c>
      <c r="B34" s="930" t="s">
        <v>650</v>
      </c>
      <c r="C34" s="925"/>
      <c r="D34" s="925" t="s">
        <v>92</v>
      </c>
      <c r="E34" s="925"/>
      <c r="F34" s="964"/>
      <c r="G34" s="964"/>
      <c r="H34" s="964">
        <v>4943</v>
      </c>
      <c r="I34" s="965">
        <v>5975</v>
      </c>
      <c r="J34"/>
      <c r="K34"/>
      <c r="L34"/>
      <c r="M34"/>
      <c r="N34"/>
      <c r="O34"/>
      <c r="P34"/>
      <c r="Q34"/>
      <c r="R34"/>
      <c r="S34"/>
      <c r="T34"/>
      <c r="U34"/>
      <c r="V34"/>
      <c r="W34"/>
      <c r="X34"/>
      <c r="Y34"/>
      <c r="Z34"/>
      <c r="AA34"/>
      <c r="AB34"/>
    </row>
    <row r="35" spans="1:28" s="800" customFormat="1" ht="24.95" customHeight="1" x14ac:dyDescent="0.35">
      <c r="A35" s="968">
        <v>44638</v>
      </c>
      <c r="B35" s="930" t="s">
        <v>650</v>
      </c>
      <c r="C35" s="925"/>
      <c r="D35" s="925" t="s">
        <v>92</v>
      </c>
      <c r="E35" s="925"/>
      <c r="F35" s="964"/>
      <c r="G35" s="964"/>
      <c r="H35" s="964">
        <v>4953</v>
      </c>
      <c r="I35" s="965">
        <v>4950</v>
      </c>
      <c r="J35"/>
      <c r="K35"/>
      <c r="L35"/>
      <c r="M35"/>
      <c r="N35"/>
      <c r="O35"/>
      <c r="P35"/>
      <c r="Q35"/>
      <c r="R35"/>
      <c r="S35"/>
      <c r="T35"/>
      <c r="U35"/>
      <c r="V35"/>
      <c r="W35"/>
      <c r="X35"/>
      <c r="Y35"/>
      <c r="Z35"/>
      <c r="AA35"/>
      <c r="AB35"/>
    </row>
    <row r="36" spans="1:28" s="800" customFormat="1" ht="24.95" customHeight="1" x14ac:dyDescent="0.35">
      <c r="A36" s="968">
        <v>44711</v>
      </c>
      <c r="B36" s="930" t="s">
        <v>153</v>
      </c>
      <c r="C36" s="925"/>
      <c r="D36" s="925" t="s">
        <v>92</v>
      </c>
      <c r="E36" s="925"/>
      <c r="F36" s="964"/>
      <c r="G36" s="964"/>
      <c r="H36" s="964" t="s">
        <v>181</v>
      </c>
      <c r="I36" s="965">
        <v>164667</v>
      </c>
      <c r="J36"/>
      <c r="K36"/>
      <c r="L36"/>
      <c r="M36"/>
      <c r="N36"/>
      <c r="O36"/>
      <c r="P36"/>
      <c r="Q36"/>
      <c r="R36"/>
      <c r="S36"/>
      <c r="T36"/>
      <c r="U36"/>
      <c r="V36"/>
      <c r="W36"/>
      <c r="X36"/>
      <c r="Y36"/>
      <c r="Z36"/>
      <c r="AA36"/>
      <c r="AB36"/>
    </row>
    <row r="37" spans="1:28" s="800" customFormat="1" ht="24.95" customHeight="1" x14ac:dyDescent="0.35">
      <c r="A37" s="968">
        <v>44768</v>
      </c>
      <c r="B37" s="930" t="s">
        <v>651</v>
      </c>
      <c r="C37" s="925"/>
      <c r="D37" s="925" t="s">
        <v>90</v>
      </c>
      <c r="E37" s="925"/>
      <c r="F37" s="964"/>
      <c r="G37" s="964"/>
      <c r="H37" s="964" t="s">
        <v>151</v>
      </c>
      <c r="I37" s="965">
        <v>847950.4</v>
      </c>
      <c r="J37"/>
      <c r="K37"/>
      <c r="L37"/>
      <c r="M37"/>
      <c r="N37"/>
      <c r="O37"/>
      <c r="P37"/>
      <c r="Q37"/>
      <c r="R37"/>
      <c r="S37"/>
      <c r="T37"/>
      <c r="U37"/>
      <c r="V37"/>
      <c r="W37"/>
      <c r="X37"/>
      <c r="Y37"/>
      <c r="Z37"/>
      <c r="AA37"/>
      <c r="AB37"/>
    </row>
    <row r="38" spans="1:28" s="800" customFormat="1" ht="24.95" customHeight="1" x14ac:dyDescent="0.35">
      <c r="A38" s="968">
        <v>45946</v>
      </c>
      <c r="B38" s="930" t="s">
        <v>651</v>
      </c>
      <c r="C38" s="925"/>
      <c r="D38" s="925" t="s">
        <v>90</v>
      </c>
      <c r="E38" s="925"/>
      <c r="F38" s="964"/>
      <c r="G38" s="964"/>
      <c r="H38" s="964" t="s">
        <v>641</v>
      </c>
      <c r="I38" s="965" t="s">
        <v>419</v>
      </c>
      <c r="J38"/>
      <c r="K38"/>
      <c r="L38"/>
      <c r="M38"/>
      <c r="N38"/>
      <c r="O38"/>
      <c r="P38"/>
      <c r="Q38"/>
      <c r="R38"/>
      <c r="S38"/>
      <c r="T38"/>
      <c r="U38"/>
      <c r="V38"/>
      <c r="W38"/>
      <c r="X38"/>
      <c r="Y38"/>
      <c r="Z38"/>
      <c r="AA38"/>
      <c r="AB38"/>
    </row>
    <row r="39" spans="1:28" s="800" customFormat="1" ht="24.95" customHeight="1" x14ac:dyDescent="0.35">
      <c r="A39" s="968">
        <v>44786</v>
      </c>
      <c r="B39" s="930" t="s">
        <v>652</v>
      </c>
      <c r="C39" s="925"/>
      <c r="D39" s="925" t="s">
        <v>94</v>
      </c>
      <c r="E39" s="925"/>
      <c r="F39" s="964"/>
      <c r="G39" s="964">
        <v>2136</v>
      </c>
      <c r="H39" s="964" t="s">
        <v>170</v>
      </c>
      <c r="I39" s="965">
        <v>193400</v>
      </c>
      <c r="J39"/>
      <c r="K39"/>
      <c r="L39"/>
      <c r="M39"/>
      <c r="N39"/>
      <c r="O39"/>
      <c r="P39"/>
      <c r="Q39"/>
      <c r="R39"/>
      <c r="S39"/>
      <c r="T39"/>
      <c r="U39"/>
      <c r="V39"/>
      <c r="W39"/>
      <c r="X39"/>
      <c r="Y39"/>
      <c r="Z39"/>
      <c r="AA39"/>
      <c r="AB39"/>
    </row>
    <row r="40" spans="1:28" s="800" customFormat="1" ht="24.95" customHeight="1" x14ac:dyDescent="0.35">
      <c r="A40" s="968">
        <v>44954</v>
      </c>
      <c r="B40" s="930" t="s">
        <v>480</v>
      </c>
      <c r="C40" s="925"/>
      <c r="D40" s="925" t="s">
        <v>92</v>
      </c>
      <c r="E40" s="925">
        <v>832</v>
      </c>
      <c r="F40" s="964"/>
      <c r="G40" s="964"/>
      <c r="H40" s="964">
        <v>5373</v>
      </c>
      <c r="I40" s="965">
        <v>666000</v>
      </c>
      <c r="J40"/>
      <c r="K40"/>
      <c r="L40"/>
      <c r="M40"/>
      <c r="N40"/>
      <c r="O40"/>
      <c r="P40"/>
      <c r="Q40"/>
      <c r="R40"/>
      <c r="S40"/>
      <c r="T40"/>
      <c r="U40"/>
      <c r="V40"/>
      <c r="W40"/>
      <c r="X40"/>
      <c r="Y40"/>
      <c r="Z40"/>
      <c r="AA40"/>
      <c r="AB40"/>
    </row>
    <row r="41" spans="1:28" s="800" customFormat="1" ht="24.95" customHeight="1" x14ac:dyDescent="0.35">
      <c r="A41" s="968">
        <v>44954</v>
      </c>
      <c r="B41" s="930" t="s">
        <v>480</v>
      </c>
      <c r="C41" s="925"/>
      <c r="D41" s="925" t="s">
        <v>92</v>
      </c>
      <c r="E41" s="925">
        <v>833</v>
      </c>
      <c r="F41" s="964"/>
      <c r="G41" s="964"/>
      <c r="H41" s="964">
        <v>5374</v>
      </c>
      <c r="I41" s="965">
        <v>657658.5</v>
      </c>
      <c r="J41"/>
      <c r="K41"/>
      <c r="L41"/>
      <c r="M41"/>
      <c r="N41"/>
      <c r="O41"/>
      <c r="P41"/>
      <c r="Q41"/>
      <c r="R41"/>
      <c r="S41"/>
      <c r="T41"/>
      <c r="U41"/>
      <c r="V41"/>
      <c r="W41"/>
      <c r="X41"/>
      <c r="Y41"/>
      <c r="Z41"/>
      <c r="AA41"/>
      <c r="AB41"/>
    </row>
    <row r="42" spans="1:28" s="800" customFormat="1" ht="24.95" customHeight="1" x14ac:dyDescent="0.35">
      <c r="A42" s="968">
        <v>45017</v>
      </c>
      <c r="B42" s="930" t="s">
        <v>480</v>
      </c>
      <c r="C42" s="925"/>
      <c r="D42" s="925" t="s">
        <v>92</v>
      </c>
      <c r="E42" s="925"/>
      <c r="F42" s="964"/>
      <c r="G42" s="964"/>
      <c r="H42" s="964">
        <v>5460</v>
      </c>
      <c r="I42" s="965">
        <v>413995.98</v>
      </c>
      <c r="J42"/>
      <c r="K42"/>
      <c r="L42"/>
      <c r="M42"/>
      <c r="N42"/>
      <c r="O42"/>
      <c r="P42"/>
      <c r="Q42"/>
      <c r="R42"/>
      <c r="S42"/>
      <c r="T42"/>
      <c r="U42"/>
      <c r="V42"/>
      <c r="W42"/>
      <c r="X42"/>
      <c r="Y42"/>
      <c r="Z42"/>
      <c r="AA42"/>
      <c r="AB42"/>
    </row>
    <row r="43" spans="1:28" s="800" customFormat="1" ht="24.95" customHeight="1" x14ac:dyDescent="0.35">
      <c r="A43" s="968">
        <v>45181</v>
      </c>
      <c r="B43" s="930" t="s">
        <v>480</v>
      </c>
      <c r="C43" s="925"/>
      <c r="D43" s="925" t="s">
        <v>92</v>
      </c>
      <c r="E43" s="925"/>
      <c r="F43" s="964" t="s">
        <v>654</v>
      </c>
      <c r="G43" s="964"/>
      <c r="H43" s="964">
        <v>5606</v>
      </c>
      <c r="I43" s="965">
        <v>676930.8</v>
      </c>
      <c r="J43"/>
      <c r="K43"/>
      <c r="L43"/>
      <c r="M43"/>
      <c r="N43"/>
      <c r="O43"/>
      <c r="P43"/>
      <c r="Q43"/>
      <c r="R43"/>
      <c r="S43"/>
      <c r="T43"/>
      <c r="U43"/>
      <c r="V43"/>
      <c r="W43"/>
      <c r="X43"/>
      <c r="Y43"/>
      <c r="Z43"/>
      <c r="AA43"/>
      <c r="AB43"/>
    </row>
    <row r="44" spans="1:28" s="800" customFormat="1" ht="24.95" customHeight="1" x14ac:dyDescent="0.35">
      <c r="A44" s="968">
        <v>45386</v>
      </c>
      <c r="B44" s="930" t="s">
        <v>480</v>
      </c>
      <c r="C44" s="925"/>
      <c r="D44" s="925" t="s">
        <v>90</v>
      </c>
      <c r="E44" s="925"/>
      <c r="F44" s="964"/>
      <c r="G44" s="964"/>
      <c r="H44" s="964">
        <v>5776</v>
      </c>
      <c r="I44" s="965">
        <v>455997.92</v>
      </c>
      <c r="J44"/>
      <c r="K44"/>
      <c r="L44"/>
      <c r="M44"/>
      <c r="N44"/>
      <c r="O44"/>
      <c r="P44"/>
      <c r="Q44"/>
      <c r="R44"/>
      <c r="S44"/>
      <c r="T44"/>
      <c r="U44"/>
      <c r="V44"/>
      <c r="W44"/>
      <c r="X44"/>
      <c r="Y44"/>
      <c r="Z44"/>
      <c r="AA44"/>
      <c r="AB44"/>
    </row>
    <row r="45" spans="1:28" s="800" customFormat="1" ht="24.95" customHeight="1" x14ac:dyDescent="0.35">
      <c r="A45" s="968">
        <v>45601</v>
      </c>
      <c r="B45" s="930" t="s">
        <v>480</v>
      </c>
      <c r="C45" s="925"/>
      <c r="D45" s="925" t="s">
        <v>90</v>
      </c>
      <c r="E45" s="925"/>
      <c r="F45" s="964"/>
      <c r="G45" s="964"/>
      <c r="H45" s="964">
        <v>5920</v>
      </c>
      <c r="I45" s="965">
        <v>310000</v>
      </c>
      <c r="J45"/>
      <c r="K45"/>
      <c r="L45"/>
      <c r="M45"/>
      <c r="N45"/>
      <c r="O45"/>
      <c r="P45"/>
      <c r="Q45"/>
      <c r="R45"/>
      <c r="S45"/>
      <c r="T45"/>
      <c r="U45"/>
      <c r="V45"/>
      <c r="W45"/>
      <c r="X45"/>
      <c r="Y45"/>
      <c r="Z45"/>
      <c r="AA45"/>
      <c r="AB45"/>
    </row>
    <row r="46" spans="1:28" s="800" customFormat="1" ht="24.95" customHeight="1" x14ac:dyDescent="0.35">
      <c r="A46" s="968">
        <v>45680</v>
      </c>
      <c r="B46" s="930" t="s">
        <v>480</v>
      </c>
      <c r="C46" s="925"/>
      <c r="D46" s="925" t="s">
        <v>90</v>
      </c>
      <c r="E46" s="925"/>
      <c r="F46" s="964"/>
      <c r="G46" s="964">
        <v>2343</v>
      </c>
      <c r="H46" s="964">
        <v>5979</v>
      </c>
      <c r="I46" s="965">
        <v>45000</v>
      </c>
      <c r="J46"/>
      <c r="K46"/>
      <c r="L46"/>
      <c r="M46"/>
      <c r="N46"/>
      <c r="O46"/>
      <c r="P46"/>
      <c r="Q46"/>
      <c r="R46"/>
      <c r="S46"/>
      <c r="T46"/>
      <c r="U46"/>
      <c r="V46"/>
      <c r="W46"/>
      <c r="X46"/>
      <c r="Y46"/>
      <c r="Z46"/>
      <c r="AA46"/>
      <c r="AB46"/>
    </row>
    <row r="47" spans="1:28" s="800" customFormat="1" ht="24.95" customHeight="1" x14ac:dyDescent="0.35">
      <c r="A47" s="968">
        <v>45731</v>
      </c>
      <c r="B47" s="930" t="s">
        <v>480</v>
      </c>
      <c r="C47" s="925"/>
      <c r="D47" s="925" t="s">
        <v>90</v>
      </c>
      <c r="E47" s="925"/>
      <c r="F47" s="964"/>
      <c r="G47" s="964"/>
      <c r="H47" s="964" t="s">
        <v>481</v>
      </c>
      <c r="I47" s="965" t="s">
        <v>419</v>
      </c>
      <c r="J47"/>
      <c r="K47"/>
      <c r="L47"/>
      <c r="M47"/>
      <c r="N47"/>
      <c r="O47"/>
      <c r="P47"/>
      <c r="Q47"/>
      <c r="R47"/>
      <c r="S47"/>
      <c r="T47"/>
      <c r="U47"/>
      <c r="V47"/>
      <c r="W47"/>
      <c r="X47"/>
      <c r="Y47"/>
      <c r="Z47"/>
      <c r="AA47"/>
      <c r="AB47"/>
    </row>
    <row r="48" spans="1:28" s="800" customFormat="1" ht="24.95" customHeight="1" x14ac:dyDescent="0.35">
      <c r="A48" s="968">
        <v>44977</v>
      </c>
      <c r="B48" s="930" t="s">
        <v>110</v>
      </c>
      <c r="C48" s="925"/>
      <c r="D48" s="925" t="s">
        <v>92</v>
      </c>
      <c r="E48" s="925"/>
      <c r="F48" s="964"/>
      <c r="G48" s="964"/>
      <c r="H48" s="964">
        <v>5407</v>
      </c>
      <c r="I48" s="965">
        <v>54500</v>
      </c>
      <c r="J48" t="s">
        <v>478</v>
      </c>
      <c r="K48"/>
      <c r="L48"/>
      <c r="M48"/>
      <c r="N48"/>
      <c r="O48"/>
      <c r="P48"/>
      <c r="Q48"/>
      <c r="R48"/>
      <c r="S48"/>
      <c r="T48"/>
      <c r="U48"/>
      <c r="V48"/>
      <c r="W48"/>
      <c r="X48"/>
      <c r="Y48"/>
      <c r="Z48"/>
      <c r="AA48"/>
      <c r="AB48"/>
    </row>
    <row r="49" spans="1:28" s="800" customFormat="1" ht="24.95" customHeight="1" x14ac:dyDescent="0.35">
      <c r="A49" s="968">
        <v>2023</v>
      </c>
      <c r="B49" s="930" t="s">
        <v>191</v>
      </c>
      <c r="C49" s="925"/>
      <c r="D49" s="925" t="s">
        <v>92</v>
      </c>
      <c r="E49" s="925"/>
      <c r="F49" s="964"/>
      <c r="G49" s="964"/>
      <c r="H49" s="964" t="s">
        <v>118</v>
      </c>
      <c r="I49" s="965">
        <v>67000</v>
      </c>
      <c r="J49"/>
      <c r="K49"/>
      <c r="L49"/>
      <c r="M49"/>
      <c r="N49"/>
      <c r="O49"/>
      <c r="P49"/>
      <c r="Q49"/>
      <c r="R49"/>
      <c r="S49"/>
      <c r="T49"/>
      <c r="U49"/>
      <c r="V49"/>
      <c r="W49"/>
      <c r="X49"/>
      <c r="Y49"/>
      <c r="Z49"/>
      <c r="AA49"/>
      <c r="AB49"/>
    </row>
    <row r="50" spans="1:28" s="782" customFormat="1" ht="24.95" customHeight="1" x14ac:dyDescent="0.35">
      <c r="A50" s="968">
        <v>45147</v>
      </c>
      <c r="B50" s="930" t="s">
        <v>653</v>
      </c>
      <c r="C50" s="925"/>
      <c r="D50" s="925" t="s">
        <v>92</v>
      </c>
      <c r="E50" s="925"/>
      <c r="F50" s="964"/>
      <c r="G50" s="964"/>
      <c r="H50" s="964">
        <v>5568</v>
      </c>
      <c r="I50" s="965">
        <v>10000</v>
      </c>
      <c r="J50"/>
      <c r="K50"/>
      <c r="L50"/>
      <c r="M50"/>
      <c r="N50"/>
      <c r="O50"/>
      <c r="P50"/>
      <c r="Q50"/>
      <c r="R50"/>
      <c r="S50"/>
      <c r="T50"/>
      <c r="U50"/>
      <c r="V50"/>
      <c r="W50"/>
      <c r="X50"/>
      <c r="Y50"/>
      <c r="Z50"/>
      <c r="AA50"/>
      <c r="AB50"/>
    </row>
    <row r="51" spans="1:28" s="782" customFormat="1" ht="24.95" customHeight="1" x14ac:dyDescent="0.35">
      <c r="A51" s="968">
        <v>45195</v>
      </c>
      <c r="B51" s="930" t="s">
        <v>271</v>
      </c>
      <c r="C51" s="925"/>
      <c r="D51" s="925" t="s">
        <v>92</v>
      </c>
      <c r="E51" s="925"/>
      <c r="F51" s="964"/>
      <c r="G51" s="964"/>
      <c r="H51" s="964" t="s">
        <v>272</v>
      </c>
      <c r="I51" s="965">
        <v>2339.29</v>
      </c>
      <c r="J51"/>
      <c r="K51"/>
      <c r="L51"/>
      <c r="M51"/>
      <c r="N51"/>
      <c r="O51"/>
      <c r="P51"/>
      <c r="Q51"/>
      <c r="R51"/>
      <c r="S51"/>
      <c r="T51"/>
      <c r="U51"/>
      <c r="V51"/>
      <c r="W51"/>
      <c r="X51"/>
      <c r="Y51"/>
      <c r="Z51"/>
      <c r="AA51"/>
      <c r="AB51"/>
    </row>
    <row r="52" spans="1:28" s="782" customFormat="1" ht="24.95" customHeight="1" x14ac:dyDescent="0.35">
      <c r="A52" s="968">
        <v>45859</v>
      </c>
      <c r="B52" s="930" t="s">
        <v>271</v>
      </c>
      <c r="C52" s="925"/>
      <c r="D52" s="925" t="s">
        <v>282</v>
      </c>
      <c r="E52" s="925"/>
      <c r="F52" s="964"/>
      <c r="G52" s="964"/>
      <c r="H52" s="964" t="s">
        <v>572</v>
      </c>
      <c r="I52" s="965">
        <v>9850</v>
      </c>
      <c r="J52"/>
      <c r="K52"/>
      <c r="L52"/>
      <c r="M52"/>
      <c r="N52"/>
      <c r="O52"/>
      <c r="P52"/>
      <c r="Q52"/>
      <c r="R52"/>
      <c r="S52"/>
      <c r="T52"/>
      <c r="U52"/>
      <c r="V52"/>
      <c r="W52"/>
      <c r="X52"/>
      <c r="Y52"/>
      <c r="Z52"/>
      <c r="AA52"/>
      <c r="AB52"/>
    </row>
    <row r="53" spans="1:28" s="782" customFormat="1" ht="24.95" customHeight="1" x14ac:dyDescent="0.35">
      <c r="A53" s="968">
        <v>45300</v>
      </c>
      <c r="B53" s="930" t="s">
        <v>417</v>
      </c>
      <c r="C53" s="925"/>
      <c r="D53" s="925" t="s">
        <v>90</v>
      </c>
      <c r="E53" s="925"/>
      <c r="F53" s="964"/>
      <c r="G53" s="964"/>
      <c r="H53" s="964" t="s">
        <v>327</v>
      </c>
      <c r="I53" s="965">
        <v>16550</v>
      </c>
      <c r="J53"/>
      <c r="K53"/>
      <c r="L53"/>
      <c r="M53"/>
      <c r="N53"/>
      <c r="O53"/>
      <c r="P53"/>
      <c r="Q53"/>
      <c r="R53"/>
      <c r="S53"/>
      <c r="T53"/>
      <c r="U53"/>
      <c r="V53"/>
      <c r="W53"/>
      <c r="X53"/>
      <c r="Y53"/>
      <c r="Z53"/>
      <c r="AA53"/>
      <c r="AB53"/>
    </row>
    <row r="54" spans="1:28" s="782" customFormat="1" ht="24.95" customHeight="1" x14ac:dyDescent="0.35">
      <c r="A54" s="968">
        <v>45582</v>
      </c>
      <c r="B54" s="930" t="s">
        <v>417</v>
      </c>
      <c r="C54" s="925"/>
      <c r="D54" s="925" t="s">
        <v>90</v>
      </c>
      <c r="E54" s="925"/>
      <c r="F54" s="964"/>
      <c r="G54" s="964"/>
      <c r="H54" s="964" t="s">
        <v>656</v>
      </c>
      <c r="I54" s="965">
        <v>73520</v>
      </c>
      <c r="J54"/>
      <c r="K54"/>
      <c r="L54"/>
      <c r="M54"/>
      <c r="N54"/>
      <c r="O54"/>
      <c r="P54"/>
      <c r="Q54"/>
      <c r="R54"/>
      <c r="S54"/>
      <c r="T54"/>
      <c r="U54"/>
      <c r="V54"/>
      <c r="W54"/>
      <c r="X54"/>
      <c r="Y54"/>
      <c r="Z54"/>
      <c r="AA54"/>
      <c r="AB54"/>
    </row>
    <row r="55" spans="1:28" s="782" customFormat="1" ht="24.95" customHeight="1" x14ac:dyDescent="0.35">
      <c r="A55" s="968" t="s">
        <v>421</v>
      </c>
      <c r="B55" s="930" t="s">
        <v>417</v>
      </c>
      <c r="C55" s="925"/>
      <c r="D55" s="925" t="s">
        <v>90</v>
      </c>
      <c r="E55" s="925"/>
      <c r="F55" s="964"/>
      <c r="G55" s="964"/>
      <c r="H55" s="964" t="s">
        <v>456</v>
      </c>
      <c r="I55" s="965" t="s">
        <v>419</v>
      </c>
      <c r="J55"/>
      <c r="K55"/>
      <c r="L55"/>
      <c r="M55"/>
      <c r="N55"/>
      <c r="O55"/>
      <c r="P55"/>
      <c r="Q55"/>
      <c r="R55"/>
      <c r="S55"/>
      <c r="T55"/>
      <c r="U55"/>
      <c r="V55"/>
      <c r="W55"/>
      <c r="X55"/>
      <c r="Y55"/>
      <c r="Z55"/>
      <c r="AA55"/>
      <c r="AB55"/>
    </row>
    <row r="56" spans="1:28" s="782" customFormat="1" ht="24.95" customHeight="1" x14ac:dyDescent="0.35">
      <c r="A56" s="968">
        <v>45897</v>
      </c>
      <c r="B56" s="930" t="s">
        <v>417</v>
      </c>
      <c r="C56" s="925"/>
      <c r="D56" s="925" t="s">
        <v>90</v>
      </c>
      <c r="E56" s="925"/>
      <c r="F56" s="964"/>
      <c r="G56" s="964"/>
      <c r="H56" s="964" t="s">
        <v>609</v>
      </c>
      <c r="I56" s="965" t="s">
        <v>419</v>
      </c>
      <c r="J56"/>
      <c r="K56"/>
      <c r="L56"/>
      <c r="M56"/>
      <c r="N56"/>
      <c r="O56"/>
      <c r="P56"/>
      <c r="Q56"/>
      <c r="R56"/>
      <c r="S56"/>
      <c r="T56"/>
      <c r="U56"/>
      <c r="V56"/>
      <c r="W56"/>
      <c r="X56"/>
      <c r="Y56"/>
      <c r="Z56"/>
      <c r="AA56"/>
      <c r="AB56"/>
    </row>
    <row r="57" spans="1:28" s="782" customFormat="1" ht="24.95" customHeight="1" x14ac:dyDescent="0.35">
      <c r="A57" s="968">
        <v>45985</v>
      </c>
      <c r="B57" s="930" t="s">
        <v>417</v>
      </c>
      <c r="C57" s="925"/>
      <c r="D57" s="925" t="s">
        <v>90</v>
      </c>
      <c r="E57" s="925"/>
      <c r="F57" s="964"/>
      <c r="G57" s="964"/>
      <c r="H57" s="964" t="s">
        <v>688</v>
      </c>
      <c r="I57" s="965" t="s">
        <v>419</v>
      </c>
      <c r="J57"/>
      <c r="K57"/>
      <c r="L57"/>
      <c r="M57"/>
      <c r="N57"/>
      <c r="O57"/>
      <c r="P57"/>
      <c r="Q57"/>
      <c r="R57"/>
      <c r="S57"/>
      <c r="T57"/>
      <c r="U57"/>
      <c r="V57"/>
      <c r="W57"/>
      <c r="X57"/>
      <c r="Y57"/>
      <c r="Z57"/>
      <c r="AA57"/>
      <c r="AB57"/>
    </row>
    <row r="58" spans="1:28" s="782" customFormat="1" ht="24.95" customHeight="1" x14ac:dyDescent="0.35">
      <c r="A58" s="968">
        <v>45313</v>
      </c>
      <c r="B58" s="930" t="s">
        <v>230</v>
      </c>
      <c r="C58" s="925"/>
      <c r="D58" s="925" t="s">
        <v>92</v>
      </c>
      <c r="E58" s="925"/>
      <c r="F58" s="964"/>
      <c r="G58" s="964"/>
      <c r="H58" s="964">
        <v>5715</v>
      </c>
      <c r="I58" s="965">
        <v>78</v>
      </c>
      <c r="J58"/>
      <c r="K58"/>
      <c r="L58"/>
      <c r="M58"/>
      <c r="N58"/>
      <c r="O58"/>
      <c r="P58"/>
      <c r="Q58"/>
      <c r="R58"/>
      <c r="S58"/>
      <c r="T58"/>
      <c r="U58"/>
      <c r="V58"/>
      <c r="W58"/>
      <c r="X58"/>
      <c r="Y58"/>
      <c r="Z58"/>
      <c r="AA58"/>
      <c r="AB58"/>
    </row>
    <row r="59" spans="1:28" s="782" customFormat="1" ht="24.95" customHeight="1" x14ac:dyDescent="0.35">
      <c r="A59" s="968">
        <v>45371</v>
      </c>
      <c r="B59" s="930" t="s">
        <v>655</v>
      </c>
      <c r="C59" s="925"/>
      <c r="D59" s="925" t="s">
        <v>221</v>
      </c>
      <c r="E59" s="925"/>
      <c r="F59" s="964"/>
      <c r="G59" s="964"/>
      <c r="H59" s="964">
        <v>5769</v>
      </c>
      <c r="I59" s="965">
        <v>250</v>
      </c>
      <c r="J59"/>
      <c r="K59"/>
      <c r="L59"/>
      <c r="M59"/>
      <c r="N59"/>
      <c r="O59"/>
      <c r="P59"/>
      <c r="Q59"/>
      <c r="R59"/>
      <c r="S59"/>
      <c r="T59"/>
      <c r="U59"/>
      <c r="V59"/>
      <c r="W59"/>
      <c r="X59"/>
      <c r="Y59"/>
      <c r="Z59"/>
      <c r="AA59"/>
      <c r="AB59"/>
    </row>
    <row r="60" spans="1:28" s="782" customFormat="1" ht="24.95" customHeight="1" x14ac:dyDescent="0.35">
      <c r="A60" s="968">
        <v>45512</v>
      </c>
      <c r="B60" s="930" t="s">
        <v>545</v>
      </c>
      <c r="C60" s="925"/>
      <c r="D60" s="925" t="s">
        <v>90</v>
      </c>
      <c r="E60" s="925"/>
      <c r="F60" s="964"/>
      <c r="G60" s="964"/>
      <c r="H60" s="964">
        <v>5860</v>
      </c>
      <c r="I60" s="965">
        <v>194000</v>
      </c>
      <c r="J60"/>
      <c r="K60"/>
      <c r="L60"/>
      <c r="M60"/>
      <c r="N60"/>
      <c r="O60"/>
      <c r="P60"/>
      <c r="Q60"/>
      <c r="R60"/>
      <c r="S60"/>
      <c r="T60"/>
      <c r="U60"/>
      <c r="V60"/>
      <c r="W60"/>
      <c r="X60"/>
      <c r="Y60"/>
      <c r="Z60"/>
      <c r="AA60"/>
      <c r="AB60"/>
    </row>
    <row r="61" spans="1:28" s="813" customFormat="1" ht="24.95" customHeight="1" x14ac:dyDescent="0.35">
      <c r="A61" s="968">
        <v>45539</v>
      </c>
      <c r="B61" s="930" t="s">
        <v>545</v>
      </c>
      <c r="C61" s="925"/>
      <c r="D61" s="925" t="s">
        <v>90</v>
      </c>
      <c r="E61" s="925"/>
      <c r="F61" s="964"/>
      <c r="G61" s="964"/>
      <c r="H61" s="964">
        <v>5881</v>
      </c>
      <c r="I61" s="965" t="s">
        <v>419</v>
      </c>
      <c r="J61"/>
      <c r="K61"/>
      <c r="L61"/>
      <c r="M61"/>
      <c r="N61"/>
      <c r="O61"/>
      <c r="P61"/>
      <c r="Q61"/>
      <c r="R61"/>
      <c r="S61"/>
      <c r="T61"/>
      <c r="U61"/>
      <c r="V61"/>
      <c r="W61"/>
      <c r="X61"/>
      <c r="Y61"/>
      <c r="Z61"/>
      <c r="AA61"/>
      <c r="AB61"/>
    </row>
    <row r="62" spans="1:28" s="813" customFormat="1" ht="24.95" customHeight="1" x14ac:dyDescent="0.35">
      <c r="A62" s="968" t="s">
        <v>421</v>
      </c>
      <c r="B62" s="930" t="s">
        <v>545</v>
      </c>
      <c r="C62" s="925"/>
      <c r="D62" s="925" t="s">
        <v>90</v>
      </c>
      <c r="E62" s="925"/>
      <c r="F62" s="964"/>
      <c r="G62" s="964"/>
      <c r="H62" s="964">
        <v>5984</v>
      </c>
      <c r="I62" s="965">
        <v>685000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c r="G63" s="964"/>
      <c r="H63" s="964">
        <v>5985</v>
      </c>
      <c r="I63" s="965">
        <v>695000</v>
      </c>
      <c r="J63"/>
      <c r="K63"/>
      <c r="L63"/>
      <c r="M63"/>
      <c r="N63"/>
      <c r="O63"/>
      <c r="P63"/>
      <c r="Q63"/>
      <c r="R63"/>
      <c r="S63"/>
      <c r="T63"/>
      <c r="U63"/>
      <c r="V63"/>
      <c r="W63"/>
      <c r="X63"/>
      <c r="Y63"/>
      <c r="Z63"/>
      <c r="AA63"/>
      <c r="AB63"/>
    </row>
    <row r="64" spans="1:28" s="813" customFormat="1" ht="24.95" customHeight="1" x14ac:dyDescent="0.35">
      <c r="A64" s="968" t="s">
        <v>421</v>
      </c>
      <c r="B64" s="930" t="s">
        <v>545</v>
      </c>
      <c r="C64" s="925"/>
      <c r="D64" s="925" t="s">
        <v>90</v>
      </c>
      <c r="E64" s="925"/>
      <c r="F64" s="964"/>
      <c r="G64" s="964"/>
      <c r="H64" s="964">
        <v>5992</v>
      </c>
      <c r="I64" s="965">
        <v>55000</v>
      </c>
      <c r="J64"/>
      <c r="K64"/>
      <c r="L64"/>
      <c r="M64"/>
      <c r="N64"/>
      <c r="O64"/>
      <c r="P64"/>
      <c r="Q64"/>
      <c r="R64"/>
      <c r="S64"/>
      <c r="T64"/>
      <c r="U64"/>
      <c r="V64"/>
      <c r="W64"/>
      <c r="X64"/>
      <c r="Y64"/>
      <c r="Z64"/>
      <c r="AA64"/>
      <c r="AB64"/>
    </row>
    <row r="65" spans="1:28" s="813" customFormat="1" ht="24.95" customHeight="1" x14ac:dyDescent="0.35">
      <c r="A65" s="968" t="s">
        <v>658</v>
      </c>
      <c r="B65" s="930" t="s">
        <v>545</v>
      </c>
      <c r="C65" s="925"/>
      <c r="D65" s="925" t="s">
        <v>90</v>
      </c>
      <c r="E65" s="925"/>
      <c r="F65" s="964"/>
      <c r="G65" s="964"/>
      <c r="H65" s="964" t="s">
        <v>498</v>
      </c>
      <c r="I65" s="965">
        <v>167500</v>
      </c>
      <c r="J65"/>
      <c r="K65"/>
      <c r="L65"/>
      <c r="M65"/>
      <c r="N65"/>
      <c r="O65"/>
      <c r="P65"/>
      <c r="Q65"/>
      <c r="R65"/>
      <c r="S65"/>
      <c r="T65"/>
      <c r="U65"/>
      <c r="V65"/>
      <c r="W65"/>
      <c r="X65"/>
      <c r="Y65"/>
      <c r="Z65"/>
      <c r="AA65"/>
      <c r="AB65"/>
    </row>
    <row r="66" spans="1:28" s="813" customFormat="1" ht="24.95" customHeight="1" x14ac:dyDescent="0.35">
      <c r="A66" s="968" t="s">
        <v>421</v>
      </c>
      <c r="B66" s="930" t="s">
        <v>545</v>
      </c>
      <c r="C66" s="925"/>
      <c r="D66" s="925" t="s">
        <v>90</v>
      </c>
      <c r="E66" s="925"/>
      <c r="F66" s="964"/>
      <c r="G66" s="964"/>
      <c r="H66" s="964" t="s">
        <v>503</v>
      </c>
      <c r="I66" s="965" t="s">
        <v>419</v>
      </c>
      <c r="J66"/>
      <c r="K66"/>
      <c r="L66"/>
      <c r="M66"/>
      <c r="N66"/>
      <c r="O66"/>
      <c r="P66"/>
      <c r="Q66"/>
      <c r="R66"/>
      <c r="S66"/>
      <c r="T66"/>
      <c r="U66"/>
      <c r="V66"/>
      <c r="W66"/>
      <c r="X66"/>
      <c r="Y66"/>
      <c r="Z66"/>
      <c r="AA66"/>
      <c r="AB66"/>
    </row>
    <row r="67" spans="1:28" s="813" customFormat="1" ht="24.95" customHeight="1" x14ac:dyDescent="0.35">
      <c r="A67" s="968" t="s">
        <v>421</v>
      </c>
      <c r="B67" s="930" t="s">
        <v>545</v>
      </c>
      <c r="C67" s="925"/>
      <c r="D67" s="925" t="s">
        <v>90</v>
      </c>
      <c r="E67" s="925"/>
      <c r="F67" s="964"/>
      <c r="G67" s="964"/>
      <c r="H67" s="964" t="s">
        <v>550</v>
      </c>
      <c r="I67" s="965">
        <v>174800</v>
      </c>
      <c r="J67"/>
      <c r="K67"/>
      <c r="L67"/>
      <c r="M67"/>
      <c r="N67"/>
      <c r="O67"/>
      <c r="P67"/>
      <c r="Q67"/>
      <c r="R67"/>
      <c r="S67"/>
      <c r="T67"/>
      <c r="U67"/>
      <c r="V67"/>
      <c r="W67"/>
      <c r="X67"/>
      <c r="Y67"/>
      <c r="Z67"/>
      <c r="AA67"/>
      <c r="AB67"/>
    </row>
    <row r="68" spans="1:28" s="813" customFormat="1" ht="24.95" customHeight="1" x14ac:dyDescent="0.35">
      <c r="A68" s="968" t="s">
        <v>421</v>
      </c>
      <c r="B68" s="930" t="s">
        <v>545</v>
      </c>
      <c r="C68" s="925"/>
      <c r="D68" s="925" t="s">
        <v>90</v>
      </c>
      <c r="E68" s="925"/>
      <c r="F68" s="964"/>
      <c r="G68" s="964"/>
      <c r="H68" s="964" t="s">
        <v>582</v>
      </c>
      <c r="I68" s="965">
        <v>948000</v>
      </c>
      <c r="J68"/>
      <c r="K68"/>
      <c r="L68"/>
      <c r="M68"/>
      <c r="N68"/>
      <c r="O68"/>
      <c r="P68"/>
      <c r="Q68"/>
      <c r="R68"/>
      <c r="S68"/>
      <c r="T68"/>
      <c r="U68"/>
      <c r="V68"/>
      <c r="W68"/>
      <c r="X68"/>
      <c r="Y68"/>
      <c r="Z68"/>
      <c r="AA68"/>
      <c r="AB68"/>
    </row>
    <row r="69" spans="1:28" s="813" customFormat="1" ht="24.95" customHeight="1" x14ac:dyDescent="0.35">
      <c r="A69" s="968" t="s">
        <v>421</v>
      </c>
      <c r="B69" s="930" t="s">
        <v>545</v>
      </c>
      <c r="C69" s="925"/>
      <c r="D69" s="925" t="s">
        <v>90</v>
      </c>
      <c r="E69" s="925"/>
      <c r="F69" s="964"/>
      <c r="G69" s="964"/>
      <c r="H69" s="964" t="s">
        <v>583</v>
      </c>
      <c r="I69" s="965">
        <v>280000</v>
      </c>
      <c r="J69"/>
      <c r="K69"/>
      <c r="L69"/>
      <c r="M69"/>
      <c r="N69"/>
      <c r="O69"/>
      <c r="P69"/>
      <c r="Q69"/>
      <c r="R69"/>
      <c r="S69"/>
      <c r="T69"/>
      <c r="U69"/>
      <c r="V69"/>
      <c r="W69"/>
      <c r="X69"/>
      <c r="Y69"/>
      <c r="Z69"/>
      <c r="AA69"/>
      <c r="AB69"/>
    </row>
    <row r="70" spans="1:28" s="813" customFormat="1" ht="24.95" customHeight="1" x14ac:dyDescent="0.35">
      <c r="A70" s="968" t="s">
        <v>421</v>
      </c>
      <c r="B70" s="930" t="s">
        <v>545</v>
      </c>
      <c r="C70" s="925"/>
      <c r="D70" s="925" t="s">
        <v>90</v>
      </c>
      <c r="E70" s="925"/>
      <c r="F70" s="964" t="s">
        <v>676</v>
      </c>
      <c r="G70" s="964"/>
      <c r="H70" s="964" t="s">
        <v>603</v>
      </c>
      <c r="I70" s="965">
        <v>685000</v>
      </c>
      <c r="J70"/>
      <c r="K70"/>
      <c r="L70"/>
      <c r="M70"/>
      <c r="N70"/>
      <c r="O70"/>
      <c r="P70"/>
      <c r="Q70"/>
      <c r="R70"/>
      <c r="S70"/>
      <c r="T70"/>
      <c r="U70"/>
      <c r="V70"/>
      <c r="W70"/>
      <c r="X70"/>
      <c r="Y70"/>
      <c r="Z70"/>
      <c r="AA70"/>
      <c r="AB70"/>
    </row>
    <row r="71" spans="1:28" s="813" customFormat="1" ht="24.95" customHeight="1" x14ac:dyDescent="0.35">
      <c r="A71" s="968">
        <v>45952</v>
      </c>
      <c r="B71" s="930" t="s">
        <v>545</v>
      </c>
      <c r="C71" s="925"/>
      <c r="D71" s="925" t="s">
        <v>90</v>
      </c>
      <c r="E71" s="925"/>
      <c r="F71" s="964"/>
      <c r="G71" s="964"/>
      <c r="H71" s="964" t="s">
        <v>645</v>
      </c>
      <c r="I71" s="965" t="s">
        <v>419</v>
      </c>
      <c r="J71"/>
      <c r="K71"/>
      <c r="L71"/>
      <c r="M71"/>
      <c r="N71"/>
      <c r="O71"/>
      <c r="P71"/>
      <c r="Q71"/>
      <c r="R71"/>
      <c r="S71"/>
      <c r="T71"/>
      <c r="U71"/>
      <c r="V71"/>
      <c r="W71"/>
      <c r="X71"/>
      <c r="Y71"/>
      <c r="Z71"/>
      <c r="AA71"/>
      <c r="AB71"/>
    </row>
    <row r="72" spans="1:28" s="813" customFormat="1" ht="24.95" customHeight="1" x14ac:dyDescent="0.35">
      <c r="A72" s="968">
        <v>45985</v>
      </c>
      <c r="B72" s="930" t="s">
        <v>545</v>
      </c>
      <c r="C72" s="925"/>
      <c r="D72" s="925" t="s">
        <v>90</v>
      </c>
      <c r="E72" s="925"/>
      <c r="F72" s="964"/>
      <c r="G72" s="964"/>
      <c r="H72" s="964" t="s">
        <v>471</v>
      </c>
      <c r="I72" s="965" t="s">
        <v>419</v>
      </c>
      <c r="J72"/>
      <c r="K72"/>
      <c r="L72"/>
      <c r="M72"/>
      <c r="N72"/>
      <c r="O72"/>
      <c r="P72"/>
      <c r="Q72"/>
      <c r="R72"/>
      <c r="S72"/>
      <c r="T72"/>
      <c r="U72"/>
      <c r="V72"/>
      <c r="W72"/>
      <c r="X72"/>
      <c r="Y72"/>
      <c r="Z72"/>
      <c r="AA72"/>
      <c r="AB72"/>
    </row>
    <row r="73" spans="1:28" s="813" customFormat="1" ht="24.95" customHeight="1" x14ac:dyDescent="0.35">
      <c r="A73" s="968">
        <v>45986</v>
      </c>
      <c r="B73" s="930" t="s">
        <v>545</v>
      </c>
      <c r="C73" s="925"/>
      <c r="D73" s="925" t="s">
        <v>90</v>
      </c>
      <c r="E73" s="925"/>
      <c r="F73" s="964"/>
      <c r="G73" s="964"/>
      <c r="H73" s="964" t="s">
        <v>689</v>
      </c>
      <c r="I73" s="965" t="s">
        <v>419</v>
      </c>
      <c r="J73"/>
      <c r="K73"/>
      <c r="L73"/>
      <c r="M73"/>
      <c r="N73"/>
      <c r="O73"/>
      <c r="P73"/>
      <c r="Q73"/>
      <c r="R73"/>
      <c r="S73"/>
      <c r="T73"/>
      <c r="U73"/>
      <c r="V73"/>
      <c r="W73"/>
      <c r="X73"/>
      <c r="Y73"/>
      <c r="Z73"/>
      <c r="AA73"/>
      <c r="AB73"/>
    </row>
    <row r="74" spans="1:28" s="813" customFormat="1" ht="24.95" customHeight="1" x14ac:dyDescent="0.35">
      <c r="A74" s="968">
        <v>45630</v>
      </c>
      <c r="B74" s="930" t="s">
        <v>466</v>
      </c>
      <c r="C74" s="925"/>
      <c r="D74" s="925" t="s">
        <v>92</v>
      </c>
      <c r="E74" s="925"/>
      <c r="F74" s="964"/>
      <c r="G74" s="964"/>
      <c r="H74" s="964">
        <v>5939</v>
      </c>
      <c r="I74" s="965">
        <v>297900</v>
      </c>
      <c r="J74"/>
      <c r="K74"/>
      <c r="L74"/>
      <c r="M74"/>
      <c r="N74"/>
      <c r="O74"/>
      <c r="P74"/>
      <c r="Q74"/>
      <c r="R74"/>
      <c r="S74"/>
      <c r="T74"/>
      <c r="U74"/>
      <c r="V74"/>
      <c r="W74"/>
      <c r="X74"/>
      <c r="Y74"/>
      <c r="Z74"/>
      <c r="AA74"/>
      <c r="AB74"/>
    </row>
    <row r="75" spans="1:28" s="813" customFormat="1" ht="24.95" customHeight="1" x14ac:dyDescent="0.35">
      <c r="A75" s="968">
        <v>45749</v>
      </c>
      <c r="B75" s="930" t="s">
        <v>657</v>
      </c>
      <c r="C75" s="925"/>
      <c r="D75" s="925" t="s">
        <v>92</v>
      </c>
      <c r="E75" s="925"/>
      <c r="F75" s="964"/>
      <c r="G75" s="964"/>
      <c r="H75" s="964" t="s">
        <v>493</v>
      </c>
      <c r="I75" s="965">
        <v>11000</v>
      </c>
      <c r="J75"/>
      <c r="K75"/>
      <c r="L75"/>
      <c r="M75"/>
      <c r="N75"/>
      <c r="O75"/>
      <c r="P75"/>
      <c r="Q75"/>
      <c r="R75"/>
      <c r="S75"/>
      <c r="T75"/>
      <c r="U75"/>
      <c r="V75"/>
      <c r="W75"/>
      <c r="X75"/>
      <c r="Y75"/>
      <c r="Z75"/>
      <c r="AA75"/>
      <c r="AB75"/>
    </row>
    <row r="76" spans="1:28" s="813" customFormat="1" ht="24.95" customHeight="1" x14ac:dyDescent="0.35">
      <c r="A76" s="968">
        <v>45749</v>
      </c>
      <c r="B76" s="930" t="s">
        <v>657</v>
      </c>
      <c r="C76" s="925"/>
      <c r="D76" s="925" t="s">
        <v>92</v>
      </c>
      <c r="E76" s="925"/>
      <c r="F76" s="964"/>
      <c r="G76" s="964"/>
      <c r="H76" s="964" t="s">
        <v>494</v>
      </c>
      <c r="I76" s="965">
        <v>7500</v>
      </c>
      <c r="J76"/>
      <c r="K76"/>
      <c r="L76"/>
      <c r="M76"/>
      <c r="N76"/>
      <c r="O76"/>
      <c r="P76"/>
      <c r="Q76"/>
      <c r="R76"/>
      <c r="S76"/>
      <c r="T76"/>
      <c r="U76"/>
      <c r="V76"/>
      <c r="W76"/>
      <c r="X76"/>
      <c r="Y76"/>
      <c r="Z76"/>
      <c r="AA76"/>
      <c r="AB76"/>
    </row>
    <row r="77" spans="1:28" s="813" customFormat="1" ht="24.95" customHeight="1" x14ac:dyDescent="0.35">
      <c r="A77" s="968" t="s">
        <v>421</v>
      </c>
      <c r="B77" s="930" t="s">
        <v>270</v>
      </c>
      <c r="C77" s="925"/>
      <c r="D77" s="925" t="s">
        <v>90</v>
      </c>
      <c r="E77" s="925"/>
      <c r="F77" s="964"/>
      <c r="G77" s="964"/>
      <c r="H77" s="964">
        <v>5950</v>
      </c>
      <c r="I77" s="965" t="s">
        <v>419</v>
      </c>
      <c r="J77"/>
      <c r="K77"/>
      <c r="L77"/>
      <c r="M77"/>
      <c r="N77"/>
      <c r="O77"/>
      <c r="P77"/>
      <c r="Q77"/>
      <c r="R77"/>
      <c r="S77"/>
      <c r="T77"/>
      <c r="U77"/>
      <c r="V77"/>
      <c r="W77"/>
      <c r="X77"/>
      <c r="Y77"/>
      <c r="Z77"/>
      <c r="AA77"/>
      <c r="AB77"/>
    </row>
    <row r="78" spans="1:28" s="813" customFormat="1" ht="24.95" customHeight="1" x14ac:dyDescent="0.35">
      <c r="A78" s="968">
        <v>45700</v>
      </c>
      <c r="B78" s="930" t="s">
        <v>270</v>
      </c>
      <c r="C78" s="925"/>
      <c r="D78" s="925" t="s">
        <v>90</v>
      </c>
      <c r="E78" s="925"/>
      <c r="F78" s="964"/>
      <c r="G78" s="964"/>
      <c r="H78" s="964"/>
      <c r="I78" s="965">
        <v>1200</v>
      </c>
      <c r="J78"/>
      <c r="K78"/>
      <c r="L78"/>
      <c r="M78"/>
      <c r="N78"/>
      <c r="O78"/>
      <c r="P78"/>
      <c r="Q78"/>
      <c r="R78"/>
      <c r="S78"/>
      <c r="T78"/>
      <c r="U78"/>
      <c r="V78"/>
      <c r="W78"/>
      <c r="X78"/>
      <c r="Y78"/>
      <c r="Z78"/>
      <c r="AA78"/>
      <c r="AB78"/>
    </row>
    <row r="79" spans="1:28" s="813" customFormat="1" ht="24.95" customHeight="1" x14ac:dyDescent="0.35">
      <c r="A79" s="968">
        <v>45896</v>
      </c>
      <c r="B79" s="930" t="s">
        <v>270</v>
      </c>
      <c r="C79" s="925"/>
      <c r="D79" s="925" t="s">
        <v>90</v>
      </c>
      <c r="E79" s="925"/>
      <c r="F79" s="964"/>
      <c r="G79" s="964"/>
      <c r="H79" s="964" t="s">
        <v>601</v>
      </c>
      <c r="I79" s="965" t="s">
        <v>419</v>
      </c>
      <c r="J79"/>
      <c r="K79"/>
      <c r="L79"/>
      <c r="M79"/>
      <c r="N79"/>
      <c r="O79"/>
      <c r="P79"/>
      <c r="Q79"/>
      <c r="R79"/>
      <c r="S79"/>
      <c r="T79"/>
      <c r="U79"/>
      <c r="V79"/>
      <c r="W79"/>
      <c r="X79"/>
      <c r="Y79"/>
      <c r="Z79"/>
      <c r="AA79"/>
      <c r="AB79"/>
    </row>
    <row r="80" spans="1:28" s="813" customFormat="1" ht="24.95" customHeight="1" x14ac:dyDescent="0.35">
      <c r="A80" s="968">
        <v>45908</v>
      </c>
      <c r="B80" s="930" t="s">
        <v>270</v>
      </c>
      <c r="C80" s="925"/>
      <c r="D80" s="925" t="s">
        <v>90</v>
      </c>
      <c r="E80" s="925"/>
      <c r="F80" s="964"/>
      <c r="G80" s="964"/>
      <c r="H80" s="964" t="s">
        <v>613</v>
      </c>
      <c r="I80" s="965">
        <v>240350</v>
      </c>
      <c r="J80"/>
      <c r="K80"/>
      <c r="L80"/>
      <c r="M80"/>
      <c r="N80"/>
      <c r="O80"/>
      <c r="P80"/>
      <c r="Q80"/>
      <c r="R80"/>
      <c r="S80"/>
      <c r="T80"/>
      <c r="U80"/>
      <c r="V80"/>
      <c r="W80"/>
      <c r="X80"/>
      <c r="Y80"/>
      <c r="Z80"/>
      <c r="AA80"/>
      <c r="AB80"/>
    </row>
    <row r="81" spans="1:28" s="813" customFormat="1" ht="24.95" customHeight="1" x14ac:dyDescent="0.35">
      <c r="A81" s="968">
        <v>45933</v>
      </c>
      <c r="B81" s="930" t="s">
        <v>270</v>
      </c>
      <c r="C81" s="925"/>
      <c r="D81" s="925" t="s">
        <v>90</v>
      </c>
      <c r="E81" s="925"/>
      <c r="F81" s="964"/>
      <c r="G81" s="964"/>
      <c r="H81" s="964" t="s">
        <v>671</v>
      </c>
      <c r="I81" s="965">
        <v>274513</v>
      </c>
      <c r="J81"/>
      <c r="K81"/>
      <c r="L81"/>
      <c r="M81"/>
      <c r="N81"/>
      <c r="O81"/>
      <c r="P81"/>
      <c r="Q81"/>
      <c r="R81"/>
      <c r="S81"/>
      <c r="T81"/>
      <c r="U81"/>
      <c r="V81"/>
      <c r="W81"/>
      <c r="X81"/>
      <c r="Y81"/>
      <c r="Z81"/>
      <c r="AA81"/>
      <c r="AB81"/>
    </row>
    <row r="82" spans="1:28" s="813" customFormat="1" ht="24.95" customHeight="1" x14ac:dyDescent="0.35">
      <c r="A82" s="968">
        <v>45944</v>
      </c>
      <c r="B82" s="930" t="s">
        <v>270</v>
      </c>
      <c r="C82" s="925"/>
      <c r="D82" s="925" t="s">
        <v>90</v>
      </c>
      <c r="E82" s="925"/>
      <c r="F82" s="964"/>
      <c r="G82" s="964"/>
      <c r="H82" s="964" t="s">
        <v>635</v>
      </c>
      <c r="I82" s="965">
        <v>58000</v>
      </c>
      <c r="J82"/>
      <c r="K82"/>
      <c r="L82"/>
      <c r="M82"/>
      <c r="N82"/>
      <c r="O82"/>
      <c r="P82"/>
      <c r="Q82"/>
      <c r="R82"/>
      <c r="S82"/>
      <c r="T82"/>
      <c r="U82"/>
      <c r="V82"/>
      <c r="W82"/>
      <c r="X82"/>
      <c r="Y82"/>
      <c r="Z82"/>
      <c r="AA82"/>
      <c r="AB82"/>
    </row>
    <row r="83" spans="1:28" s="813" customFormat="1" ht="24.95" customHeight="1" x14ac:dyDescent="0.35">
      <c r="A83" s="968">
        <v>45946</v>
      </c>
      <c r="B83" s="930" t="s">
        <v>270</v>
      </c>
      <c r="C83" s="925"/>
      <c r="D83" s="925" t="s">
        <v>90</v>
      </c>
      <c r="E83" s="925"/>
      <c r="F83" s="964"/>
      <c r="G83" s="964"/>
      <c r="H83" s="964" t="s">
        <v>638</v>
      </c>
      <c r="I83" s="965">
        <v>100000</v>
      </c>
      <c r="J83"/>
      <c r="K83"/>
      <c r="L83"/>
      <c r="M83"/>
      <c r="N83"/>
      <c r="O83"/>
      <c r="P83"/>
      <c r="Q83"/>
      <c r="R83"/>
      <c r="S83"/>
      <c r="T83"/>
      <c r="U83"/>
      <c r="V83"/>
      <c r="W83"/>
      <c r="X83"/>
      <c r="Y83"/>
      <c r="Z83"/>
      <c r="AA83"/>
      <c r="AB83"/>
    </row>
    <row r="84" spans="1:28" s="813" customFormat="1" ht="24.95" customHeight="1" x14ac:dyDescent="0.35">
      <c r="A84" s="968">
        <v>45946</v>
      </c>
      <c r="B84" s="930" t="s">
        <v>270</v>
      </c>
      <c r="C84" s="925"/>
      <c r="D84" s="925" t="s">
        <v>90</v>
      </c>
      <c r="E84" s="925"/>
      <c r="F84" s="964"/>
      <c r="G84" s="964"/>
      <c r="H84" s="964" t="s">
        <v>639</v>
      </c>
      <c r="I84" s="965">
        <v>89000</v>
      </c>
      <c r="J84"/>
      <c r="K84"/>
      <c r="L84"/>
      <c r="M84"/>
      <c r="N84"/>
      <c r="O84"/>
      <c r="P84"/>
      <c r="Q84"/>
      <c r="R84"/>
      <c r="S84"/>
      <c r="T84"/>
      <c r="U84"/>
      <c r="V84"/>
      <c r="W84"/>
      <c r="X84"/>
      <c r="Y84"/>
      <c r="Z84"/>
      <c r="AA84"/>
      <c r="AB84"/>
    </row>
    <row r="85" spans="1:28" s="813" customFormat="1" ht="24.95" customHeight="1" x14ac:dyDescent="0.35">
      <c r="A85" s="968">
        <v>45946</v>
      </c>
      <c r="B85" s="930" t="s">
        <v>270</v>
      </c>
      <c r="C85" s="925"/>
      <c r="D85" s="925" t="s">
        <v>90</v>
      </c>
      <c r="E85" s="925"/>
      <c r="F85" s="964"/>
      <c r="G85" s="964"/>
      <c r="H85" s="964" t="s">
        <v>640</v>
      </c>
      <c r="I85" s="965">
        <v>105000</v>
      </c>
      <c r="J85"/>
      <c r="K85"/>
      <c r="L85"/>
      <c r="M85"/>
      <c r="N85"/>
      <c r="O85"/>
      <c r="P85"/>
      <c r="Q85"/>
      <c r="R85"/>
      <c r="S85"/>
      <c r="T85"/>
      <c r="U85"/>
      <c r="V85"/>
      <c r="W85"/>
      <c r="X85"/>
      <c r="Y85"/>
      <c r="Z85"/>
      <c r="AA85"/>
      <c r="AB85"/>
    </row>
    <row r="86" spans="1:28" s="813" customFormat="1" ht="24.95" customHeight="1" x14ac:dyDescent="0.35">
      <c r="A86" s="968">
        <v>45817</v>
      </c>
      <c r="B86" s="983" t="s">
        <v>560</v>
      </c>
      <c r="C86" s="925"/>
      <c r="D86" s="964" t="s">
        <v>90</v>
      </c>
      <c r="E86" s="964"/>
      <c r="F86" s="964"/>
      <c r="G86" s="964"/>
      <c r="H86" s="964" t="s">
        <v>556</v>
      </c>
      <c r="I86" s="965" t="s">
        <v>419</v>
      </c>
      <c r="J86"/>
      <c r="K86"/>
      <c r="L86"/>
      <c r="M86"/>
      <c r="N86"/>
      <c r="O86"/>
      <c r="P86"/>
      <c r="Q86"/>
      <c r="R86"/>
      <c r="S86"/>
      <c r="T86"/>
      <c r="U86"/>
      <c r="V86"/>
      <c r="W86"/>
      <c r="X86"/>
      <c r="Y86"/>
      <c r="Z86"/>
      <c r="AA86"/>
      <c r="AB86"/>
    </row>
    <row r="87" spans="1:28" s="813" customFormat="1" ht="24.95" customHeight="1" x14ac:dyDescent="0.35">
      <c r="A87" s="968">
        <v>45854</v>
      </c>
      <c r="B87" s="983" t="s">
        <v>560</v>
      </c>
      <c r="C87" s="925"/>
      <c r="D87" s="964" t="s">
        <v>90</v>
      </c>
      <c r="E87" s="964"/>
      <c r="F87" s="964"/>
      <c r="G87" s="964"/>
      <c r="H87" s="964" t="s">
        <v>562</v>
      </c>
      <c r="I87" s="965" t="s">
        <v>419</v>
      </c>
      <c r="J87"/>
      <c r="K87"/>
      <c r="L87"/>
      <c r="M87"/>
      <c r="N87"/>
      <c r="O87"/>
      <c r="P87"/>
      <c r="Q87"/>
      <c r="R87"/>
      <c r="S87"/>
      <c r="T87"/>
      <c r="U87"/>
      <c r="V87"/>
      <c r="W87"/>
      <c r="X87"/>
      <c r="Y87"/>
      <c r="Z87"/>
      <c r="AA87"/>
      <c r="AB87"/>
    </row>
    <row r="88" spans="1:28" s="813" customFormat="1" ht="24.95" customHeight="1" x14ac:dyDescent="0.35">
      <c r="A88" s="968">
        <v>45993</v>
      </c>
      <c r="B88" s="983" t="s">
        <v>432</v>
      </c>
      <c r="C88" s="925"/>
      <c r="D88" s="964" t="s">
        <v>90</v>
      </c>
      <c r="E88" s="964"/>
      <c r="F88" s="964"/>
      <c r="G88" s="964"/>
      <c r="H88" s="964" t="s">
        <v>692</v>
      </c>
      <c r="I88" s="965" t="s">
        <v>419</v>
      </c>
      <c r="J88"/>
      <c r="K88"/>
      <c r="L88"/>
      <c r="M88"/>
      <c r="N88"/>
      <c r="O88"/>
      <c r="P88"/>
      <c r="Q88"/>
      <c r="R88"/>
      <c r="S88"/>
      <c r="T88"/>
      <c r="U88"/>
      <c r="V88"/>
      <c r="W88"/>
      <c r="X88"/>
      <c r="Y88"/>
      <c r="Z88"/>
      <c r="AA88"/>
      <c r="AB88"/>
    </row>
    <row r="89" spans="1:28" s="813" customFormat="1" ht="24.95" customHeight="1" x14ac:dyDescent="0.35">
      <c r="A89" s="968">
        <v>46000</v>
      </c>
      <c r="B89" s="983" t="s">
        <v>432</v>
      </c>
      <c r="C89" s="925"/>
      <c r="D89" s="964" t="s">
        <v>90</v>
      </c>
      <c r="E89" s="964"/>
      <c r="F89" s="964"/>
      <c r="G89" s="964"/>
      <c r="H89" s="964" t="s">
        <v>702</v>
      </c>
      <c r="I89" s="965">
        <v>254250</v>
      </c>
      <c r="J89"/>
      <c r="K89"/>
      <c r="L89"/>
      <c r="M89"/>
      <c r="N89"/>
      <c r="O89"/>
      <c r="P89"/>
      <c r="Q89"/>
      <c r="R89"/>
      <c r="S89"/>
      <c r="T89"/>
      <c r="U89"/>
      <c r="V89"/>
      <c r="W89"/>
      <c r="X89"/>
      <c r="Y89"/>
      <c r="Z89"/>
      <c r="AA89"/>
      <c r="AB89"/>
    </row>
    <row r="90" spans="1:28" s="813" customFormat="1" ht="24.95" customHeight="1" x14ac:dyDescent="0.35">
      <c r="A90" s="968">
        <v>46032</v>
      </c>
      <c r="B90" s="983" t="s">
        <v>432</v>
      </c>
      <c r="C90" s="925"/>
      <c r="D90" s="964" t="s">
        <v>90</v>
      </c>
      <c r="E90" s="964"/>
      <c r="F90" s="964"/>
      <c r="G90" s="964"/>
      <c r="H90" s="964" t="s">
        <v>722</v>
      </c>
      <c r="I90" s="965">
        <v>415000</v>
      </c>
      <c r="J90"/>
      <c r="K90"/>
      <c r="L90"/>
      <c r="M90"/>
      <c r="N90"/>
      <c r="O90"/>
      <c r="P90"/>
      <c r="Q90"/>
      <c r="R90"/>
      <c r="S90"/>
      <c r="T90"/>
      <c r="U90"/>
      <c r="V90"/>
      <c r="W90"/>
      <c r="X90"/>
      <c r="Y90"/>
      <c r="Z90"/>
      <c r="AA90"/>
      <c r="AB90"/>
    </row>
    <row r="91" spans="1:28" s="813" customFormat="1" ht="24.95" customHeight="1" x14ac:dyDescent="0.35">
      <c r="A91" s="968">
        <v>45708</v>
      </c>
      <c r="B91" s="930" t="s">
        <v>436</v>
      </c>
      <c r="C91" s="925"/>
      <c r="D91" s="964" t="s">
        <v>92</v>
      </c>
      <c r="E91" s="964"/>
      <c r="F91" s="964"/>
      <c r="G91" s="964"/>
      <c r="H91" s="964" t="s">
        <v>443</v>
      </c>
      <c r="I91" s="965"/>
      <c r="J91"/>
      <c r="K91"/>
      <c r="L91"/>
      <c r="M91"/>
      <c r="N91"/>
      <c r="O91"/>
      <c r="P91"/>
      <c r="Q91"/>
      <c r="R91"/>
      <c r="S91"/>
      <c r="T91"/>
      <c r="U91"/>
      <c r="V91"/>
      <c r="W91"/>
      <c r="X91"/>
      <c r="Y91"/>
      <c r="Z91"/>
      <c r="AA91"/>
      <c r="AB91"/>
    </row>
    <row r="92" spans="1:28" s="813" customFormat="1" ht="24.95" customHeight="1" x14ac:dyDescent="0.35">
      <c r="A92" s="968" t="s">
        <v>421</v>
      </c>
      <c r="B92" s="930" t="s">
        <v>434</v>
      </c>
      <c r="C92" s="925"/>
      <c r="D92" s="964" t="s">
        <v>90</v>
      </c>
      <c r="E92" s="964"/>
      <c r="F92" s="964"/>
      <c r="G92" s="964"/>
      <c r="H92" s="964" t="s">
        <v>665</v>
      </c>
      <c r="I92" s="965">
        <v>2977500</v>
      </c>
      <c r="J92"/>
      <c r="K92"/>
      <c r="L92"/>
      <c r="M92"/>
      <c r="N92"/>
      <c r="O92"/>
      <c r="P92"/>
      <c r="Q92"/>
      <c r="R92"/>
      <c r="S92"/>
      <c r="T92"/>
      <c r="U92"/>
      <c r="V92"/>
      <c r="W92"/>
      <c r="X92"/>
      <c r="Y92"/>
      <c r="Z92"/>
      <c r="AA92"/>
      <c r="AB92"/>
    </row>
    <row r="93" spans="1:28" s="813" customFormat="1" ht="24.95" customHeight="1" x14ac:dyDescent="0.35">
      <c r="A93" s="968">
        <v>45965</v>
      </c>
      <c r="B93" s="930" t="s">
        <v>434</v>
      </c>
      <c r="C93" s="925"/>
      <c r="D93" s="964" t="s">
        <v>90</v>
      </c>
      <c r="E93" s="964"/>
      <c r="F93" s="964"/>
      <c r="G93" s="964"/>
      <c r="H93" s="964" t="s">
        <v>672</v>
      </c>
      <c r="I93" s="965">
        <v>2567500</v>
      </c>
      <c r="J93" t="s">
        <v>478</v>
      </c>
      <c r="K93"/>
      <c r="L93"/>
      <c r="M93"/>
      <c r="N93"/>
      <c r="O93"/>
      <c r="P93"/>
      <c r="Q93"/>
      <c r="R93"/>
      <c r="S93"/>
      <c r="T93"/>
      <c r="U93"/>
      <c r="V93"/>
      <c r="W93"/>
      <c r="X93"/>
      <c r="Y93"/>
      <c r="Z93"/>
      <c r="AA93"/>
      <c r="AB93"/>
    </row>
    <row r="94" spans="1:28" s="813" customFormat="1" ht="24.95" customHeight="1" x14ac:dyDescent="0.35">
      <c r="A94" s="968">
        <v>45723</v>
      </c>
      <c r="B94" s="930" t="s">
        <v>428</v>
      </c>
      <c r="C94" s="925"/>
      <c r="D94" s="964" t="s">
        <v>92</v>
      </c>
      <c r="E94" s="964"/>
      <c r="F94" s="964"/>
      <c r="G94" s="964"/>
      <c r="H94" s="964" t="s">
        <v>501</v>
      </c>
      <c r="I94" s="965">
        <v>8000</v>
      </c>
      <c r="J94"/>
      <c r="K94"/>
      <c r="L94"/>
      <c r="M94"/>
      <c r="N94"/>
      <c r="O94"/>
      <c r="P94"/>
      <c r="Q94"/>
      <c r="R94"/>
      <c r="S94"/>
      <c r="T94"/>
      <c r="U94"/>
      <c r="V94"/>
      <c r="W94"/>
      <c r="X94"/>
      <c r="Y94"/>
      <c r="Z94"/>
      <c r="AA94"/>
      <c r="AB94"/>
    </row>
    <row r="95" spans="1:28" s="813" customFormat="1" ht="24.95" customHeight="1" x14ac:dyDescent="0.35">
      <c r="A95" s="968">
        <v>45828</v>
      </c>
      <c r="B95" s="930" t="s">
        <v>428</v>
      </c>
      <c r="C95" s="925"/>
      <c r="D95" s="964" t="s">
        <v>92</v>
      </c>
      <c r="E95" s="964"/>
      <c r="F95" s="964"/>
      <c r="G95" s="964"/>
      <c r="H95" s="964" t="s">
        <v>559</v>
      </c>
      <c r="I95" s="965" t="s">
        <v>419</v>
      </c>
      <c r="J95"/>
      <c r="K95"/>
      <c r="L95"/>
      <c r="M95"/>
      <c r="N95"/>
      <c r="O95"/>
      <c r="P95"/>
      <c r="Q95"/>
      <c r="R95"/>
      <c r="S95"/>
      <c r="T95"/>
      <c r="U95"/>
      <c r="V95"/>
      <c r="W95"/>
      <c r="X95"/>
      <c r="Y95"/>
      <c r="Z95"/>
      <c r="AA95"/>
      <c r="AB95"/>
    </row>
    <row r="96" spans="1:28" s="813" customFormat="1" ht="24.95" customHeight="1" x14ac:dyDescent="0.35">
      <c r="A96" s="968">
        <v>45748</v>
      </c>
      <c r="B96" s="930" t="s">
        <v>115</v>
      </c>
      <c r="C96" s="925"/>
      <c r="D96" s="964" t="s">
        <v>90</v>
      </c>
      <c r="E96" s="964"/>
      <c r="F96" s="964"/>
      <c r="G96" s="964"/>
      <c r="H96" s="964" t="s">
        <v>587</v>
      </c>
      <c r="I96" s="965">
        <v>244995</v>
      </c>
      <c r="J96"/>
      <c r="K96"/>
      <c r="L96"/>
      <c r="M96"/>
      <c r="N96"/>
      <c r="O96"/>
      <c r="P96"/>
      <c r="Q96"/>
      <c r="R96"/>
      <c r="S96"/>
      <c r="T96"/>
      <c r="U96"/>
      <c r="V96"/>
      <c r="W96"/>
      <c r="X96"/>
      <c r="Y96"/>
      <c r="Z96"/>
      <c r="AA96"/>
      <c r="AB96"/>
    </row>
    <row r="97" spans="1:28" s="782" customFormat="1" ht="24.95" customHeight="1" x14ac:dyDescent="0.35">
      <c r="A97" s="968">
        <v>45750</v>
      </c>
      <c r="B97" s="930" t="s">
        <v>438</v>
      </c>
      <c r="C97" s="925"/>
      <c r="D97" s="964" t="s">
        <v>90</v>
      </c>
      <c r="E97" s="964"/>
      <c r="F97" s="964"/>
      <c r="G97" s="964"/>
      <c r="H97" s="964" t="s">
        <v>496</v>
      </c>
      <c r="I97" s="965">
        <v>339500</v>
      </c>
      <c r="J97"/>
      <c r="K97"/>
      <c r="L97"/>
      <c r="M97"/>
      <c r="N97"/>
      <c r="O97"/>
      <c r="P97"/>
      <c r="Q97"/>
      <c r="R97"/>
      <c r="S97"/>
      <c r="T97"/>
      <c r="U97"/>
      <c r="V97"/>
      <c r="W97"/>
      <c r="X97"/>
      <c r="Y97"/>
      <c r="Z97"/>
      <c r="AA97"/>
      <c r="AB97"/>
    </row>
    <row r="98" spans="1:28" s="749" customFormat="1" ht="24.95" customHeight="1" x14ac:dyDescent="0.35">
      <c r="A98" s="968" t="s">
        <v>421</v>
      </c>
      <c r="B98" s="930" t="s">
        <v>299</v>
      </c>
      <c r="C98" s="925"/>
      <c r="D98" s="925" t="s">
        <v>92</v>
      </c>
      <c r="E98" s="925"/>
      <c r="F98" s="964"/>
      <c r="G98" s="964"/>
      <c r="H98" s="964" t="s">
        <v>506</v>
      </c>
      <c r="I98" s="965">
        <v>77261.850000000006</v>
      </c>
      <c r="J98"/>
      <c r="K98"/>
      <c r="L98"/>
      <c r="M98"/>
      <c r="N98"/>
      <c r="O98"/>
      <c r="P98"/>
      <c r="Q98"/>
      <c r="R98"/>
      <c r="S98"/>
      <c r="T98"/>
      <c r="U98"/>
      <c r="V98"/>
      <c r="W98"/>
      <c r="X98"/>
      <c r="Y98"/>
      <c r="Z98"/>
      <c r="AA98"/>
      <c r="AB98"/>
    </row>
    <row r="99" spans="1:28" s="749" customFormat="1" ht="24.95" customHeight="1" x14ac:dyDescent="0.35">
      <c r="A99" s="968" t="s">
        <v>421</v>
      </c>
      <c r="B99" s="930" t="s">
        <v>299</v>
      </c>
      <c r="C99" s="925"/>
      <c r="D99" s="925" t="s">
        <v>92</v>
      </c>
      <c r="E99" s="925"/>
      <c r="F99" s="964"/>
      <c r="G99" s="964"/>
      <c r="H99" s="964" t="s">
        <v>525</v>
      </c>
      <c r="I99" s="965">
        <v>86950</v>
      </c>
      <c r="J99"/>
      <c r="K99"/>
      <c r="L99"/>
      <c r="M99"/>
      <c r="N99"/>
      <c r="O99"/>
      <c r="P99"/>
      <c r="Q99"/>
      <c r="R99"/>
      <c r="S99"/>
      <c r="T99"/>
      <c r="U99"/>
      <c r="V99"/>
      <c r="W99"/>
      <c r="X99"/>
      <c r="Y99"/>
      <c r="Z99"/>
      <c r="AA99"/>
      <c r="AB99"/>
    </row>
    <row r="100" spans="1:28" s="782" customFormat="1" ht="24.95" customHeight="1" x14ac:dyDescent="0.35">
      <c r="A100" s="968">
        <v>45790</v>
      </c>
      <c r="B100" s="930" t="s">
        <v>660</v>
      </c>
      <c r="C100" s="925"/>
      <c r="D100" s="925" t="s">
        <v>90</v>
      </c>
      <c r="E100" s="925"/>
      <c r="F100" s="964"/>
      <c r="G100" s="964"/>
      <c r="H100" s="964" t="s">
        <v>520</v>
      </c>
      <c r="I100" s="965">
        <v>487467.5</v>
      </c>
      <c r="J100"/>
      <c r="K100"/>
      <c r="L100"/>
      <c r="M100"/>
      <c r="N100"/>
      <c r="O100"/>
      <c r="P100"/>
      <c r="Q100"/>
      <c r="R100"/>
      <c r="S100"/>
      <c r="T100"/>
      <c r="U100"/>
      <c r="V100"/>
      <c r="W100"/>
      <c r="X100"/>
      <c r="Y100"/>
      <c r="Z100"/>
      <c r="AA100"/>
      <c r="AB100"/>
    </row>
    <row r="101" spans="1:28" s="782" customFormat="1" ht="24.95" customHeight="1" x14ac:dyDescent="0.35">
      <c r="A101" s="968">
        <v>45897</v>
      </c>
      <c r="B101" s="930" t="s">
        <v>660</v>
      </c>
      <c r="C101" s="925"/>
      <c r="D101" s="925" t="s">
        <v>90</v>
      </c>
      <c r="E101" s="925"/>
      <c r="F101" s="964"/>
      <c r="G101" s="964"/>
      <c r="H101" s="964" t="s">
        <v>608</v>
      </c>
      <c r="I101" s="965">
        <v>117000</v>
      </c>
      <c r="J101"/>
      <c r="K101"/>
      <c r="L101"/>
      <c r="M101"/>
      <c r="N101"/>
      <c r="O101"/>
      <c r="P101"/>
      <c r="Q101"/>
      <c r="R101"/>
      <c r="S101"/>
      <c r="T101"/>
      <c r="U101"/>
      <c r="V101"/>
      <c r="W101"/>
      <c r="X101"/>
      <c r="Y101"/>
      <c r="Z101"/>
      <c r="AA101"/>
      <c r="AB101"/>
    </row>
    <row r="102" spans="1:28" s="782" customFormat="1" ht="24.95" customHeight="1" x14ac:dyDescent="0.35">
      <c r="A102" s="968">
        <v>45973</v>
      </c>
      <c r="B102" s="930" t="s">
        <v>660</v>
      </c>
      <c r="C102" s="925"/>
      <c r="D102" s="925" t="s">
        <v>90</v>
      </c>
      <c r="E102" s="925"/>
      <c r="F102" s="964"/>
      <c r="G102" s="964"/>
      <c r="H102" s="964" t="s">
        <v>677</v>
      </c>
      <c r="I102" s="965">
        <v>39180</v>
      </c>
      <c r="J102"/>
      <c r="K102"/>
      <c r="L102"/>
      <c r="M102"/>
      <c r="N102"/>
      <c r="O102"/>
      <c r="P102"/>
      <c r="Q102"/>
      <c r="R102"/>
      <c r="S102"/>
      <c r="T102"/>
      <c r="U102"/>
      <c r="V102"/>
      <c r="W102"/>
      <c r="X102"/>
      <c r="Y102"/>
      <c r="Z102"/>
      <c r="AA102"/>
      <c r="AB102"/>
    </row>
    <row r="103" spans="1:28" s="782" customFormat="1" ht="24.95" customHeight="1" x14ac:dyDescent="0.35">
      <c r="A103" s="968">
        <v>45804</v>
      </c>
      <c r="B103" s="930" t="s">
        <v>533</v>
      </c>
      <c r="C103" s="925"/>
      <c r="D103" s="925" t="s">
        <v>92</v>
      </c>
      <c r="E103" s="925"/>
      <c r="F103" s="964"/>
      <c r="G103" s="964"/>
      <c r="H103" s="964" t="s">
        <v>534</v>
      </c>
      <c r="I103" s="965" t="s">
        <v>419</v>
      </c>
      <c r="J103"/>
      <c r="K103"/>
      <c r="L103"/>
      <c r="M103"/>
      <c r="N103"/>
      <c r="O103"/>
      <c r="P103"/>
      <c r="Q103"/>
      <c r="R103"/>
      <c r="S103"/>
      <c r="T103"/>
      <c r="U103"/>
      <c r="V103"/>
      <c r="W103"/>
      <c r="X103"/>
      <c r="Y103"/>
      <c r="Z103"/>
      <c r="AA103"/>
      <c r="AB103"/>
    </row>
    <row r="104" spans="1:28" s="782" customFormat="1" ht="24.95" customHeight="1" x14ac:dyDescent="0.35">
      <c r="A104" s="968" t="s">
        <v>557</v>
      </c>
      <c r="B104" s="930" t="s">
        <v>662</v>
      </c>
      <c r="C104" s="925"/>
      <c r="D104" s="964" t="s">
        <v>92</v>
      </c>
      <c r="E104" s="964"/>
      <c r="F104" s="964"/>
      <c r="G104" s="964"/>
      <c r="H104" s="964" t="s">
        <v>564</v>
      </c>
      <c r="I104" s="965">
        <v>115000</v>
      </c>
      <c r="J104"/>
      <c r="K104"/>
      <c r="L104"/>
      <c r="M104"/>
      <c r="N104"/>
      <c r="O104"/>
      <c r="P104"/>
      <c r="Q104"/>
      <c r="R104"/>
      <c r="S104"/>
      <c r="T104"/>
      <c r="U104"/>
      <c r="V104"/>
      <c r="W104"/>
      <c r="X104"/>
      <c r="Y104"/>
      <c r="Z104"/>
      <c r="AA104"/>
      <c r="AB104"/>
    </row>
    <row r="105" spans="1:28" s="782" customFormat="1" ht="24.95" customHeight="1" x14ac:dyDescent="0.35">
      <c r="A105" s="968" t="s">
        <v>421</v>
      </c>
      <c r="B105" s="930" t="s">
        <v>662</v>
      </c>
      <c r="C105" s="925"/>
      <c r="D105" s="964" t="s">
        <v>92</v>
      </c>
      <c r="E105" s="964"/>
      <c r="F105" s="964"/>
      <c r="G105" s="964"/>
      <c r="H105" s="964" t="s">
        <v>565</v>
      </c>
      <c r="I105" s="965">
        <v>25895</v>
      </c>
      <c r="J105"/>
      <c r="K105"/>
      <c r="L105"/>
      <c r="M105"/>
      <c r="N105"/>
      <c r="O105"/>
      <c r="P105"/>
      <c r="Q105"/>
      <c r="R105"/>
      <c r="S105"/>
      <c r="T105"/>
      <c r="U105"/>
      <c r="V105"/>
      <c r="W105"/>
      <c r="X105"/>
      <c r="Y105"/>
      <c r="Z105"/>
      <c r="AA105"/>
      <c r="AB105"/>
    </row>
    <row r="106" spans="1:28" s="782" customFormat="1" ht="24.95" customHeight="1" x14ac:dyDescent="0.35">
      <c r="A106" s="968" t="s">
        <v>421</v>
      </c>
      <c r="B106" s="930" t="s">
        <v>663</v>
      </c>
      <c r="C106" s="925"/>
      <c r="D106" s="964" t="s">
        <v>90</v>
      </c>
      <c r="E106" s="964"/>
      <c r="F106" s="964"/>
      <c r="G106" s="964"/>
      <c r="H106" s="964" t="s">
        <v>571</v>
      </c>
      <c r="I106" s="965">
        <v>45000</v>
      </c>
      <c r="J106"/>
      <c r="K106"/>
      <c r="L106"/>
      <c r="M106"/>
      <c r="N106"/>
      <c r="O106"/>
      <c r="P106"/>
      <c r="Q106"/>
      <c r="R106"/>
      <c r="S106"/>
      <c r="T106"/>
      <c r="U106"/>
      <c r="V106"/>
      <c r="W106"/>
      <c r="X106"/>
      <c r="Y106"/>
      <c r="Z106"/>
      <c r="AA106"/>
      <c r="AB106"/>
    </row>
    <row r="107" spans="1:28" s="941" customFormat="1" ht="24.95" customHeight="1" x14ac:dyDescent="0.35">
      <c r="A107" s="968">
        <v>45874</v>
      </c>
      <c r="B107" s="930" t="s">
        <v>664</v>
      </c>
      <c r="C107" s="925"/>
      <c r="D107" s="964" t="s">
        <v>92</v>
      </c>
      <c r="E107" s="964"/>
      <c r="F107" s="964"/>
      <c r="G107" s="964"/>
      <c r="H107" s="964" t="s">
        <v>585</v>
      </c>
      <c r="I107" s="965">
        <v>105000</v>
      </c>
      <c r="J107"/>
      <c r="K107"/>
      <c r="L107"/>
      <c r="M107"/>
      <c r="N107"/>
      <c r="O107"/>
      <c r="P107"/>
      <c r="Q107"/>
      <c r="R107"/>
      <c r="S107"/>
      <c r="T107"/>
      <c r="U107"/>
      <c r="V107"/>
      <c r="W107"/>
      <c r="X107"/>
      <c r="Y107"/>
      <c r="Z107"/>
      <c r="AA107"/>
      <c r="AB107"/>
    </row>
    <row r="108" spans="1:28" s="941" customFormat="1" ht="24.95" customHeight="1" x14ac:dyDescent="0.35">
      <c r="A108" s="968">
        <v>45993</v>
      </c>
      <c r="B108" s="930" t="s">
        <v>664</v>
      </c>
      <c r="C108" s="925"/>
      <c r="D108" s="964" t="s">
        <v>92</v>
      </c>
      <c r="E108" s="964" t="s">
        <v>64</v>
      </c>
      <c r="F108" s="964"/>
      <c r="G108" s="964"/>
      <c r="H108" s="964" t="s">
        <v>694</v>
      </c>
      <c r="I108" s="965" t="s">
        <v>419</v>
      </c>
      <c r="J108"/>
      <c r="K108"/>
      <c r="L108"/>
      <c r="M108"/>
      <c r="N108"/>
      <c r="O108"/>
      <c r="P108"/>
      <c r="Q108"/>
      <c r="R108"/>
      <c r="S108"/>
      <c r="T108"/>
      <c r="U108"/>
      <c r="V108"/>
      <c r="W108"/>
      <c r="X108"/>
      <c r="Y108"/>
      <c r="Z108"/>
      <c r="AA108"/>
      <c r="AB108"/>
    </row>
    <row r="109" spans="1:28" s="941" customFormat="1" ht="24.95" customHeight="1" x14ac:dyDescent="0.35">
      <c r="A109" s="968">
        <v>46003</v>
      </c>
      <c r="B109" s="930" t="s">
        <v>664</v>
      </c>
      <c r="C109" s="925"/>
      <c r="D109" s="964" t="s">
        <v>92</v>
      </c>
      <c r="E109" s="964"/>
      <c r="F109" s="964"/>
      <c r="G109" s="964"/>
      <c r="H109" s="964" t="s">
        <v>704</v>
      </c>
      <c r="I109" s="965" t="s">
        <v>419</v>
      </c>
      <c r="J109"/>
      <c r="K109"/>
      <c r="L109"/>
      <c r="M109"/>
      <c r="N109"/>
      <c r="O109"/>
      <c r="P109"/>
      <c r="Q109"/>
      <c r="R109"/>
      <c r="S109"/>
      <c r="T109"/>
      <c r="U109"/>
      <c r="V109"/>
      <c r="W109"/>
      <c r="X109"/>
      <c r="Y109"/>
      <c r="Z109"/>
      <c r="AA109"/>
      <c r="AB109"/>
    </row>
    <row r="110" spans="1:28" s="749" customFormat="1" ht="24.95" customHeight="1" x14ac:dyDescent="0.35">
      <c r="A110" s="968">
        <v>46000</v>
      </c>
      <c r="B110" s="930" t="s">
        <v>281</v>
      </c>
      <c r="C110" s="925"/>
      <c r="D110" s="964" t="s">
        <v>282</v>
      </c>
      <c r="E110" s="964"/>
      <c r="F110" s="964"/>
      <c r="G110" s="964"/>
      <c r="H110" s="964" t="s">
        <v>701</v>
      </c>
      <c r="I110" s="965">
        <v>306438.21999999997</v>
      </c>
      <c r="J110"/>
      <c r="K110"/>
      <c r="L110"/>
      <c r="M110"/>
      <c r="N110"/>
      <c r="O110"/>
      <c r="P110"/>
      <c r="Q110"/>
      <c r="R110"/>
      <c r="S110"/>
      <c r="T110"/>
      <c r="U110"/>
      <c r="V110"/>
      <c r="W110"/>
      <c r="X110"/>
      <c r="Y110"/>
      <c r="Z110"/>
      <c r="AA110"/>
      <c r="AB110"/>
    </row>
    <row r="111" spans="1:28" s="749" customFormat="1" ht="24.95" customHeight="1" x14ac:dyDescent="0.35">
      <c r="A111" s="968">
        <v>46008</v>
      </c>
      <c r="B111" s="930" t="s">
        <v>281</v>
      </c>
      <c r="C111" s="925"/>
      <c r="D111" s="964" t="s">
        <v>282</v>
      </c>
      <c r="E111" s="964"/>
      <c r="F111" s="964"/>
      <c r="G111" s="964"/>
      <c r="H111" s="964" t="s">
        <v>707</v>
      </c>
      <c r="I111" s="965" t="s">
        <v>419</v>
      </c>
      <c r="J111"/>
      <c r="K111"/>
      <c r="L111"/>
      <c r="M111"/>
      <c r="N111"/>
      <c r="O111"/>
      <c r="P111"/>
      <c r="Q111"/>
      <c r="R111"/>
      <c r="S111"/>
      <c r="T111"/>
      <c r="U111"/>
      <c r="V111"/>
      <c r="W111"/>
      <c r="X111"/>
      <c r="Y111"/>
      <c r="Z111"/>
      <c r="AA111"/>
      <c r="AB111"/>
    </row>
    <row r="112" spans="1:28" s="749" customFormat="1" ht="24.95" customHeight="1" x14ac:dyDescent="0.35">
      <c r="A112" s="968">
        <v>45772</v>
      </c>
      <c r="B112" s="930" t="s">
        <v>596</v>
      </c>
      <c r="C112" s="925"/>
      <c r="D112" s="964" t="s">
        <v>92</v>
      </c>
      <c r="E112" s="964"/>
      <c r="F112" s="964"/>
      <c r="G112" s="964"/>
      <c r="H112" s="964" t="s">
        <v>597</v>
      </c>
      <c r="I112" s="965">
        <v>142240</v>
      </c>
      <c r="J112"/>
      <c r="K112"/>
      <c r="L112"/>
      <c r="M112"/>
      <c r="N112"/>
      <c r="O112"/>
      <c r="P112"/>
      <c r="Q112"/>
      <c r="R112"/>
      <c r="S112"/>
      <c r="T112"/>
      <c r="U112"/>
      <c r="V112"/>
      <c r="W112"/>
      <c r="X112"/>
      <c r="Y112"/>
      <c r="Z112"/>
      <c r="AA112"/>
      <c r="AB112"/>
    </row>
    <row r="113" spans="1:28" s="749" customFormat="1" ht="24.95" customHeight="1" x14ac:dyDescent="0.35">
      <c r="A113" s="968">
        <v>45896</v>
      </c>
      <c r="B113" s="930" t="s">
        <v>619</v>
      </c>
      <c r="C113" s="925"/>
      <c r="D113" s="964" t="s">
        <v>221</v>
      </c>
      <c r="E113" s="964"/>
      <c r="F113" s="964"/>
      <c r="G113" s="964"/>
      <c r="H113" s="964" t="s">
        <v>620</v>
      </c>
      <c r="I113" s="965">
        <v>176994</v>
      </c>
      <c r="J113"/>
      <c r="K113"/>
      <c r="L113"/>
      <c r="M113"/>
      <c r="N113"/>
      <c r="O113"/>
      <c r="P113"/>
      <c r="Q113"/>
      <c r="R113"/>
      <c r="S113"/>
      <c r="T113"/>
      <c r="U113"/>
      <c r="V113"/>
      <c r="W113"/>
      <c r="X113"/>
      <c r="Y113"/>
      <c r="Z113"/>
      <c r="AA113"/>
      <c r="AB113"/>
    </row>
    <row r="114" spans="1:28" s="782" customFormat="1" ht="24.95" customHeight="1" x14ac:dyDescent="0.35">
      <c r="A114" s="968">
        <v>45897</v>
      </c>
      <c r="B114" s="930" t="s">
        <v>666</v>
      </c>
      <c r="C114" s="925"/>
      <c r="D114" s="964" t="s">
        <v>92</v>
      </c>
      <c r="E114" s="964"/>
      <c r="F114" s="964"/>
      <c r="G114" s="964"/>
      <c r="H114" s="964" t="s">
        <v>602</v>
      </c>
      <c r="I114" s="965">
        <v>3500</v>
      </c>
      <c r="J114"/>
      <c r="K114"/>
      <c r="L114"/>
      <c r="M114"/>
      <c r="N114"/>
      <c r="O114"/>
      <c r="P114"/>
      <c r="Q114"/>
      <c r="R114"/>
      <c r="S114"/>
      <c r="T114"/>
      <c r="U114"/>
      <c r="V114"/>
      <c r="W114"/>
      <c r="X114"/>
      <c r="Y114"/>
      <c r="Z114"/>
      <c r="AA114"/>
      <c r="AB114"/>
    </row>
    <row r="115" spans="1:28" s="782" customFormat="1" ht="24.95" customHeight="1" x14ac:dyDescent="0.35">
      <c r="A115" s="968">
        <v>45908</v>
      </c>
      <c r="B115" s="930" t="s">
        <v>614</v>
      </c>
      <c r="C115" s="925"/>
      <c r="D115" s="964" t="s">
        <v>92</v>
      </c>
      <c r="E115" s="964"/>
      <c r="F115" s="964"/>
      <c r="G115" s="964"/>
      <c r="H115" s="964" t="s">
        <v>615</v>
      </c>
      <c r="I115" s="965" t="s">
        <v>419</v>
      </c>
      <c r="J115"/>
      <c r="K115"/>
      <c r="L115"/>
      <c r="M115"/>
      <c r="N115"/>
      <c r="O115"/>
      <c r="P115"/>
      <c r="Q115"/>
      <c r="R115"/>
      <c r="S115"/>
      <c r="T115"/>
      <c r="U115"/>
      <c r="V115"/>
      <c r="W115"/>
      <c r="X115"/>
      <c r="Y115"/>
      <c r="Z115"/>
      <c r="AA115"/>
      <c r="AB115"/>
    </row>
    <row r="116" spans="1:28" s="782" customFormat="1" ht="24.95" customHeight="1" x14ac:dyDescent="0.35">
      <c r="A116" s="968">
        <v>45923</v>
      </c>
      <c r="B116" s="930" t="s">
        <v>614</v>
      </c>
      <c r="C116" s="925"/>
      <c r="D116" s="964" t="s">
        <v>92</v>
      </c>
      <c r="E116" s="964"/>
      <c r="F116" s="964"/>
      <c r="G116" s="964"/>
      <c r="H116" s="964" t="s">
        <v>626</v>
      </c>
      <c r="I116" s="965" t="s">
        <v>419</v>
      </c>
      <c r="J116"/>
      <c r="K116"/>
      <c r="L116"/>
      <c r="M116"/>
      <c r="N116"/>
      <c r="O116"/>
      <c r="P116"/>
      <c r="Q116"/>
      <c r="R116"/>
      <c r="S116"/>
      <c r="T116"/>
      <c r="U116"/>
      <c r="V116"/>
      <c r="W116"/>
      <c r="X116"/>
      <c r="Y116"/>
      <c r="Z116"/>
      <c r="AA116"/>
      <c r="AB116"/>
    </row>
    <row r="117" spans="1:28" s="782" customFormat="1" ht="24.95" customHeight="1" x14ac:dyDescent="0.35">
      <c r="A117" s="968">
        <v>45909</v>
      </c>
      <c r="B117" s="930" t="s">
        <v>617</v>
      </c>
      <c r="C117" s="925"/>
      <c r="D117" s="964" t="s">
        <v>92</v>
      </c>
      <c r="E117" s="964"/>
      <c r="F117" s="964"/>
      <c r="G117" s="964"/>
      <c r="H117" s="964" t="s">
        <v>618</v>
      </c>
      <c r="I117" s="965">
        <v>143995</v>
      </c>
      <c r="J117"/>
      <c r="K117"/>
      <c r="L117"/>
      <c r="M117"/>
      <c r="N117"/>
      <c r="O117"/>
      <c r="P117"/>
      <c r="Q117"/>
      <c r="R117"/>
      <c r="S117"/>
      <c r="T117"/>
      <c r="U117"/>
      <c r="V117"/>
      <c r="W117"/>
      <c r="X117"/>
      <c r="Y117"/>
      <c r="Z117"/>
      <c r="AA117"/>
      <c r="AB117"/>
    </row>
    <row r="118" spans="1:28" s="782" customFormat="1" ht="24.95" customHeight="1" x14ac:dyDescent="0.35">
      <c r="A118" s="968">
        <v>45911</v>
      </c>
      <c r="B118" s="930" t="s">
        <v>617</v>
      </c>
      <c r="C118" s="925"/>
      <c r="D118" s="964" t="s">
        <v>92</v>
      </c>
      <c r="E118" s="964"/>
      <c r="F118" s="964"/>
      <c r="G118" s="964"/>
      <c r="H118" s="964" t="s">
        <v>624</v>
      </c>
      <c r="I118" s="965">
        <v>5400</v>
      </c>
      <c r="J118"/>
      <c r="K118"/>
      <c r="L118"/>
      <c r="M118"/>
      <c r="N118"/>
      <c r="O118"/>
      <c r="P118"/>
      <c r="Q118"/>
      <c r="R118"/>
      <c r="S118"/>
      <c r="T118"/>
      <c r="U118"/>
      <c r="V118"/>
      <c r="W118"/>
      <c r="X118"/>
      <c r="Y118"/>
      <c r="Z118"/>
      <c r="AA118"/>
      <c r="AB118"/>
    </row>
    <row r="119" spans="1:28" s="941" customFormat="1" ht="24.95" customHeight="1" x14ac:dyDescent="0.35">
      <c r="A119" s="968">
        <v>45912</v>
      </c>
      <c r="B119" s="930" t="s">
        <v>617</v>
      </c>
      <c r="C119" s="925"/>
      <c r="D119" s="964" t="s">
        <v>92</v>
      </c>
      <c r="E119" s="964"/>
      <c r="F119" s="964"/>
      <c r="G119" s="964"/>
      <c r="H119" s="964" t="s">
        <v>625</v>
      </c>
      <c r="I119" s="965">
        <v>5400</v>
      </c>
      <c r="J119"/>
      <c r="K119"/>
      <c r="L119"/>
      <c r="M119"/>
      <c r="N119"/>
      <c r="O119"/>
      <c r="P119"/>
      <c r="Q119"/>
      <c r="R119"/>
      <c r="S119"/>
      <c r="T119"/>
      <c r="U119"/>
      <c r="V119"/>
      <c r="W119"/>
      <c r="X119"/>
      <c r="Y119"/>
      <c r="Z119"/>
      <c r="AA119"/>
      <c r="AB119"/>
    </row>
    <row r="120" spans="1:28" s="749" customFormat="1" ht="24.95" customHeight="1" x14ac:dyDescent="0.35">
      <c r="A120" s="968">
        <v>45929</v>
      </c>
      <c r="B120" s="930" t="s">
        <v>617</v>
      </c>
      <c r="C120" s="925"/>
      <c r="D120" s="964" t="s">
        <v>92</v>
      </c>
      <c r="E120" s="964"/>
      <c r="F120" s="964"/>
      <c r="G120" s="964"/>
      <c r="H120" s="964" t="s">
        <v>667</v>
      </c>
      <c r="I120" s="965">
        <v>180000</v>
      </c>
      <c r="J120"/>
      <c r="K120"/>
      <c r="L120"/>
      <c r="M120"/>
      <c r="N120"/>
      <c r="O120"/>
      <c r="P120"/>
      <c r="Q120"/>
      <c r="R120"/>
      <c r="S120"/>
      <c r="T120"/>
      <c r="U120"/>
      <c r="V120"/>
      <c r="W120"/>
      <c r="X120"/>
      <c r="Y120"/>
      <c r="Z120"/>
      <c r="AA120"/>
      <c r="AB120"/>
    </row>
    <row r="121" spans="1:28" s="749" customFormat="1" ht="24.95" customHeight="1" x14ac:dyDescent="0.35">
      <c r="A121" s="968">
        <v>46000</v>
      </c>
      <c r="B121" s="930" t="s">
        <v>617</v>
      </c>
      <c r="C121" s="925"/>
      <c r="D121" s="964" t="s">
        <v>92</v>
      </c>
      <c r="E121" s="964"/>
      <c r="F121" s="964"/>
      <c r="G121" s="964"/>
      <c r="H121" s="964" t="s">
        <v>698</v>
      </c>
      <c r="I121" s="965">
        <v>92000</v>
      </c>
      <c r="J121"/>
      <c r="K121"/>
      <c r="L121"/>
      <c r="M121"/>
      <c r="N121"/>
      <c r="O121"/>
      <c r="P121"/>
      <c r="Q121"/>
      <c r="R121"/>
      <c r="S121"/>
      <c r="T121"/>
      <c r="U121"/>
      <c r="V121"/>
      <c r="W121"/>
      <c r="X121"/>
      <c r="Y121"/>
      <c r="Z121"/>
      <c r="AA121"/>
      <c r="AB121"/>
    </row>
    <row r="122" spans="1:28" s="749" customFormat="1" ht="24.95" customHeight="1" x14ac:dyDescent="0.35">
      <c r="A122" s="968">
        <v>45944</v>
      </c>
      <c r="B122" s="930" t="s">
        <v>636</v>
      </c>
      <c r="C122" s="925"/>
      <c r="D122" s="964" t="s">
        <v>92</v>
      </c>
      <c r="E122" s="964"/>
      <c r="F122" s="964"/>
      <c r="G122" s="964"/>
      <c r="H122" s="964" t="s">
        <v>637</v>
      </c>
      <c r="I122" s="965">
        <v>79500</v>
      </c>
      <c r="J122"/>
      <c r="K122"/>
      <c r="L122"/>
      <c r="M122"/>
      <c r="N122"/>
      <c r="O122"/>
      <c r="P122"/>
      <c r="Q122"/>
      <c r="R122"/>
      <c r="S122"/>
      <c r="T122"/>
      <c r="U122"/>
      <c r="V122"/>
      <c r="W122"/>
      <c r="X122"/>
      <c r="Y122"/>
      <c r="Z122"/>
      <c r="AA122"/>
      <c r="AB122"/>
    </row>
    <row r="123" spans="1:28" s="749" customFormat="1" ht="24.95" customHeight="1" x14ac:dyDescent="0.35">
      <c r="A123" s="968">
        <v>45964</v>
      </c>
      <c r="B123" s="930" t="s">
        <v>669</v>
      </c>
      <c r="C123" s="925"/>
      <c r="D123" s="964" t="s">
        <v>282</v>
      </c>
      <c r="E123" s="964"/>
      <c r="F123" s="964"/>
      <c r="G123" s="964"/>
      <c r="H123" s="964" t="s">
        <v>670</v>
      </c>
      <c r="I123" s="965">
        <v>81575</v>
      </c>
      <c r="J123"/>
      <c r="K123"/>
      <c r="L123"/>
      <c r="M123"/>
      <c r="N123"/>
      <c r="O123"/>
      <c r="P123"/>
      <c r="Q123"/>
      <c r="R123"/>
      <c r="S123"/>
      <c r="T123"/>
      <c r="U123"/>
      <c r="V123"/>
      <c r="W123"/>
      <c r="X123"/>
      <c r="Y123"/>
      <c r="Z123"/>
      <c r="AA123"/>
      <c r="AB123"/>
    </row>
    <row r="124" spans="1:28" s="749" customFormat="1" ht="24.95" customHeight="1" x14ac:dyDescent="0.35">
      <c r="A124" s="968">
        <v>45978</v>
      </c>
      <c r="B124" s="930" t="s">
        <v>669</v>
      </c>
      <c r="C124" s="925"/>
      <c r="D124" s="964" t="s">
        <v>282</v>
      </c>
      <c r="E124" s="964"/>
      <c r="F124" s="964"/>
      <c r="G124" s="964"/>
      <c r="H124" s="964" t="s">
        <v>493</v>
      </c>
      <c r="I124" s="965">
        <v>134000</v>
      </c>
      <c r="J124"/>
      <c r="K124"/>
      <c r="L124"/>
      <c r="M124"/>
      <c r="N124"/>
      <c r="O124"/>
      <c r="P124"/>
      <c r="Q124"/>
      <c r="R124"/>
      <c r="S124"/>
      <c r="T124"/>
      <c r="U124"/>
      <c r="V124"/>
      <c r="W124"/>
      <c r="X124"/>
      <c r="Y124"/>
      <c r="Z124"/>
      <c r="AA124"/>
      <c r="AB124"/>
    </row>
    <row r="125" spans="1:28" s="749" customFormat="1" ht="24.95" customHeight="1" x14ac:dyDescent="0.35">
      <c r="A125" s="968">
        <v>45980</v>
      </c>
      <c r="B125" s="930" t="s">
        <v>679</v>
      </c>
      <c r="C125" s="925"/>
      <c r="D125" s="964" t="s">
        <v>282</v>
      </c>
      <c r="E125" s="964"/>
      <c r="F125" s="964"/>
      <c r="G125" s="964"/>
      <c r="H125" s="964" t="s">
        <v>680</v>
      </c>
      <c r="I125" s="965">
        <v>29000</v>
      </c>
      <c r="J125"/>
      <c r="K125"/>
      <c r="L125"/>
      <c r="M125"/>
      <c r="N125"/>
      <c r="O125"/>
      <c r="P125"/>
      <c r="Q125"/>
      <c r="R125"/>
      <c r="S125"/>
      <c r="T125"/>
      <c r="U125"/>
      <c r="V125"/>
      <c r="W125"/>
      <c r="X125"/>
      <c r="Y125"/>
      <c r="Z125"/>
      <c r="AA125"/>
      <c r="AB125"/>
    </row>
    <row r="126" spans="1:28" s="749" customFormat="1" ht="24.95" customHeight="1" x14ac:dyDescent="0.35">
      <c r="A126" s="968">
        <v>45981</v>
      </c>
      <c r="B126" s="930" t="s">
        <v>683</v>
      </c>
      <c r="C126" s="925"/>
      <c r="D126" s="964" t="s">
        <v>92</v>
      </c>
      <c r="E126" s="964"/>
      <c r="F126" s="964"/>
      <c r="G126" s="964"/>
      <c r="H126" s="964" t="s">
        <v>684</v>
      </c>
      <c r="I126" s="965">
        <v>72550</v>
      </c>
      <c r="J126"/>
      <c r="K126"/>
      <c r="L126"/>
      <c r="M126"/>
      <c r="N126"/>
      <c r="O126"/>
      <c r="P126"/>
      <c r="Q126"/>
      <c r="R126"/>
      <c r="S126"/>
      <c r="T126"/>
      <c r="U126"/>
      <c r="V126"/>
      <c r="W126"/>
      <c r="X126"/>
      <c r="Y126"/>
      <c r="Z126"/>
      <c r="AA126"/>
      <c r="AB126"/>
    </row>
    <row r="127" spans="1:28" s="749" customFormat="1" ht="24.95" customHeight="1" x14ac:dyDescent="0.35">
      <c r="A127" s="968">
        <v>46006</v>
      </c>
      <c r="B127" s="930" t="s">
        <v>683</v>
      </c>
      <c r="C127" s="925"/>
      <c r="D127" s="964" t="s">
        <v>92</v>
      </c>
      <c r="E127" s="964"/>
      <c r="F127" s="964"/>
      <c r="G127" s="964"/>
      <c r="H127" s="964" t="s">
        <v>709</v>
      </c>
      <c r="I127" s="965">
        <v>72550</v>
      </c>
      <c r="J127"/>
      <c r="K127"/>
      <c r="L127"/>
      <c r="M127"/>
      <c r="N127"/>
      <c r="O127"/>
      <c r="P127"/>
      <c r="Q127"/>
      <c r="R127"/>
      <c r="S127"/>
      <c r="T127"/>
      <c r="U127"/>
      <c r="V127"/>
      <c r="W127"/>
      <c r="X127"/>
      <c r="Y127"/>
      <c r="Z127"/>
      <c r="AA127"/>
      <c r="AB127"/>
    </row>
    <row r="128" spans="1:28" s="749" customFormat="1" ht="24.95" customHeight="1" x14ac:dyDescent="0.35">
      <c r="A128" s="968">
        <v>45985</v>
      </c>
      <c r="B128" s="930" t="s">
        <v>681</v>
      </c>
      <c r="C128" s="925"/>
      <c r="D128" s="964" t="s">
        <v>92</v>
      </c>
      <c r="E128" s="964"/>
      <c r="F128" s="964"/>
      <c r="G128" s="964"/>
      <c r="H128" s="964" t="s">
        <v>682</v>
      </c>
      <c r="I128" s="965">
        <v>1850000</v>
      </c>
      <c r="J128"/>
      <c r="K128"/>
      <c r="L128"/>
      <c r="M128"/>
      <c r="N128"/>
      <c r="O128"/>
      <c r="P128"/>
      <c r="Q128"/>
      <c r="R128"/>
      <c r="S128"/>
      <c r="T128"/>
      <c r="U128"/>
      <c r="V128"/>
      <c r="W128"/>
      <c r="X128"/>
      <c r="Y128"/>
      <c r="Z128"/>
      <c r="AA128"/>
      <c r="AB128"/>
    </row>
    <row r="129" spans="1:28" s="749" customFormat="1" ht="24.95" customHeight="1" x14ac:dyDescent="0.35">
      <c r="A129" s="968">
        <v>45986</v>
      </c>
      <c r="B129" s="930" t="s">
        <v>686</v>
      </c>
      <c r="C129" s="925"/>
      <c r="D129" s="964" t="s">
        <v>90</v>
      </c>
      <c r="E129" s="964"/>
      <c r="F129" s="964"/>
      <c r="G129" s="964"/>
      <c r="H129" s="964" t="s">
        <v>687</v>
      </c>
      <c r="I129" s="965">
        <v>2430000</v>
      </c>
      <c r="J129"/>
      <c r="K129"/>
      <c r="L129"/>
      <c r="M129"/>
      <c r="N129"/>
      <c r="O129"/>
      <c r="P129"/>
      <c r="Q129"/>
      <c r="R129"/>
      <c r="S129"/>
      <c r="T129"/>
      <c r="U129"/>
      <c r="V129"/>
      <c r="W129"/>
      <c r="X129"/>
      <c r="Y129"/>
      <c r="Z129"/>
      <c r="AA129"/>
      <c r="AB129"/>
    </row>
    <row r="130" spans="1:28" s="749" customFormat="1" ht="24.95" customHeight="1" x14ac:dyDescent="0.35">
      <c r="A130" s="968">
        <v>45989</v>
      </c>
      <c r="B130" s="930" t="s">
        <v>690</v>
      </c>
      <c r="C130" s="925"/>
      <c r="D130" s="964" t="s">
        <v>90</v>
      </c>
      <c r="E130" s="964"/>
      <c r="F130" s="964"/>
      <c r="G130" s="964"/>
      <c r="H130" s="964" t="s">
        <v>691</v>
      </c>
      <c r="I130" s="965">
        <v>5935</v>
      </c>
      <c r="J130"/>
      <c r="K130"/>
      <c r="L130"/>
      <c r="M130"/>
      <c r="N130"/>
      <c r="O130"/>
      <c r="P130"/>
      <c r="Q130"/>
      <c r="R130"/>
      <c r="S130"/>
      <c r="T130"/>
      <c r="U130"/>
      <c r="V130"/>
      <c r="W130"/>
      <c r="X130"/>
      <c r="Y130"/>
      <c r="Z130"/>
      <c r="AA130"/>
      <c r="AB130"/>
    </row>
    <row r="131" spans="1:28" s="749" customFormat="1" ht="24.95" customHeight="1" x14ac:dyDescent="0.35">
      <c r="A131" s="968">
        <v>45965</v>
      </c>
      <c r="B131" s="930" t="s">
        <v>695</v>
      </c>
      <c r="C131" s="925"/>
      <c r="D131" s="964" t="s">
        <v>90</v>
      </c>
      <c r="E131" s="964"/>
      <c r="F131" s="964"/>
      <c r="G131" s="964"/>
      <c r="H131" s="964" t="s">
        <v>696</v>
      </c>
      <c r="I131" s="965" t="s">
        <v>419</v>
      </c>
      <c r="J131"/>
      <c r="K131"/>
      <c r="L131"/>
      <c r="M131"/>
      <c r="N131"/>
      <c r="O131"/>
      <c r="P131"/>
      <c r="Q131"/>
      <c r="R131"/>
      <c r="S131"/>
      <c r="T131"/>
      <c r="U131"/>
      <c r="V131"/>
      <c r="W131"/>
      <c r="X131"/>
      <c r="Y131"/>
      <c r="Z131"/>
      <c r="AA131"/>
      <c r="AB131"/>
    </row>
    <row r="132" spans="1:28" s="749" customFormat="1" ht="24.95" customHeight="1" x14ac:dyDescent="0.35">
      <c r="A132" s="968">
        <v>45995</v>
      </c>
      <c r="B132" s="930" t="s">
        <v>699</v>
      </c>
      <c r="C132" s="925"/>
      <c r="D132" s="964" t="s">
        <v>90</v>
      </c>
      <c r="E132" s="964"/>
      <c r="F132" s="964"/>
      <c r="G132" s="964"/>
      <c r="H132" s="964" t="s">
        <v>700</v>
      </c>
      <c r="I132" s="965" t="s">
        <v>419</v>
      </c>
      <c r="J132"/>
      <c r="K132"/>
      <c r="L132"/>
      <c r="M132"/>
      <c r="N132"/>
      <c r="O132"/>
      <c r="P132"/>
      <c r="Q132"/>
      <c r="R132"/>
      <c r="S132"/>
      <c r="T132"/>
      <c r="U132"/>
      <c r="V132"/>
      <c r="W132"/>
      <c r="X132"/>
      <c r="Y132"/>
      <c r="Z132"/>
      <c r="AA132"/>
      <c r="AB132"/>
    </row>
    <row r="133" spans="1:28" s="749" customFormat="1" ht="24.95" customHeight="1" x14ac:dyDescent="0.35">
      <c r="A133" s="968">
        <v>46032</v>
      </c>
      <c r="B133" s="930" t="s">
        <v>699</v>
      </c>
      <c r="C133" s="925"/>
      <c r="D133" s="964" t="s">
        <v>90</v>
      </c>
      <c r="E133" s="964"/>
      <c r="F133" s="964"/>
      <c r="G133" s="964"/>
      <c r="H133" s="964" t="s">
        <v>723</v>
      </c>
      <c r="I133" s="965" t="s">
        <v>419</v>
      </c>
      <c r="J133"/>
      <c r="K133"/>
      <c r="L133"/>
      <c r="M133"/>
      <c r="N133"/>
      <c r="O133"/>
      <c r="P133"/>
      <c r="Q133"/>
      <c r="R133"/>
      <c r="S133"/>
      <c r="T133"/>
      <c r="U133"/>
      <c r="V133"/>
      <c r="W133"/>
      <c r="X133"/>
      <c r="Y133"/>
      <c r="Z133"/>
      <c r="AA133"/>
      <c r="AB133"/>
    </row>
    <row r="134" spans="1:28" s="749" customFormat="1" ht="24.95" customHeight="1" x14ac:dyDescent="0.35">
      <c r="A134" s="968" t="s">
        <v>705</v>
      </c>
      <c r="B134" s="930" t="s">
        <v>485</v>
      </c>
      <c r="C134" s="925"/>
      <c r="D134" s="964" t="s">
        <v>282</v>
      </c>
      <c r="E134" s="964"/>
      <c r="F134" s="964"/>
      <c r="G134" s="964"/>
      <c r="H134" s="964" t="s">
        <v>706</v>
      </c>
      <c r="I134" s="965"/>
      <c r="J134"/>
      <c r="K134"/>
      <c r="L134"/>
      <c r="M134"/>
      <c r="N134"/>
      <c r="O134"/>
      <c r="P134"/>
      <c r="Q134"/>
      <c r="R134"/>
      <c r="S134"/>
      <c r="T134"/>
      <c r="U134"/>
      <c r="V134"/>
      <c r="W134"/>
      <c r="X134"/>
      <c r="Y134"/>
      <c r="Z134"/>
      <c r="AA134"/>
      <c r="AB134"/>
    </row>
    <row r="135" spans="1:28" s="749" customFormat="1" ht="24.95" customHeight="1" x14ac:dyDescent="0.35">
      <c r="A135" s="968">
        <v>46008</v>
      </c>
      <c r="B135" s="930" t="s">
        <v>485</v>
      </c>
      <c r="C135" s="925"/>
      <c r="D135" s="964" t="s">
        <v>282</v>
      </c>
      <c r="E135" s="964"/>
      <c r="F135" s="964"/>
      <c r="G135" s="964"/>
      <c r="H135" s="964" t="s">
        <v>710</v>
      </c>
      <c r="I135" s="965">
        <v>23868</v>
      </c>
      <c r="J135"/>
      <c r="K135"/>
      <c r="L135"/>
      <c r="M135"/>
      <c r="N135"/>
      <c r="O135"/>
      <c r="P135"/>
      <c r="Q135"/>
      <c r="R135"/>
      <c r="S135"/>
      <c r="T135"/>
      <c r="U135"/>
      <c r="V135"/>
      <c r="W135"/>
      <c r="X135"/>
      <c r="Y135"/>
      <c r="Z135"/>
      <c r="AA135"/>
      <c r="AB135"/>
    </row>
    <row r="136" spans="1:28" s="749" customFormat="1" ht="24.95" customHeight="1" x14ac:dyDescent="0.35">
      <c r="A136" s="968" t="s">
        <v>421</v>
      </c>
      <c r="B136" s="930" t="s">
        <v>711</v>
      </c>
      <c r="C136" s="925"/>
      <c r="D136" s="964" t="s">
        <v>92</v>
      </c>
      <c r="E136" s="964"/>
      <c r="F136" s="964"/>
      <c r="G136" s="964"/>
      <c r="H136" s="964" t="s">
        <v>712</v>
      </c>
      <c r="I136" s="965" t="s">
        <v>419</v>
      </c>
      <c r="J136"/>
      <c r="K136"/>
      <c r="L136"/>
      <c r="M136"/>
      <c r="N136"/>
      <c r="O136"/>
      <c r="P136"/>
      <c r="Q136"/>
      <c r="R136"/>
      <c r="S136"/>
      <c r="T136"/>
      <c r="U136"/>
      <c r="V136"/>
      <c r="W136"/>
      <c r="X136"/>
      <c r="Y136"/>
      <c r="Z136"/>
      <c r="AA136"/>
      <c r="AB136"/>
    </row>
    <row r="137" spans="1:28" s="749" customFormat="1" ht="24.95" customHeight="1" x14ac:dyDescent="0.35">
      <c r="A137" s="968">
        <v>46013</v>
      </c>
      <c r="B137" s="930" t="s">
        <v>713</v>
      </c>
      <c r="C137" s="925"/>
      <c r="D137" s="964" t="s">
        <v>282</v>
      </c>
      <c r="E137" s="964"/>
      <c r="F137" s="964"/>
      <c r="G137" s="964"/>
      <c r="H137" s="964" t="s">
        <v>714</v>
      </c>
      <c r="I137" s="965">
        <v>39420</v>
      </c>
      <c r="J137" t="s">
        <v>478</v>
      </c>
      <c r="K137"/>
      <c r="L137"/>
      <c r="M137"/>
      <c r="N137"/>
      <c r="O137"/>
      <c r="P137"/>
      <c r="Q137"/>
      <c r="R137"/>
      <c r="S137"/>
      <c r="T137"/>
      <c r="U137"/>
      <c r="V137"/>
      <c r="W137"/>
      <c r="X137"/>
      <c r="Y137"/>
      <c r="Z137"/>
      <c r="AA137"/>
      <c r="AB137"/>
    </row>
    <row r="138" spans="1:28" s="749" customFormat="1" ht="24.95" customHeight="1" x14ac:dyDescent="0.35">
      <c r="A138" s="968">
        <v>46010</v>
      </c>
      <c r="B138" s="930" t="s">
        <v>715</v>
      </c>
      <c r="C138" s="925"/>
      <c r="D138" s="964" t="s">
        <v>92</v>
      </c>
      <c r="E138" s="964"/>
      <c r="F138" s="964"/>
      <c r="G138" s="964"/>
      <c r="H138" s="964" t="s">
        <v>716</v>
      </c>
      <c r="I138" s="965">
        <v>73500</v>
      </c>
      <c r="J138"/>
      <c r="K138"/>
      <c r="L138"/>
      <c r="M138"/>
      <c r="N138"/>
      <c r="O138"/>
      <c r="P138"/>
      <c r="Q138"/>
      <c r="R138"/>
      <c r="S138"/>
      <c r="T138"/>
      <c r="U138"/>
      <c r="V138"/>
      <c r="W138"/>
      <c r="X138"/>
      <c r="Y138"/>
      <c r="Z138"/>
      <c r="AA138"/>
      <c r="AB138"/>
    </row>
    <row r="139" spans="1:28" s="889" customFormat="1" ht="24.95" customHeight="1" x14ac:dyDescent="0.35">
      <c r="A139" s="939"/>
      <c r="B139" s="984" t="s">
        <v>7</v>
      </c>
      <c r="C139" s="700"/>
      <c r="D139" s="612" t="s">
        <v>140</v>
      </c>
      <c r="E139" s="612"/>
      <c r="F139" s="700"/>
      <c r="G139" s="700"/>
      <c r="H139" s="614"/>
      <c r="I139" s="891">
        <f>SUM(I8:I138)</f>
        <v>26098489.130000003</v>
      </c>
      <c r="J139"/>
      <c r="K139"/>
      <c r="L139"/>
      <c r="M139"/>
      <c r="N139"/>
      <c r="O139"/>
      <c r="P139"/>
      <c r="Q139"/>
      <c r="R139"/>
      <c r="S139"/>
      <c r="T139"/>
      <c r="U139"/>
      <c r="V139"/>
      <c r="W139"/>
      <c r="X139"/>
      <c r="Y139"/>
      <c r="Z139"/>
      <c r="AA139"/>
      <c r="AB139"/>
    </row>
    <row r="140" spans="1:28" ht="24.95" customHeight="1" x14ac:dyDescent="0.35">
      <c r="A140" s="940" t="s">
        <v>64</v>
      </c>
      <c r="G140" s="658" t="s">
        <v>64</v>
      </c>
    </row>
    <row r="141" spans="1:28" ht="24.95" customHeight="1" x14ac:dyDescent="0.35"/>
    <row r="142" spans="1:28" ht="24.95" customHeight="1" x14ac:dyDescent="0.35">
      <c r="F142" s="524" t="s">
        <v>486</v>
      </c>
    </row>
    <row r="143" spans="1:28" ht="24.95" customHeight="1" x14ac:dyDescent="0.35">
      <c r="G143" s="658" t="s">
        <v>64</v>
      </c>
    </row>
    <row r="144" spans="1:28" ht="23.25" customHeight="1" x14ac:dyDescent="0.35">
      <c r="D144" s="524"/>
      <c r="E144" s="524"/>
      <c r="H144" s="524"/>
      <c r="I144" s="524"/>
    </row>
    <row r="145" ht="24.95" customHeight="1" x14ac:dyDescent="0.35"/>
    <row r="146" ht="24.95" customHeight="1" x14ac:dyDescent="0.35"/>
    <row r="147" ht="24.95" customHeight="1" x14ac:dyDescent="0.35"/>
    <row r="148" ht="24.95" customHeight="1" x14ac:dyDescent="0.35"/>
    <row r="149" ht="24.95" customHeight="1" x14ac:dyDescent="0.35"/>
    <row r="150" ht="24.95" customHeight="1" x14ac:dyDescent="0.35"/>
    <row r="151" ht="24.95" customHeight="1" x14ac:dyDescent="0.35"/>
    <row r="152" ht="24.95" customHeight="1" x14ac:dyDescent="0.35"/>
    <row r="153" ht="24.95" customHeight="1" x14ac:dyDescent="0.35"/>
    <row r="154" ht="24.95" customHeight="1" x14ac:dyDescent="0.35"/>
    <row r="155" ht="24.95" customHeight="1" x14ac:dyDescent="0.35"/>
    <row r="156" ht="24.95" customHeight="1" x14ac:dyDescent="0.35"/>
    <row r="157" ht="24.95" customHeight="1"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4"/>
  <sheetViews>
    <sheetView workbookViewId="0">
      <pane ySplit="6" topLeftCell="A145" activePane="bottomLeft" state="frozen"/>
      <selection pane="bottomLeft" activeCell="B153" sqref="B153"/>
    </sheetView>
  </sheetViews>
  <sheetFormatPr defaultColWidth="23.85546875" defaultRowHeight="23.25" x14ac:dyDescent="0.35"/>
  <cols>
    <col min="1" max="1" width="23.85546875" style="940"/>
    <col min="2" max="2" width="56.28515625" style="657" customWidth="1"/>
    <col min="3" max="3" width="20.14062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806</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739</v>
      </c>
      <c r="D6" s="547" t="s">
        <v>89</v>
      </c>
      <c r="E6" s="547" t="s">
        <v>104</v>
      </c>
      <c r="F6" s="546" t="s">
        <v>646</v>
      </c>
      <c r="G6" s="546" t="s">
        <v>3</v>
      </c>
      <c r="H6" s="546" t="s">
        <v>4</v>
      </c>
      <c r="I6" s="550" t="s">
        <v>11</v>
      </c>
      <c r="J6"/>
      <c r="K6"/>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c r="K7"/>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c r="K8"/>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c r="K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c r="K10"/>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c r="K11"/>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c r="K12"/>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c r="K13"/>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c r="K14"/>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c r="K15"/>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c r="K16"/>
      <c r="L16"/>
      <c r="M16"/>
      <c r="N16"/>
      <c r="O16"/>
      <c r="P16"/>
      <c r="Q16"/>
      <c r="R16"/>
      <c r="S16"/>
      <c r="T16"/>
      <c r="U16"/>
      <c r="V16"/>
      <c r="W16"/>
      <c r="X16"/>
      <c r="Y16"/>
      <c r="Z16"/>
      <c r="AA16"/>
      <c r="AB16"/>
    </row>
    <row r="17" spans="1:28" s="775" customFormat="1" ht="24.95" customHeight="1" x14ac:dyDescent="0.35">
      <c r="A17" s="968">
        <v>45875</v>
      </c>
      <c r="B17" s="930" t="s">
        <v>43</v>
      </c>
      <c r="C17" s="925"/>
      <c r="D17" s="964" t="s">
        <v>90</v>
      </c>
      <c r="E17" s="964"/>
      <c r="F17" s="964"/>
      <c r="G17" s="925"/>
      <c r="H17" s="964" t="s">
        <v>586</v>
      </c>
      <c r="I17" s="965" t="s">
        <v>419</v>
      </c>
      <c r="J17"/>
      <c r="K17"/>
      <c r="L17"/>
      <c r="M17"/>
      <c r="N17"/>
      <c r="O17"/>
      <c r="P17"/>
      <c r="Q17"/>
      <c r="R17"/>
      <c r="S17"/>
      <c r="T17"/>
      <c r="U17"/>
      <c r="V17"/>
      <c r="W17"/>
      <c r="X17"/>
      <c r="Y17"/>
      <c r="Z17"/>
      <c r="AA17"/>
      <c r="AB17"/>
    </row>
    <row r="18" spans="1:28" s="775" customFormat="1" ht="24.95" customHeight="1" x14ac:dyDescent="0.35">
      <c r="A18" s="968" t="s">
        <v>421</v>
      </c>
      <c r="B18" s="930" t="s">
        <v>43</v>
      </c>
      <c r="C18" s="925"/>
      <c r="D18" s="964" t="s">
        <v>90</v>
      </c>
      <c r="E18" s="964"/>
      <c r="F18" s="964"/>
      <c r="G18" s="925"/>
      <c r="H18" s="964" t="s">
        <v>600</v>
      </c>
      <c r="I18" s="965">
        <v>250952.38</v>
      </c>
      <c r="J18"/>
      <c r="K18"/>
      <c r="L18"/>
      <c r="M18"/>
      <c r="N18"/>
      <c r="O18"/>
      <c r="P18"/>
      <c r="Q18"/>
      <c r="R18"/>
      <c r="S18"/>
      <c r="T18"/>
      <c r="U18"/>
      <c r="V18"/>
      <c r="W18"/>
      <c r="X18"/>
      <c r="Y18"/>
      <c r="Z18"/>
      <c r="AA18"/>
      <c r="AB18"/>
    </row>
    <row r="19" spans="1:28" s="782" customFormat="1" ht="24.95" customHeight="1" x14ac:dyDescent="0.35">
      <c r="A19" s="968">
        <v>44589</v>
      </c>
      <c r="B19" s="930" t="s">
        <v>125</v>
      </c>
      <c r="C19" s="925"/>
      <c r="D19" s="925" t="s">
        <v>90</v>
      </c>
      <c r="E19" s="925"/>
      <c r="F19" s="964"/>
      <c r="G19" s="964"/>
      <c r="H19" s="964">
        <v>4880</v>
      </c>
      <c r="I19" s="965">
        <v>37000</v>
      </c>
      <c r="J19"/>
      <c r="K19"/>
      <c r="L19"/>
      <c r="M19"/>
      <c r="N19"/>
      <c r="O19"/>
      <c r="P19"/>
      <c r="Q19"/>
      <c r="R19"/>
      <c r="S19"/>
      <c r="T19"/>
      <c r="U19"/>
      <c r="V19"/>
      <c r="W19"/>
      <c r="X19"/>
      <c r="Y19"/>
      <c r="Z19"/>
      <c r="AA19"/>
      <c r="AB19"/>
    </row>
    <row r="20" spans="1:28" s="782" customFormat="1" ht="24.95" customHeight="1" x14ac:dyDescent="0.35">
      <c r="A20" s="968">
        <v>44607</v>
      </c>
      <c r="B20" s="930" t="s">
        <v>649</v>
      </c>
      <c r="C20" s="925"/>
      <c r="D20" s="925" t="s">
        <v>90</v>
      </c>
      <c r="E20" s="925">
        <v>736</v>
      </c>
      <c r="F20" s="964"/>
      <c r="G20" s="964"/>
      <c r="H20" s="964" t="s">
        <v>131</v>
      </c>
      <c r="I20" s="965">
        <v>16076.04</v>
      </c>
      <c r="J20"/>
      <c r="K20"/>
      <c r="L20"/>
      <c r="M20"/>
      <c r="N20"/>
      <c r="O20"/>
      <c r="P20"/>
      <c r="Q20"/>
      <c r="R20"/>
      <c r="S20"/>
      <c r="T20"/>
      <c r="U20"/>
      <c r="V20"/>
      <c r="W20"/>
      <c r="X20"/>
      <c r="Y20"/>
      <c r="Z20"/>
      <c r="AA20"/>
      <c r="AB20"/>
    </row>
    <row r="21" spans="1:28" s="749" customFormat="1" ht="24.95" customHeight="1" x14ac:dyDescent="0.35">
      <c r="A21" s="968">
        <v>44609</v>
      </c>
      <c r="B21" s="930" t="s">
        <v>649</v>
      </c>
      <c r="C21" s="925"/>
      <c r="D21" s="964" t="s">
        <v>90</v>
      </c>
      <c r="E21" s="964">
        <v>734</v>
      </c>
      <c r="F21" s="964"/>
      <c r="G21" s="964"/>
      <c r="H21" s="964" t="s">
        <v>118</v>
      </c>
      <c r="I21" s="965">
        <v>7186.99</v>
      </c>
      <c r="J21"/>
      <c r="K21"/>
      <c r="L21"/>
      <c r="M21"/>
      <c r="N21"/>
      <c r="O21"/>
      <c r="P21"/>
      <c r="Q21"/>
      <c r="R21"/>
      <c r="S21"/>
      <c r="T21"/>
      <c r="U21"/>
      <c r="V21"/>
      <c r="W21"/>
      <c r="X21"/>
      <c r="Y21"/>
      <c r="Z21"/>
      <c r="AA21"/>
      <c r="AB21"/>
    </row>
    <row r="22" spans="1:28" s="749" customFormat="1" ht="24.95" customHeight="1" x14ac:dyDescent="0.35">
      <c r="A22" s="968">
        <v>44714</v>
      </c>
      <c r="B22" s="930" t="s">
        <v>649</v>
      </c>
      <c r="C22" s="925"/>
      <c r="D22" s="964" t="s">
        <v>90</v>
      </c>
      <c r="E22" s="964"/>
      <c r="F22" s="964"/>
      <c r="G22" s="964">
        <v>2062</v>
      </c>
      <c r="H22" s="964" t="s">
        <v>118</v>
      </c>
      <c r="I22" s="965">
        <v>77456</v>
      </c>
      <c r="J22"/>
      <c r="K22"/>
      <c r="L22"/>
      <c r="M22"/>
      <c r="N22"/>
      <c r="O22"/>
      <c r="P22"/>
      <c r="Q22"/>
      <c r="R22"/>
      <c r="S22"/>
      <c r="T22"/>
      <c r="U22"/>
      <c r="V22"/>
      <c r="W22"/>
      <c r="X22"/>
      <c r="Y22"/>
      <c r="Z22"/>
      <c r="AA22"/>
      <c r="AB22"/>
    </row>
    <row r="23" spans="1:28" s="749" customFormat="1" ht="24.95" customHeight="1" x14ac:dyDescent="0.35">
      <c r="A23" s="968">
        <v>44734</v>
      </c>
      <c r="B23" s="930" t="s">
        <v>649</v>
      </c>
      <c r="C23" s="925"/>
      <c r="D23" s="964" t="s">
        <v>90</v>
      </c>
      <c r="E23" s="964">
        <v>743</v>
      </c>
      <c r="F23" s="964"/>
      <c r="G23" s="964"/>
      <c r="H23" s="964" t="s">
        <v>118</v>
      </c>
      <c r="I23" s="965">
        <v>72499.08</v>
      </c>
      <c r="J23"/>
      <c r="K23"/>
      <c r="L23"/>
      <c r="M23"/>
      <c r="N23"/>
      <c r="O23"/>
      <c r="P23"/>
      <c r="Q23"/>
      <c r="R23"/>
      <c r="S23"/>
      <c r="T23"/>
      <c r="U23"/>
      <c r="V23"/>
      <c r="W23"/>
      <c r="X23"/>
      <c r="Y23"/>
      <c r="Z23"/>
      <c r="AA23"/>
      <c r="AB23"/>
    </row>
    <row r="24" spans="1:28" s="749" customFormat="1" ht="24.95" customHeight="1" x14ac:dyDescent="0.35">
      <c r="A24" s="968">
        <v>44741</v>
      </c>
      <c r="B24" s="930" t="s">
        <v>649</v>
      </c>
      <c r="C24" s="925"/>
      <c r="D24" s="964" t="s">
        <v>90</v>
      </c>
      <c r="E24" s="964">
        <v>757</v>
      </c>
      <c r="F24" s="964"/>
      <c r="G24" s="964"/>
      <c r="H24" s="964">
        <v>5908</v>
      </c>
      <c r="I24" s="965">
        <v>510</v>
      </c>
      <c r="J24"/>
      <c r="K24"/>
      <c r="L24"/>
      <c r="M24"/>
      <c r="N24"/>
      <c r="O24"/>
      <c r="P24"/>
      <c r="Q24"/>
      <c r="R24"/>
      <c r="S24"/>
      <c r="T24"/>
      <c r="U24"/>
      <c r="V24"/>
      <c r="W24"/>
      <c r="X24"/>
      <c r="Y24"/>
      <c r="Z24"/>
      <c r="AA24"/>
      <c r="AB24"/>
    </row>
    <row r="25" spans="1:28" s="749" customFormat="1" ht="24.95" customHeight="1" x14ac:dyDescent="0.35">
      <c r="A25" s="968">
        <v>44855</v>
      </c>
      <c r="B25" s="930" t="s">
        <v>649</v>
      </c>
      <c r="C25" s="925"/>
      <c r="D25" s="964" t="s">
        <v>90</v>
      </c>
      <c r="E25" s="964">
        <v>755</v>
      </c>
      <c r="F25" s="964"/>
      <c r="G25" s="964"/>
      <c r="H25" s="964">
        <v>5739</v>
      </c>
      <c r="I25" s="965">
        <v>6650</v>
      </c>
      <c r="J25"/>
      <c r="K25"/>
      <c r="L25"/>
      <c r="M25"/>
      <c r="N25"/>
      <c r="O25"/>
      <c r="P25"/>
      <c r="Q25"/>
      <c r="R25"/>
      <c r="S25"/>
      <c r="T25"/>
      <c r="U25"/>
      <c r="V25"/>
      <c r="W25"/>
      <c r="X25"/>
      <c r="Y25"/>
      <c r="Z25"/>
      <c r="AA25"/>
      <c r="AB25"/>
    </row>
    <row r="26" spans="1:28" s="749" customFormat="1" ht="24.95" customHeight="1" x14ac:dyDescent="0.35">
      <c r="A26" s="968">
        <v>44855</v>
      </c>
      <c r="B26" s="930" t="s">
        <v>649</v>
      </c>
      <c r="C26" s="925"/>
      <c r="D26" s="964" t="s">
        <v>90</v>
      </c>
      <c r="E26" s="964">
        <v>758</v>
      </c>
      <c r="F26" s="964"/>
      <c r="G26" s="964"/>
      <c r="H26" s="964" t="s">
        <v>118</v>
      </c>
      <c r="I26" s="965">
        <v>3000</v>
      </c>
      <c r="J26"/>
      <c r="K26"/>
      <c r="L26"/>
      <c r="M26"/>
      <c r="N26"/>
      <c r="O26"/>
      <c r="P26"/>
      <c r="Q26"/>
      <c r="R26"/>
      <c r="S26"/>
      <c r="T26"/>
      <c r="U26"/>
      <c r="V26"/>
      <c r="W26"/>
      <c r="X26"/>
      <c r="Y26"/>
      <c r="Z26"/>
      <c r="AA26"/>
      <c r="AB26"/>
    </row>
    <row r="27" spans="1:28" s="749" customFormat="1" ht="24.95" customHeight="1" x14ac:dyDescent="0.35">
      <c r="A27" s="968">
        <v>44916</v>
      </c>
      <c r="B27" s="930" t="s">
        <v>649</v>
      </c>
      <c r="C27" s="925"/>
      <c r="D27" s="964" t="s">
        <v>90</v>
      </c>
      <c r="E27" s="964"/>
      <c r="F27" s="964"/>
      <c r="G27" s="964">
        <v>2176</v>
      </c>
      <c r="H27" s="964" t="s">
        <v>118</v>
      </c>
      <c r="I27" s="965">
        <v>186146</v>
      </c>
      <c r="J27"/>
      <c r="K27"/>
      <c r="L27"/>
      <c r="M27"/>
      <c r="N27"/>
      <c r="O27"/>
      <c r="P27"/>
      <c r="Q27"/>
      <c r="R27"/>
      <c r="S27"/>
      <c r="T27"/>
      <c r="U27"/>
      <c r="V27"/>
      <c r="W27"/>
      <c r="X27"/>
      <c r="Y27"/>
      <c r="Z27"/>
      <c r="AA27"/>
      <c r="AB27"/>
    </row>
    <row r="28" spans="1:28" s="749" customFormat="1" ht="24.95" customHeight="1" x14ac:dyDescent="0.35">
      <c r="A28" s="968">
        <v>45343</v>
      </c>
      <c r="B28" s="930" t="s">
        <v>649</v>
      </c>
      <c r="C28" s="925"/>
      <c r="D28" s="964" t="s">
        <v>90</v>
      </c>
      <c r="E28" s="964">
        <v>826</v>
      </c>
      <c r="F28" s="964"/>
      <c r="G28" s="964"/>
      <c r="H28" s="964" t="s">
        <v>118</v>
      </c>
      <c r="I28" s="965">
        <v>22500</v>
      </c>
      <c r="J28"/>
      <c r="K28"/>
      <c r="L28"/>
      <c r="M28"/>
      <c r="N28"/>
      <c r="O28"/>
      <c r="P28"/>
      <c r="Q28"/>
      <c r="R28"/>
      <c r="S28"/>
      <c r="T28"/>
      <c r="U28"/>
      <c r="V28"/>
      <c r="W28"/>
      <c r="X28"/>
      <c r="Y28"/>
      <c r="Z28"/>
      <c r="AA28"/>
      <c r="AB28"/>
    </row>
    <row r="29" spans="1:28" s="782" customFormat="1" ht="27.75" customHeight="1" x14ac:dyDescent="0.35">
      <c r="A29" s="968">
        <v>44614</v>
      </c>
      <c r="B29" s="930" t="s">
        <v>650</v>
      </c>
      <c r="C29" s="925"/>
      <c r="D29" s="925" t="s">
        <v>92</v>
      </c>
      <c r="E29" s="925"/>
      <c r="F29" s="964"/>
      <c r="G29" s="964"/>
      <c r="H29" s="964" t="s">
        <v>376</v>
      </c>
      <c r="I29" s="965">
        <v>526625</v>
      </c>
      <c r="J29"/>
      <c r="K29"/>
      <c r="L29"/>
      <c r="M29"/>
      <c r="N29"/>
      <c r="O29"/>
      <c r="P29"/>
      <c r="Q29"/>
      <c r="R29"/>
      <c r="S29"/>
      <c r="T29"/>
      <c r="U29"/>
      <c r="V29"/>
      <c r="W29"/>
      <c r="X29"/>
      <c r="Y29"/>
      <c r="Z29"/>
      <c r="AA29"/>
      <c r="AB29"/>
    </row>
    <row r="30" spans="1:28" s="782" customFormat="1" ht="24.95" customHeight="1" x14ac:dyDescent="0.35">
      <c r="A30" s="968">
        <v>44631</v>
      </c>
      <c r="B30" s="930" t="s">
        <v>650</v>
      </c>
      <c r="C30" s="925"/>
      <c r="D30" s="925" t="s">
        <v>92</v>
      </c>
      <c r="E30" s="925"/>
      <c r="F30" s="964"/>
      <c r="G30" s="964"/>
      <c r="H30" s="964">
        <v>4943</v>
      </c>
      <c r="I30" s="965">
        <v>5975</v>
      </c>
      <c r="J30"/>
      <c r="K30"/>
      <c r="L30"/>
      <c r="M30"/>
      <c r="N30"/>
      <c r="O30"/>
      <c r="P30"/>
      <c r="Q30"/>
      <c r="R30"/>
      <c r="S30"/>
      <c r="T30"/>
      <c r="U30"/>
      <c r="V30"/>
      <c r="W30"/>
      <c r="X30"/>
      <c r="Y30"/>
      <c r="Z30"/>
      <c r="AA30"/>
      <c r="AB30"/>
    </row>
    <row r="31" spans="1:28" s="800" customFormat="1" ht="24.95" customHeight="1" x14ac:dyDescent="0.35">
      <c r="A31" s="968">
        <v>44638</v>
      </c>
      <c r="B31" s="930" t="s">
        <v>650</v>
      </c>
      <c r="C31" s="925"/>
      <c r="D31" s="925" t="s">
        <v>92</v>
      </c>
      <c r="E31" s="925"/>
      <c r="F31" s="964"/>
      <c r="G31" s="964"/>
      <c r="H31" s="964">
        <v>4953</v>
      </c>
      <c r="I31" s="965">
        <v>4950</v>
      </c>
      <c r="J31"/>
      <c r="K31"/>
      <c r="L31"/>
      <c r="M31"/>
      <c r="N31"/>
      <c r="O31"/>
      <c r="P31"/>
      <c r="Q31"/>
      <c r="R31"/>
      <c r="S31"/>
      <c r="T31"/>
      <c r="U31"/>
      <c r="V31"/>
      <c r="W31"/>
      <c r="X31"/>
      <c r="Y31"/>
      <c r="Z31"/>
      <c r="AA31"/>
      <c r="AB31"/>
    </row>
    <row r="32" spans="1:28" s="800" customFormat="1" ht="24.95" customHeight="1" x14ac:dyDescent="0.35">
      <c r="A32" s="968">
        <v>44711</v>
      </c>
      <c r="B32" s="930" t="s">
        <v>153</v>
      </c>
      <c r="C32" s="925"/>
      <c r="D32" s="925" t="s">
        <v>92</v>
      </c>
      <c r="E32" s="925"/>
      <c r="F32" s="964"/>
      <c r="G32" s="964"/>
      <c r="H32" s="964" t="s">
        <v>181</v>
      </c>
      <c r="I32" s="965">
        <v>164667</v>
      </c>
      <c r="J32"/>
      <c r="K32"/>
      <c r="L32"/>
      <c r="M32"/>
      <c r="N32"/>
      <c r="O32"/>
      <c r="P32"/>
      <c r="Q32"/>
      <c r="R32"/>
      <c r="S32"/>
      <c r="T32"/>
      <c r="U32"/>
      <c r="V32"/>
      <c r="W32"/>
      <c r="X32"/>
      <c r="Y32"/>
      <c r="Z32"/>
      <c r="AA32"/>
      <c r="AB32"/>
    </row>
    <row r="33" spans="1:28" s="800" customFormat="1" ht="24.95" customHeight="1" x14ac:dyDescent="0.35">
      <c r="A33" s="968">
        <v>44768</v>
      </c>
      <c r="B33" s="930" t="s">
        <v>651</v>
      </c>
      <c r="C33" s="925"/>
      <c r="D33" s="925" t="s">
        <v>90</v>
      </c>
      <c r="E33" s="925"/>
      <c r="F33" s="964"/>
      <c r="G33" s="964"/>
      <c r="H33" s="964" t="s">
        <v>151</v>
      </c>
      <c r="I33" s="965">
        <v>847950.4</v>
      </c>
      <c r="J33"/>
      <c r="K33"/>
      <c r="L33"/>
      <c r="M33"/>
      <c r="N33"/>
      <c r="O33"/>
      <c r="P33"/>
      <c r="Q33"/>
      <c r="R33"/>
      <c r="S33"/>
      <c r="T33"/>
      <c r="U33"/>
      <c r="V33"/>
      <c r="W33"/>
      <c r="X33"/>
      <c r="Y33"/>
      <c r="Z33"/>
      <c r="AA33"/>
      <c r="AB33"/>
    </row>
    <row r="34" spans="1:28" s="800" customFormat="1" ht="24.95" customHeight="1" x14ac:dyDescent="0.35">
      <c r="A34" s="968">
        <v>45946</v>
      </c>
      <c r="B34" s="930" t="s">
        <v>651</v>
      </c>
      <c r="C34" s="925"/>
      <c r="D34" s="925" t="s">
        <v>90</v>
      </c>
      <c r="E34" s="925"/>
      <c r="F34" s="964"/>
      <c r="G34" s="964"/>
      <c r="H34" s="964" t="s">
        <v>641</v>
      </c>
      <c r="I34" s="965" t="s">
        <v>419</v>
      </c>
      <c r="J34"/>
      <c r="K34"/>
      <c r="L34"/>
      <c r="M34"/>
      <c r="N34"/>
      <c r="O34"/>
      <c r="P34"/>
      <c r="Q34"/>
      <c r="R34"/>
      <c r="S34"/>
      <c r="T34"/>
      <c r="U34"/>
      <c r="V34"/>
      <c r="W34"/>
      <c r="X34"/>
      <c r="Y34"/>
      <c r="Z34"/>
      <c r="AA34"/>
      <c r="AB34"/>
    </row>
    <row r="35" spans="1:28" s="800" customFormat="1" ht="24.95" customHeight="1" x14ac:dyDescent="0.35">
      <c r="A35" s="968">
        <v>44786</v>
      </c>
      <c r="B35" s="930" t="s">
        <v>652</v>
      </c>
      <c r="C35" s="925"/>
      <c r="D35" s="925" t="s">
        <v>94</v>
      </c>
      <c r="E35" s="925"/>
      <c r="F35" s="964"/>
      <c r="G35" s="964">
        <v>2136</v>
      </c>
      <c r="H35" s="964" t="s">
        <v>170</v>
      </c>
      <c r="I35" s="965">
        <v>193400</v>
      </c>
      <c r="J35"/>
      <c r="K35"/>
      <c r="L35"/>
      <c r="M35"/>
      <c r="N35"/>
      <c r="O35"/>
      <c r="P35"/>
      <c r="Q35"/>
      <c r="R35"/>
      <c r="S35"/>
      <c r="T35"/>
      <c r="U35"/>
      <c r="V35"/>
      <c r="W35"/>
      <c r="X35"/>
      <c r="Y35"/>
      <c r="Z35"/>
      <c r="AA35"/>
      <c r="AB35"/>
    </row>
    <row r="36" spans="1:28" s="800" customFormat="1" ht="24.95" customHeight="1" x14ac:dyDescent="0.35">
      <c r="A36" s="968">
        <v>44954</v>
      </c>
      <c r="B36" s="930" t="s">
        <v>480</v>
      </c>
      <c r="C36" s="925"/>
      <c r="D36" s="925" t="s">
        <v>92</v>
      </c>
      <c r="E36" s="925">
        <v>832</v>
      </c>
      <c r="F36" s="964"/>
      <c r="G36" s="964"/>
      <c r="H36" s="964">
        <v>5373</v>
      </c>
      <c r="I36" s="965">
        <v>666000</v>
      </c>
      <c r="J36"/>
      <c r="K36"/>
      <c r="L36"/>
      <c r="M36"/>
      <c r="N36"/>
      <c r="O36"/>
      <c r="P36"/>
      <c r="Q36"/>
      <c r="R36"/>
      <c r="S36"/>
      <c r="T36"/>
      <c r="U36"/>
      <c r="V36"/>
      <c r="W36"/>
      <c r="X36"/>
      <c r="Y36"/>
      <c r="Z36"/>
      <c r="AA36"/>
      <c r="AB36"/>
    </row>
    <row r="37" spans="1:28" s="800" customFormat="1" ht="24.95" customHeight="1" x14ac:dyDescent="0.35">
      <c r="A37" s="968">
        <v>44954</v>
      </c>
      <c r="B37" s="930" t="s">
        <v>480</v>
      </c>
      <c r="C37" s="925"/>
      <c r="D37" s="925" t="s">
        <v>92</v>
      </c>
      <c r="E37" s="925">
        <v>833</v>
      </c>
      <c r="F37" s="964"/>
      <c r="G37" s="964"/>
      <c r="H37" s="964">
        <v>5374</v>
      </c>
      <c r="I37" s="965">
        <v>657658.5</v>
      </c>
      <c r="J37"/>
      <c r="K37"/>
      <c r="L37"/>
      <c r="M37"/>
      <c r="N37"/>
      <c r="O37"/>
      <c r="P37"/>
      <c r="Q37"/>
      <c r="R37"/>
      <c r="S37"/>
      <c r="T37"/>
      <c r="U37"/>
      <c r="V37"/>
      <c r="W37"/>
      <c r="X37"/>
      <c r="Y37"/>
      <c r="Z37"/>
      <c r="AA37"/>
      <c r="AB37"/>
    </row>
    <row r="38" spans="1:28" s="800" customFormat="1" ht="24.95" customHeight="1" x14ac:dyDescent="0.35">
      <c r="A38" s="968">
        <v>45017</v>
      </c>
      <c r="B38" s="930" t="s">
        <v>480</v>
      </c>
      <c r="C38" s="925"/>
      <c r="D38" s="925" t="s">
        <v>92</v>
      </c>
      <c r="E38" s="925"/>
      <c r="F38" s="964"/>
      <c r="G38" s="964"/>
      <c r="H38" s="964">
        <v>5460</v>
      </c>
      <c r="I38" s="965">
        <v>413995.98</v>
      </c>
      <c r="J38"/>
      <c r="K38"/>
      <c r="L38"/>
      <c r="M38"/>
      <c r="N38"/>
      <c r="O38"/>
      <c r="P38"/>
      <c r="Q38"/>
      <c r="R38"/>
      <c r="S38"/>
      <c r="T38"/>
      <c r="U38"/>
      <c r="V38"/>
      <c r="W38"/>
      <c r="X38"/>
      <c r="Y38"/>
      <c r="Z38"/>
      <c r="AA38"/>
      <c r="AB38"/>
    </row>
    <row r="39" spans="1:28" s="800" customFormat="1" ht="24.95" customHeight="1" x14ac:dyDescent="0.35">
      <c r="A39" s="968">
        <v>45181</v>
      </c>
      <c r="B39" s="930" t="s">
        <v>480</v>
      </c>
      <c r="C39" s="925"/>
      <c r="D39" s="925" t="s">
        <v>92</v>
      </c>
      <c r="E39" s="925"/>
      <c r="F39" s="964" t="s">
        <v>654</v>
      </c>
      <c r="G39" s="964"/>
      <c r="H39" s="964">
        <v>5606</v>
      </c>
      <c r="I39" s="965">
        <v>676930.8</v>
      </c>
      <c r="J39"/>
      <c r="K39"/>
      <c r="L39"/>
      <c r="M39"/>
      <c r="N39"/>
      <c r="O39"/>
      <c r="P39"/>
      <c r="Q39"/>
      <c r="R39"/>
      <c r="S39"/>
      <c r="T39"/>
      <c r="U39"/>
      <c r="V39"/>
      <c r="W39"/>
      <c r="X39"/>
      <c r="Y39"/>
      <c r="Z39"/>
      <c r="AA39"/>
      <c r="AB39"/>
    </row>
    <row r="40" spans="1:28" s="800" customFormat="1" ht="24.95" customHeight="1" x14ac:dyDescent="0.35">
      <c r="A40" s="968">
        <v>45313</v>
      </c>
      <c r="B40" s="930" t="s">
        <v>480</v>
      </c>
      <c r="C40" s="925"/>
      <c r="D40" s="925" t="s">
        <v>90</v>
      </c>
      <c r="E40" s="925">
        <v>825</v>
      </c>
      <c r="F40" s="964"/>
      <c r="G40" s="964"/>
      <c r="H40" s="964">
        <v>5714</v>
      </c>
      <c r="I40" s="965">
        <v>150000</v>
      </c>
      <c r="J40"/>
      <c r="K40"/>
      <c r="L40"/>
      <c r="M40"/>
      <c r="N40"/>
      <c r="O40"/>
      <c r="P40"/>
      <c r="Q40"/>
      <c r="R40"/>
      <c r="S40"/>
      <c r="T40"/>
      <c r="U40"/>
      <c r="V40"/>
      <c r="W40"/>
      <c r="X40"/>
      <c r="Y40"/>
      <c r="Z40"/>
      <c r="AA40"/>
      <c r="AB40"/>
    </row>
    <row r="41" spans="1:28" s="800" customFormat="1" ht="24.95" customHeight="1" x14ac:dyDescent="0.35">
      <c r="A41" s="968">
        <v>45386</v>
      </c>
      <c r="B41" s="930" t="s">
        <v>480</v>
      </c>
      <c r="C41" s="925"/>
      <c r="D41" s="925" t="s">
        <v>90</v>
      </c>
      <c r="E41" s="925"/>
      <c r="F41" s="964"/>
      <c r="G41" s="964"/>
      <c r="H41" s="964">
        <v>5776</v>
      </c>
      <c r="I41" s="965">
        <v>455997.92</v>
      </c>
      <c r="J41"/>
      <c r="K41"/>
      <c r="L41"/>
      <c r="M41"/>
      <c r="N41"/>
      <c r="O41"/>
      <c r="P41"/>
      <c r="Q41"/>
      <c r="R41"/>
      <c r="S41"/>
      <c r="T41"/>
      <c r="U41"/>
      <c r="V41"/>
      <c r="W41"/>
      <c r="X41"/>
      <c r="Y41"/>
      <c r="Z41"/>
      <c r="AA41"/>
      <c r="AB41"/>
    </row>
    <row r="42" spans="1:28" s="800" customFormat="1" ht="24.95" customHeight="1" x14ac:dyDescent="0.35">
      <c r="A42" s="968">
        <v>45601</v>
      </c>
      <c r="B42" s="930" t="s">
        <v>480</v>
      </c>
      <c r="C42" s="925"/>
      <c r="D42" s="925" t="s">
        <v>90</v>
      </c>
      <c r="E42" s="925"/>
      <c r="F42" s="964"/>
      <c r="G42" s="964"/>
      <c r="H42" s="964">
        <v>5920</v>
      </c>
      <c r="I42" s="965">
        <v>310000</v>
      </c>
      <c r="J42"/>
      <c r="K42"/>
      <c r="L42"/>
      <c r="M42"/>
      <c r="N42"/>
      <c r="O42"/>
      <c r="P42"/>
      <c r="Q42"/>
      <c r="R42"/>
      <c r="S42"/>
      <c r="T42"/>
      <c r="U42"/>
      <c r="V42"/>
      <c r="W42"/>
      <c r="X42"/>
      <c r="Y42"/>
      <c r="Z42"/>
      <c r="AA42"/>
      <c r="AB42"/>
    </row>
    <row r="43" spans="1:28" s="800" customFormat="1" ht="24.95" customHeight="1" x14ac:dyDescent="0.35">
      <c r="A43" s="968">
        <v>45680</v>
      </c>
      <c r="B43" s="930" t="s">
        <v>480</v>
      </c>
      <c r="C43" s="925"/>
      <c r="D43" s="925" t="s">
        <v>90</v>
      </c>
      <c r="E43" s="925"/>
      <c r="F43" s="964"/>
      <c r="G43" s="964">
        <v>2343</v>
      </c>
      <c r="H43" s="964">
        <v>5979</v>
      </c>
      <c r="I43" s="965">
        <v>45000</v>
      </c>
      <c r="J43"/>
      <c r="K43"/>
      <c r="L43"/>
      <c r="M43"/>
      <c r="N43"/>
      <c r="O43"/>
      <c r="P43"/>
      <c r="Q43"/>
      <c r="R43"/>
      <c r="S43"/>
      <c r="T43"/>
      <c r="U43"/>
      <c r="V43"/>
      <c r="W43"/>
      <c r="X43"/>
      <c r="Y43"/>
      <c r="Z43"/>
      <c r="AA43"/>
      <c r="AB43"/>
    </row>
    <row r="44" spans="1:28" s="800" customFormat="1" ht="24.95" customHeight="1" x14ac:dyDescent="0.35">
      <c r="A44" s="968">
        <v>45731</v>
      </c>
      <c r="B44" s="930" t="s">
        <v>480</v>
      </c>
      <c r="C44" s="925"/>
      <c r="D44" s="925" t="s">
        <v>90</v>
      </c>
      <c r="E44" s="925"/>
      <c r="F44" s="964"/>
      <c r="G44" s="964"/>
      <c r="H44" s="964" t="s">
        <v>481</v>
      </c>
      <c r="I44" s="965" t="s">
        <v>419</v>
      </c>
      <c r="J44"/>
      <c r="K44"/>
      <c r="L44"/>
      <c r="M44"/>
      <c r="N44"/>
      <c r="O44"/>
      <c r="P44"/>
      <c r="Q44"/>
      <c r="R44"/>
      <c r="S44"/>
      <c r="T44"/>
      <c r="U44"/>
      <c r="V44"/>
      <c r="W44"/>
      <c r="X44"/>
      <c r="Y44"/>
      <c r="Z44"/>
      <c r="AA44"/>
      <c r="AB44"/>
    </row>
    <row r="45" spans="1:28" s="800" customFormat="1" ht="24.95" customHeight="1" x14ac:dyDescent="0.35">
      <c r="A45" s="968">
        <v>44977</v>
      </c>
      <c r="B45" s="930" t="s">
        <v>110</v>
      </c>
      <c r="C45" s="925"/>
      <c r="D45" s="925" t="s">
        <v>92</v>
      </c>
      <c r="E45" s="925"/>
      <c r="F45" s="964"/>
      <c r="G45" s="964"/>
      <c r="H45" s="964">
        <v>5407</v>
      </c>
      <c r="I45" s="965">
        <v>54500</v>
      </c>
      <c r="J45" t="s">
        <v>478</v>
      </c>
      <c r="K45"/>
      <c r="L45"/>
      <c r="M45"/>
      <c r="N45"/>
      <c r="O45"/>
      <c r="P45"/>
      <c r="Q45"/>
      <c r="R45"/>
      <c r="S45"/>
      <c r="T45"/>
      <c r="U45"/>
      <c r="V45"/>
      <c r="W45"/>
      <c r="X45"/>
      <c r="Y45"/>
      <c r="Z45"/>
      <c r="AA45"/>
      <c r="AB45"/>
    </row>
    <row r="46" spans="1:28" s="800" customFormat="1" ht="24.95" customHeight="1" x14ac:dyDescent="0.35">
      <c r="A46" s="968">
        <v>2023</v>
      </c>
      <c r="B46" s="930" t="s">
        <v>191</v>
      </c>
      <c r="C46" s="925"/>
      <c r="D46" s="925" t="s">
        <v>92</v>
      </c>
      <c r="E46" s="925"/>
      <c r="F46" s="964"/>
      <c r="G46" s="964"/>
      <c r="H46" s="964" t="s">
        <v>118</v>
      </c>
      <c r="I46" s="965">
        <v>67000</v>
      </c>
      <c r="J46"/>
      <c r="K46"/>
      <c r="L46"/>
      <c r="M46"/>
      <c r="N46"/>
      <c r="O46"/>
      <c r="P46"/>
      <c r="Q46"/>
      <c r="R46"/>
      <c r="S46"/>
      <c r="T46"/>
      <c r="U46"/>
      <c r="V46"/>
      <c r="W46"/>
      <c r="X46"/>
      <c r="Y46"/>
      <c r="Z46"/>
      <c r="AA46"/>
      <c r="AB46"/>
    </row>
    <row r="47" spans="1:28" s="782" customFormat="1" ht="24.95" customHeight="1" x14ac:dyDescent="0.35">
      <c r="A47" s="968">
        <v>45147</v>
      </c>
      <c r="B47" s="930" t="s">
        <v>653</v>
      </c>
      <c r="C47" s="925"/>
      <c r="D47" s="925" t="s">
        <v>92</v>
      </c>
      <c r="E47" s="925"/>
      <c r="F47" s="964"/>
      <c r="G47" s="964"/>
      <c r="H47" s="964">
        <v>5568</v>
      </c>
      <c r="I47" s="965">
        <v>10000</v>
      </c>
      <c r="J47"/>
      <c r="K47"/>
      <c r="L47"/>
      <c r="M47"/>
      <c r="N47"/>
      <c r="O47"/>
      <c r="P47"/>
      <c r="Q47"/>
      <c r="R47"/>
      <c r="S47"/>
      <c r="T47"/>
      <c r="U47"/>
      <c r="V47"/>
      <c r="W47"/>
      <c r="X47"/>
      <c r="Y47"/>
      <c r="Z47"/>
      <c r="AA47"/>
      <c r="AB47"/>
    </row>
    <row r="48" spans="1:28" s="782" customFormat="1" ht="24.95" customHeight="1" x14ac:dyDescent="0.35">
      <c r="A48" s="968">
        <v>45195</v>
      </c>
      <c r="B48" s="930" t="s">
        <v>271</v>
      </c>
      <c r="C48" s="925"/>
      <c r="D48" s="925" t="s">
        <v>92</v>
      </c>
      <c r="E48" s="925"/>
      <c r="F48" s="964"/>
      <c r="G48" s="964"/>
      <c r="H48" s="964" t="s">
        <v>272</v>
      </c>
      <c r="I48" s="965">
        <v>2339.29</v>
      </c>
      <c r="J48"/>
      <c r="K48"/>
      <c r="L48"/>
      <c r="M48"/>
      <c r="N48"/>
      <c r="O48"/>
      <c r="P48"/>
      <c r="Q48"/>
      <c r="R48"/>
      <c r="S48"/>
      <c r="T48"/>
      <c r="U48"/>
      <c r="V48"/>
      <c r="W48"/>
      <c r="X48"/>
      <c r="Y48"/>
      <c r="Z48"/>
      <c r="AA48"/>
      <c r="AB48"/>
    </row>
    <row r="49" spans="1:28" s="782" customFormat="1" ht="24.95" customHeight="1" x14ac:dyDescent="0.35">
      <c r="A49" s="968">
        <v>45859</v>
      </c>
      <c r="B49" s="930" t="s">
        <v>271</v>
      </c>
      <c r="C49" s="925"/>
      <c r="D49" s="925" t="s">
        <v>282</v>
      </c>
      <c r="E49" s="925"/>
      <c r="F49" s="964"/>
      <c r="G49" s="964"/>
      <c r="H49" s="964" t="s">
        <v>572</v>
      </c>
      <c r="I49" s="965">
        <v>9850</v>
      </c>
      <c r="J49"/>
      <c r="K49"/>
      <c r="L49"/>
      <c r="M49"/>
      <c r="N49"/>
      <c r="O49"/>
      <c r="P49"/>
      <c r="Q49"/>
      <c r="R49"/>
      <c r="S49"/>
      <c r="T49"/>
      <c r="U49"/>
      <c r="V49"/>
      <c r="W49"/>
      <c r="X49"/>
      <c r="Y49"/>
      <c r="Z49"/>
      <c r="AA49"/>
      <c r="AB49"/>
    </row>
    <row r="50" spans="1:28" s="782" customFormat="1" ht="24.95" customHeight="1" x14ac:dyDescent="0.35">
      <c r="A50" s="968">
        <v>45300</v>
      </c>
      <c r="B50" s="930" t="s">
        <v>417</v>
      </c>
      <c r="C50" s="925"/>
      <c r="D50" s="925" t="s">
        <v>90</v>
      </c>
      <c r="E50" s="925"/>
      <c r="F50" s="964"/>
      <c r="G50" s="964"/>
      <c r="H50" s="964" t="s">
        <v>327</v>
      </c>
      <c r="I50" s="965">
        <v>16550</v>
      </c>
      <c r="J50"/>
      <c r="K50"/>
      <c r="L50"/>
      <c r="M50"/>
      <c r="N50"/>
      <c r="O50"/>
      <c r="P50"/>
      <c r="Q50"/>
      <c r="R50"/>
      <c r="S50"/>
      <c r="T50"/>
      <c r="U50"/>
      <c r="V50"/>
      <c r="W50"/>
      <c r="X50"/>
      <c r="Y50"/>
      <c r="Z50"/>
      <c r="AA50"/>
      <c r="AB50"/>
    </row>
    <row r="51" spans="1:28" s="782" customFormat="1" ht="24.95" customHeight="1" x14ac:dyDescent="0.35">
      <c r="A51" s="968">
        <v>45582</v>
      </c>
      <c r="B51" s="930" t="s">
        <v>417</v>
      </c>
      <c r="C51" s="925"/>
      <c r="D51" s="925" t="s">
        <v>90</v>
      </c>
      <c r="E51" s="925"/>
      <c r="F51" s="964"/>
      <c r="G51" s="964"/>
      <c r="H51" s="964" t="s">
        <v>656</v>
      </c>
      <c r="I51" s="965">
        <v>73520</v>
      </c>
      <c r="J51"/>
      <c r="K51"/>
      <c r="L51"/>
      <c r="M51"/>
      <c r="N51"/>
      <c r="O51"/>
      <c r="P51"/>
      <c r="Q51"/>
      <c r="R51"/>
      <c r="S51"/>
      <c r="T51"/>
      <c r="U51"/>
      <c r="V51"/>
      <c r="W51"/>
      <c r="X51"/>
      <c r="Y51"/>
      <c r="Z51"/>
      <c r="AA51"/>
      <c r="AB51"/>
    </row>
    <row r="52" spans="1:28" s="782" customFormat="1" ht="24.95" customHeight="1" x14ac:dyDescent="0.35">
      <c r="A52" s="968" t="s">
        <v>421</v>
      </c>
      <c r="B52" s="930" t="s">
        <v>417</v>
      </c>
      <c r="C52" s="925"/>
      <c r="D52" s="925" t="s">
        <v>90</v>
      </c>
      <c r="E52" s="925"/>
      <c r="F52" s="964"/>
      <c r="G52" s="964"/>
      <c r="H52" s="964" t="s">
        <v>456</v>
      </c>
      <c r="I52" s="965" t="s">
        <v>419</v>
      </c>
      <c r="J52"/>
      <c r="K52"/>
      <c r="L52"/>
      <c r="M52"/>
      <c r="N52"/>
      <c r="O52"/>
      <c r="P52"/>
      <c r="Q52"/>
      <c r="R52"/>
      <c r="S52"/>
      <c r="T52"/>
      <c r="U52"/>
      <c r="V52"/>
      <c r="W52"/>
      <c r="X52"/>
      <c r="Y52"/>
      <c r="Z52"/>
      <c r="AA52"/>
      <c r="AB52"/>
    </row>
    <row r="53" spans="1:28" s="782" customFormat="1" ht="24.95" customHeight="1" x14ac:dyDescent="0.35">
      <c r="A53" s="968">
        <v>45897</v>
      </c>
      <c r="B53" s="930" t="s">
        <v>417</v>
      </c>
      <c r="C53" s="925"/>
      <c r="D53" s="925" t="s">
        <v>90</v>
      </c>
      <c r="E53" s="925"/>
      <c r="F53" s="964"/>
      <c r="G53" s="964"/>
      <c r="H53" s="964" t="s">
        <v>609</v>
      </c>
      <c r="I53" s="965" t="s">
        <v>419</v>
      </c>
      <c r="J53"/>
      <c r="K53"/>
      <c r="L53"/>
      <c r="M53"/>
      <c r="N53"/>
      <c r="O53"/>
      <c r="P53"/>
      <c r="Q53"/>
      <c r="R53"/>
      <c r="S53"/>
      <c r="T53"/>
      <c r="U53"/>
      <c r="V53"/>
      <c r="W53"/>
      <c r="X53"/>
      <c r="Y53"/>
      <c r="Z53"/>
      <c r="AA53"/>
      <c r="AB53"/>
    </row>
    <row r="54" spans="1:28" s="782" customFormat="1" ht="24.95" customHeight="1" x14ac:dyDescent="0.35">
      <c r="A54" s="968">
        <v>45985</v>
      </c>
      <c r="B54" s="930" t="s">
        <v>417</v>
      </c>
      <c r="C54" s="925"/>
      <c r="D54" s="925" t="s">
        <v>90</v>
      </c>
      <c r="E54" s="925"/>
      <c r="F54" s="964"/>
      <c r="G54" s="964"/>
      <c r="H54" s="964" t="s">
        <v>688</v>
      </c>
      <c r="I54" s="965" t="s">
        <v>419</v>
      </c>
      <c r="J54"/>
      <c r="K54"/>
      <c r="L54"/>
      <c r="M54"/>
      <c r="N54"/>
      <c r="O54"/>
      <c r="P54"/>
      <c r="Q54"/>
      <c r="R54"/>
      <c r="S54"/>
      <c r="T54"/>
      <c r="U54"/>
      <c r="V54"/>
      <c r="W54"/>
      <c r="X54"/>
      <c r="Y54"/>
      <c r="Z54"/>
      <c r="AA54"/>
      <c r="AB54"/>
    </row>
    <row r="55" spans="1:28" s="782" customFormat="1" ht="24.95" customHeight="1" x14ac:dyDescent="0.35">
      <c r="A55" s="968">
        <v>45313</v>
      </c>
      <c r="B55" s="930" t="s">
        <v>230</v>
      </c>
      <c r="C55" s="925"/>
      <c r="D55" s="925" t="s">
        <v>92</v>
      </c>
      <c r="E55" s="925"/>
      <c r="F55" s="964"/>
      <c r="G55" s="964"/>
      <c r="H55" s="964">
        <v>5715</v>
      </c>
      <c r="I55" s="965">
        <v>78</v>
      </c>
      <c r="J55"/>
      <c r="K55"/>
      <c r="L55"/>
      <c r="M55"/>
      <c r="N55"/>
      <c r="O55"/>
      <c r="P55"/>
      <c r="Q55"/>
      <c r="R55"/>
      <c r="S55"/>
      <c r="T55"/>
      <c r="U55"/>
      <c r="V55"/>
      <c r="W55"/>
      <c r="X55"/>
      <c r="Y55"/>
      <c r="Z55"/>
      <c r="AA55"/>
      <c r="AB55"/>
    </row>
    <row r="56" spans="1:28" s="782" customFormat="1" ht="24.95" customHeight="1" x14ac:dyDescent="0.35">
      <c r="A56" s="968">
        <v>45371</v>
      </c>
      <c r="B56" s="930" t="s">
        <v>655</v>
      </c>
      <c r="C56" s="925"/>
      <c r="D56" s="925" t="s">
        <v>221</v>
      </c>
      <c r="E56" s="925"/>
      <c r="F56" s="964"/>
      <c r="G56" s="964"/>
      <c r="H56" s="964">
        <v>5769</v>
      </c>
      <c r="I56" s="965">
        <v>250</v>
      </c>
      <c r="J56"/>
      <c r="K56"/>
      <c r="L56"/>
      <c r="M56"/>
      <c r="N56"/>
      <c r="O56"/>
      <c r="P56"/>
      <c r="Q56"/>
      <c r="R56"/>
      <c r="S56"/>
      <c r="T56"/>
      <c r="U56"/>
      <c r="V56"/>
      <c r="W56"/>
      <c r="X56"/>
      <c r="Y56"/>
      <c r="Z56"/>
      <c r="AA56"/>
      <c r="AB56"/>
    </row>
    <row r="57" spans="1:28" s="782" customFormat="1" ht="24.95" customHeight="1" x14ac:dyDescent="0.35">
      <c r="A57" s="968">
        <v>45512</v>
      </c>
      <c r="B57" s="930" t="s">
        <v>545</v>
      </c>
      <c r="C57" s="925"/>
      <c r="D57" s="925" t="s">
        <v>90</v>
      </c>
      <c r="E57" s="925"/>
      <c r="F57" s="964"/>
      <c r="G57" s="964"/>
      <c r="H57" s="964">
        <v>5860</v>
      </c>
      <c r="I57" s="965">
        <v>194000</v>
      </c>
      <c r="J57"/>
      <c r="K57"/>
      <c r="L57"/>
      <c r="M57"/>
      <c r="N57"/>
      <c r="O57"/>
      <c r="P57"/>
      <c r="Q57"/>
      <c r="R57"/>
      <c r="S57"/>
      <c r="T57"/>
      <c r="U57"/>
      <c r="V57"/>
      <c r="W57"/>
      <c r="X57"/>
      <c r="Y57"/>
      <c r="Z57"/>
      <c r="AA57"/>
      <c r="AB57"/>
    </row>
    <row r="58" spans="1:28" s="813" customFormat="1" ht="24.95" customHeight="1" x14ac:dyDescent="0.35">
      <c r="A58" s="968">
        <v>45539</v>
      </c>
      <c r="B58" s="930" t="s">
        <v>545</v>
      </c>
      <c r="C58" s="925"/>
      <c r="D58" s="925" t="s">
        <v>90</v>
      </c>
      <c r="E58" s="925"/>
      <c r="F58" s="964"/>
      <c r="G58" s="964"/>
      <c r="H58" s="964">
        <v>5881</v>
      </c>
      <c r="I58" s="965" t="s">
        <v>419</v>
      </c>
      <c r="J58"/>
      <c r="K58"/>
      <c r="L58"/>
      <c r="M58"/>
      <c r="N58"/>
      <c r="O58"/>
      <c r="P58"/>
      <c r="Q58"/>
      <c r="R58"/>
      <c r="S58"/>
      <c r="T58"/>
      <c r="U58"/>
      <c r="V58"/>
      <c r="W58"/>
      <c r="X58"/>
      <c r="Y58"/>
      <c r="Z58"/>
      <c r="AA58"/>
      <c r="AB58"/>
    </row>
    <row r="59" spans="1:28" s="813" customFormat="1" ht="24.95" customHeight="1" x14ac:dyDescent="0.35">
      <c r="A59" s="968" t="s">
        <v>421</v>
      </c>
      <c r="B59" s="930" t="s">
        <v>545</v>
      </c>
      <c r="C59" s="925"/>
      <c r="D59" s="925" t="s">
        <v>90</v>
      </c>
      <c r="E59" s="925"/>
      <c r="F59" s="964"/>
      <c r="G59" s="964"/>
      <c r="H59" s="964">
        <v>5984</v>
      </c>
      <c r="I59" s="965">
        <v>685000</v>
      </c>
      <c r="J59"/>
      <c r="K59"/>
      <c r="L59"/>
      <c r="M59"/>
      <c r="N59"/>
      <c r="O59"/>
      <c r="P59"/>
      <c r="Q59"/>
      <c r="R59"/>
      <c r="S59"/>
      <c r="T59"/>
      <c r="U59"/>
      <c r="V59"/>
      <c r="W59"/>
      <c r="X59"/>
      <c r="Y59"/>
      <c r="Z59"/>
      <c r="AA59"/>
      <c r="AB59"/>
    </row>
    <row r="60" spans="1:28" s="813" customFormat="1" ht="24.95" customHeight="1" x14ac:dyDescent="0.35">
      <c r="A60" s="968" t="s">
        <v>421</v>
      </c>
      <c r="B60" s="930" t="s">
        <v>545</v>
      </c>
      <c r="C60" s="925"/>
      <c r="D60" s="925" t="s">
        <v>90</v>
      </c>
      <c r="E60" s="925"/>
      <c r="F60" s="964"/>
      <c r="G60" s="964"/>
      <c r="H60" s="964">
        <v>5985</v>
      </c>
      <c r="I60" s="965">
        <v>695000</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v>5992</v>
      </c>
      <c r="I61" s="965">
        <v>55000</v>
      </c>
      <c r="J61"/>
      <c r="K61"/>
      <c r="L61"/>
      <c r="M61"/>
      <c r="N61"/>
      <c r="O61"/>
      <c r="P61"/>
      <c r="Q61"/>
      <c r="R61"/>
      <c r="S61"/>
      <c r="T61"/>
      <c r="U61"/>
      <c r="V61"/>
      <c r="W61"/>
      <c r="X61"/>
      <c r="Y61"/>
      <c r="Z61"/>
      <c r="AA61"/>
      <c r="AB61"/>
    </row>
    <row r="62" spans="1:28" s="813" customFormat="1" ht="24.95" customHeight="1" x14ac:dyDescent="0.35">
      <c r="A62" s="968" t="s">
        <v>658</v>
      </c>
      <c r="B62" s="930" t="s">
        <v>545</v>
      </c>
      <c r="C62" s="925"/>
      <c r="D62" s="925" t="s">
        <v>90</v>
      </c>
      <c r="E62" s="925"/>
      <c r="F62" s="964"/>
      <c r="G62" s="964"/>
      <c r="H62" s="964" t="s">
        <v>498</v>
      </c>
      <c r="I62" s="965">
        <v>167500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c r="G63" s="964"/>
      <c r="H63" s="964" t="s">
        <v>503</v>
      </c>
      <c r="I63" s="965" t="s">
        <v>419</v>
      </c>
      <c r="J63"/>
      <c r="K63"/>
      <c r="L63"/>
      <c r="M63"/>
      <c r="N63"/>
      <c r="O63"/>
      <c r="P63"/>
      <c r="Q63"/>
      <c r="R63"/>
      <c r="S63"/>
      <c r="T63"/>
      <c r="U63"/>
      <c r="V63"/>
      <c r="W63"/>
      <c r="X63"/>
      <c r="Y63"/>
      <c r="Z63"/>
      <c r="AA63"/>
      <c r="AB63"/>
    </row>
    <row r="64" spans="1:28" s="813" customFormat="1" ht="24.95" customHeight="1" x14ac:dyDescent="0.35">
      <c r="A64" s="968" t="s">
        <v>421</v>
      </c>
      <c r="B64" s="930" t="s">
        <v>545</v>
      </c>
      <c r="C64" s="925"/>
      <c r="D64" s="925" t="s">
        <v>90</v>
      </c>
      <c r="E64" s="925"/>
      <c r="F64" s="964"/>
      <c r="G64" s="964"/>
      <c r="H64" s="964" t="s">
        <v>550</v>
      </c>
      <c r="I64" s="965">
        <v>174800</v>
      </c>
      <c r="J64"/>
      <c r="K64"/>
      <c r="L64"/>
      <c r="M64"/>
      <c r="N64"/>
      <c r="O64"/>
      <c r="P64"/>
      <c r="Q64"/>
      <c r="R64"/>
      <c r="S64"/>
      <c r="T64"/>
      <c r="U64"/>
      <c r="V64"/>
      <c r="W64"/>
      <c r="X64"/>
      <c r="Y64"/>
      <c r="Z64"/>
      <c r="AA64"/>
      <c r="AB64"/>
    </row>
    <row r="65" spans="1:28" s="813" customFormat="1" ht="24.95" customHeight="1" x14ac:dyDescent="0.35">
      <c r="A65" s="968" t="s">
        <v>421</v>
      </c>
      <c r="B65" s="930" t="s">
        <v>545</v>
      </c>
      <c r="C65" s="925"/>
      <c r="D65" s="925" t="s">
        <v>90</v>
      </c>
      <c r="E65" s="925"/>
      <c r="F65" s="964"/>
      <c r="G65" s="964"/>
      <c r="H65" s="964" t="s">
        <v>582</v>
      </c>
      <c r="I65" s="965">
        <v>948000</v>
      </c>
      <c r="J65"/>
      <c r="K65"/>
      <c r="L65"/>
      <c r="M65"/>
      <c r="N65"/>
      <c r="O65"/>
      <c r="P65"/>
      <c r="Q65"/>
      <c r="R65"/>
      <c r="S65"/>
      <c r="T65"/>
      <c r="U65"/>
      <c r="V65"/>
      <c r="W65"/>
      <c r="X65"/>
      <c r="Y65"/>
      <c r="Z65"/>
      <c r="AA65"/>
      <c r="AB65"/>
    </row>
    <row r="66" spans="1:28" s="813" customFormat="1" ht="24.95" customHeight="1" x14ac:dyDescent="0.35">
      <c r="A66" s="968" t="s">
        <v>421</v>
      </c>
      <c r="B66" s="930" t="s">
        <v>545</v>
      </c>
      <c r="C66" s="925"/>
      <c r="D66" s="925" t="s">
        <v>90</v>
      </c>
      <c r="E66" s="925"/>
      <c r="F66" s="964"/>
      <c r="G66" s="964"/>
      <c r="H66" s="964" t="s">
        <v>583</v>
      </c>
      <c r="I66" s="965">
        <v>280000</v>
      </c>
      <c r="J66"/>
      <c r="K66"/>
      <c r="L66"/>
      <c r="M66"/>
      <c r="N66"/>
      <c r="O66"/>
      <c r="P66"/>
      <c r="Q66"/>
      <c r="R66"/>
      <c r="S66"/>
      <c r="T66"/>
      <c r="U66"/>
      <c r="V66"/>
      <c r="W66"/>
      <c r="X66"/>
      <c r="Y66"/>
      <c r="Z66"/>
      <c r="AA66"/>
      <c r="AB66"/>
    </row>
    <row r="67" spans="1:28" s="813" customFormat="1" ht="24.95" customHeight="1" x14ac:dyDescent="0.35">
      <c r="A67" s="968" t="s">
        <v>421</v>
      </c>
      <c r="B67" s="930" t="s">
        <v>545</v>
      </c>
      <c r="C67" s="925"/>
      <c r="D67" s="925" t="s">
        <v>90</v>
      </c>
      <c r="E67" s="925"/>
      <c r="F67" s="964" t="s">
        <v>676</v>
      </c>
      <c r="G67" s="964"/>
      <c r="H67" s="964" t="s">
        <v>603</v>
      </c>
      <c r="I67" s="965">
        <v>685000</v>
      </c>
      <c r="J67"/>
      <c r="K67"/>
      <c r="L67"/>
      <c r="M67"/>
      <c r="N67"/>
      <c r="O67"/>
      <c r="P67"/>
      <c r="Q67"/>
      <c r="R67"/>
      <c r="S67"/>
      <c r="T67"/>
      <c r="U67"/>
      <c r="V67"/>
      <c r="W67"/>
      <c r="X67"/>
      <c r="Y67"/>
      <c r="Z67"/>
      <c r="AA67"/>
      <c r="AB67"/>
    </row>
    <row r="68" spans="1:28" s="813" customFormat="1" ht="24.95" customHeight="1" x14ac:dyDescent="0.35">
      <c r="A68" s="968">
        <v>45952</v>
      </c>
      <c r="B68" s="930" t="s">
        <v>545</v>
      </c>
      <c r="C68" s="925"/>
      <c r="D68" s="925" t="s">
        <v>90</v>
      </c>
      <c r="E68" s="925"/>
      <c r="F68" s="964"/>
      <c r="G68" s="964"/>
      <c r="H68" s="964" t="s">
        <v>645</v>
      </c>
      <c r="I68" s="965" t="s">
        <v>419</v>
      </c>
      <c r="J68"/>
      <c r="K68"/>
      <c r="L68"/>
      <c r="M68"/>
      <c r="N68"/>
      <c r="O68"/>
      <c r="P68"/>
      <c r="Q68"/>
      <c r="R68"/>
      <c r="S68"/>
      <c r="T68"/>
      <c r="U68"/>
      <c r="V68"/>
      <c r="W68"/>
      <c r="X68"/>
      <c r="Y68"/>
      <c r="Z68"/>
      <c r="AA68"/>
      <c r="AB68"/>
    </row>
    <row r="69" spans="1:28" s="813" customFormat="1" ht="24.95" customHeight="1" x14ac:dyDescent="0.35">
      <c r="A69" s="968">
        <v>45985</v>
      </c>
      <c r="B69" s="930" t="s">
        <v>545</v>
      </c>
      <c r="C69" s="925"/>
      <c r="D69" s="925" t="s">
        <v>90</v>
      </c>
      <c r="E69" s="925"/>
      <c r="F69" s="964"/>
      <c r="G69" s="964"/>
      <c r="H69" s="964" t="s">
        <v>471</v>
      </c>
      <c r="I69" s="965" t="s">
        <v>419</v>
      </c>
      <c r="J69"/>
      <c r="K69"/>
      <c r="L69"/>
      <c r="M69"/>
      <c r="N69"/>
      <c r="O69"/>
      <c r="P69"/>
      <c r="Q69"/>
      <c r="R69"/>
      <c r="S69"/>
      <c r="T69"/>
      <c r="U69"/>
      <c r="V69"/>
      <c r="W69"/>
      <c r="X69"/>
      <c r="Y69"/>
      <c r="Z69"/>
      <c r="AA69"/>
      <c r="AB69"/>
    </row>
    <row r="70" spans="1:28" s="813" customFormat="1" ht="24.95" customHeight="1" x14ac:dyDescent="0.35">
      <c r="A70" s="968">
        <v>45986</v>
      </c>
      <c r="B70" s="930" t="s">
        <v>545</v>
      </c>
      <c r="C70" s="925"/>
      <c r="D70" s="925" t="s">
        <v>90</v>
      </c>
      <c r="E70" s="925"/>
      <c r="F70" s="964"/>
      <c r="G70" s="964"/>
      <c r="H70" s="964" t="s">
        <v>689</v>
      </c>
      <c r="I70" s="965" t="s">
        <v>419</v>
      </c>
      <c r="J70"/>
      <c r="K70"/>
      <c r="L70"/>
      <c r="M70"/>
      <c r="N70"/>
      <c r="O70"/>
      <c r="P70"/>
      <c r="Q70"/>
      <c r="R70"/>
      <c r="S70"/>
      <c r="T70"/>
      <c r="U70"/>
      <c r="V70"/>
      <c r="W70"/>
      <c r="X70"/>
      <c r="Y70"/>
      <c r="Z70"/>
      <c r="AA70"/>
      <c r="AB70"/>
    </row>
    <row r="71" spans="1:28" s="813" customFormat="1" ht="24.95" customHeight="1" x14ac:dyDescent="0.35">
      <c r="A71" s="968">
        <v>46042</v>
      </c>
      <c r="B71" s="930" t="s">
        <v>545</v>
      </c>
      <c r="C71" s="925"/>
      <c r="D71" s="925" t="s">
        <v>90</v>
      </c>
      <c r="E71" s="925"/>
      <c r="F71" s="964"/>
      <c r="G71" s="964"/>
      <c r="H71" s="964" t="s">
        <v>728</v>
      </c>
      <c r="I71" s="965" t="s">
        <v>419</v>
      </c>
      <c r="J71"/>
      <c r="K71"/>
      <c r="L71"/>
      <c r="M71"/>
      <c r="N71"/>
      <c r="O71"/>
      <c r="P71"/>
      <c r="Q71"/>
      <c r="R71"/>
      <c r="S71"/>
      <c r="T71"/>
      <c r="U71"/>
      <c r="V71"/>
      <c r="W71"/>
      <c r="X71"/>
      <c r="Y71"/>
      <c r="Z71"/>
      <c r="AA71"/>
      <c r="AB71"/>
    </row>
    <row r="72" spans="1:28" s="813" customFormat="1" ht="24.95" customHeight="1" x14ac:dyDescent="0.35">
      <c r="A72" s="968">
        <v>46042</v>
      </c>
      <c r="B72" s="930" t="s">
        <v>545</v>
      </c>
      <c r="C72" s="925"/>
      <c r="D72" s="925" t="s">
        <v>90</v>
      </c>
      <c r="E72" s="925"/>
      <c r="F72" s="964"/>
      <c r="G72" s="964"/>
      <c r="H72" s="964" t="s">
        <v>729</v>
      </c>
      <c r="I72" s="965" t="s">
        <v>419</v>
      </c>
      <c r="J72"/>
      <c r="K72"/>
      <c r="L72"/>
      <c r="M72"/>
      <c r="N72"/>
      <c r="O72"/>
      <c r="P72"/>
      <c r="Q72"/>
      <c r="R72"/>
      <c r="S72"/>
      <c r="T72"/>
      <c r="U72"/>
      <c r="V72"/>
      <c r="W72"/>
      <c r="X72"/>
      <c r="Y72"/>
      <c r="Z72"/>
      <c r="AA72"/>
      <c r="AB72"/>
    </row>
    <row r="73" spans="1:28" s="813" customFormat="1" ht="24.95" customHeight="1" x14ac:dyDescent="0.35">
      <c r="A73" s="968">
        <v>45630</v>
      </c>
      <c r="B73" s="930" t="s">
        <v>466</v>
      </c>
      <c r="C73" s="925"/>
      <c r="D73" s="925" t="s">
        <v>92</v>
      </c>
      <c r="E73" s="925"/>
      <c r="F73" s="964"/>
      <c r="G73" s="964"/>
      <c r="H73" s="964">
        <v>5939</v>
      </c>
      <c r="I73" s="965">
        <v>297900</v>
      </c>
      <c r="J73"/>
      <c r="K73"/>
      <c r="L73"/>
      <c r="M73"/>
      <c r="N73"/>
      <c r="O73"/>
      <c r="P73"/>
      <c r="Q73"/>
      <c r="R73"/>
      <c r="S73"/>
      <c r="T73"/>
      <c r="U73"/>
      <c r="V73"/>
      <c r="W73"/>
      <c r="X73"/>
      <c r="Y73"/>
      <c r="Z73"/>
      <c r="AA73"/>
      <c r="AB73"/>
    </row>
    <row r="74" spans="1:28" s="813" customFormat="1" ht="24.95" customHeight="1" x14ac:dyDescent="0.35">
      <c r="A74" s="968">
        <v>45749</v>
      </c>
      <c r="B74" s="930" t="s">
        <v>657</v>
      </c>
      <c r="C74" s="925"/>
      <c r="D74" s="925" t="s">
        <v>92</v>
      </c>
      <c r="E74" s="925"/>
      <c r="F74" s="964"/>
      <c r="G74" s="964"/>
      <c r="H74" s="964" t="s">
        <v>493</v>
      </c>
      <c r="I74" s="965">
        <v>11000</v>
      </c>
      <c r="J74"/>
      <c r="K74"/>
      <c r="L74"/>
      <c r="M74"/>
      <c r="N74"/>
      <c r="O74"/>
      <c r="P74"/>
      <c r="Q74"/>
      <c r="R74"/>
      <c r="S74"/>
      <c r="T74"/>
      <c r="U74"/>
      <c r="V74"/>
      <c r="W74"/>
      <c r="X74"/>
      <c r="Y74"/>
      <c r="Z74"/>
      <c r="AA74"/>
      <c r="AB74"/>
    </row>
    <row r="75" spans="1:28" s="813" customFormat="1" ht="24.95" customHeight="1" x14ac:dyDescent="0.35">
      <c r="A75" s="968">
        <v>45749</v>
      </c>
      <c r="B75" s="930" t="s">
        <v>657</v>
      </c>
      <c r="C75" s="925"/>
      <c r="D75" s="925" t="s">
        <v>92</v>
      </c>
      <c r="E75" s="925"/>
      <c r="F75" s="964"/>
      <c r="G75" s="964"/>
      <c r="H75" s="964" t="s">
        <v>494</v>
      </c>
      <c r="I75" s="965">
        <v>7500</v>
      </c>
      <c r="J75"/>
      <c r="K75"/>
      <c r="L75"/>
      <c r="M75"/>
      <c r="N75"/>
      <c r="O75"/>
      <c r="P75"/>
      <c r="Q75"/>
      <c r="R75"/>
      <c r="S75"/>
      <c r="T75"/>
      <c r="U75"/>
      <c r="V75"/>
      <c r="W75"/>
      <c r="X75"/>
      <c r="Y75"/>
      <c r="Z75"/>
      <c r="AA75"/>
      <c r="AB75"/>
    </row>
    <row r="76" spans="1:28" s="813" customFormat="1" ht="24.95" customHeight="1" x14ac:dyDescent="0.35">
      <c r="A76" s="968" t="s">
        <v>421</v>
      </c>
      <c r="B76" s="930" t="s">
        <v>270</v>
      </c>
      <c r="C76" s="925"/>
      <c r="D76" s="925" t="s">
        <v>90</v>
      </c>
      <c r="E76" s="925"/>
      <c r="F76" s="964"/>
      <c r="G76" s="964"/>
      <c r="H76" s="964">
        <v>5950</v>
      </c>
      <c r="I76" s="965" t="s">
        <v>419</v>
      </c>
      <c r="J76"/>
      <c r="K76"/>
      <c r="L76"/>
      <c r="M76"/>
      <c r="N76"/>
      <c r="O76"/>
      <c r="P76"/>
      <c r="Q76"/>
      <c r="R76"/>
      <c r="S76"/>
      <c r="T76"/>
      <c r="U76"/>
      <c r="V76"/>
      <c r="W76"/>
      <c r="X76"/>
      <c r="Y76"/>
      <c r="Z76"/>
      <c r="AA76"/>
      <c r="AB76"/>
    </row>
    <row r="77" spans="1:28" s="813" customFormat="1" ht="24.95" customHeight="1" x14ac:dyDescent="0.35">
      <c r="A77" s="968">
        <v>45700</v>
      </c>
      <c r="B77" s="930" t="s">
        <v>270</v>
      </c>
      <c r="C77" s="925"/>
      <c r="D77" s="925" t="s">
        <v>90</v>
      </c>
      <c r="E77" s="925"/>
      <c r="F77" s="964"/>
      <c r="G77" s="964"/>
      <c r="H77" s="964"/>
      <c r="I77" s="965">
        <v>1200</v>
      </c>
      <c r="J77"/>
      <c r="K77"/>
      <c r="L77"/>
      <c r="M77"/>
      <c r="N77"/>
      <c r="O77"/>
      <c r="P77"/>
      <c r="Q77"/>
      <c r="R77"/>
      <c r="S77"/>
      <c r="T77"/>
      <c r="U77"/>
      <c r="V77"/>
      <c r="W77"/>
      <c r="X77"/>
      <c r="Y77"/>
      <c r="Z77"/>
      <c r="AA77"/>
      <c r="AB77"/>
    </row>
    <row r="78" spans="1:28" s="813" customFormat="1" ht="24.95" customHeight="1" x14ac:dyDescent="0.35">
      <c r="A78" s="968">
        <v>45896</v>
      </c>
      <c r="B78" s="930" t="s">
        <v>270</v>
      </c>
      <c r="C78" s="925"/>
      <c r="D78" s="925" t="s">
        <v>90</v>
      </c>
      <c r="E78" s="925"/>
      <c r="F78" s="964"/>
      <c r="G78" s="964"/>
      <c r="H78" s="964" t="s">
        <v>601</v>
      </c>
      <c r="I78" s="965" t="s">
        <v>419</v>
      </c>
      <c r="J78"/>
      <c r="K78"/>
      <c r="L78"/>
      <c r="M78"/>
      <c r="N78"/>
      <c r="O78"/>
      <c r="P78"/>
      <c r="Q78"/>
      <c r="R78"/>
      <c r="S78"/>
      <c r="T78"/>
      <c r="U78"/>
      <c r="V78"/>
      <c r="W78"/>
      <c r="X78"/>
      <c r="Y78"/>
      <c r="Z78"/>
      <c r="AA78"/>
      <c r="AB78"/>
    </row>
    <row r="79" spans="1:28" s="813" customFormat="1" ht="24.95" customHeight="1" x14ac:dyDescent="0.35">
      <c r="A79" s="968">
        <v>45908</v>
      </c>
      <c r="B79" s="930" t="s">
        <v>270</v>
      </c>
      <c r="C79" s="925"/>
      <c r="D79" s="925" t="s">
        <v>90</v>
      </c>
      <c r="E79" s="925"/>
      <c r="F79" s="964"/>
      <c r="G79" s="964"/>
      <c r="H79" s="964" t="s">
        <v>613</v>
      </c>
      <c r="I79" s="965">
        <v>240350</v>
      </c>
      <c r="J79"/>
      <c r="K79"/>
      <c r="L79"/>
      <c r="M79"/>
      <c r="N79"/>
      <c r="O79"/>
      <c r="P79"/>
      <c r="Q79"/>
      <c r="R79"/>
      <c r="S79"/>
      <c r="T79"/>
      <c r="U79"/>
      <c r="V79"/>
      <c r="W79"/>
      <c r="X79"/>
      <c r="Y79"/>
      <c r="Z79"/>
      <c r="AA79"/>
      <c r="AB79"/>
    </row>
    <row r="80" spans="1:28" s="813" customFormat="1" ht="24.95" customHeight="1" x14ac:dyDescent="0.35">
      <c r="A80" s="968">
        <v>45933</v>
      </c>
      <c r="B80" s="930" t="s">
        <v>270</v>
      </c>
      <c r="C80" s="925"/>
      <c r="D80" s="925" t="s">
        <v>90</v>
      </c>
      <c r="E80" s="925"/>
      <c r="F80" s="964"/>
      <c r="G80" s="964"/>
      <c r="H80" s="964" t="s">
        <v>671</v>
      </c>
      <c r="I80" s="965">
        <v>274513</v>
      </c>
      <c r="J80"/>
      <c r="K80"/>
      <c r="L80"/>
      <c r="M80"/>
      <c r="N80"/>
      <c r="O80"/>
      <c r="P80"/>
      <c r="Q80"/>
      <c r="R80"/>
      <c r="S80"/>
      <c r="T80"/>
      <c r="U80"/>
      <c r="V80"/>
      <c r="W80"/>
      <c r="X80"/>
      <c r="Y80"/>
      <c r="Z80"/>
      <c r="AA80"/>
      <c r="AB80"/>
    </row>
    <row r="81" spans="1:28" s="813" customFormat="1" ht="24.95" customHeight="1" x14ac:dyDescent="0.35">
      <c r="A81" s="968">
        <v>45944</v>
      </c>
      <c r="B81" s="930" t="s">
        <v>270</v>
      </c>
      <c r="C81" s="925"/>
      <c r="D81" s="925" t="s">
        <v>90</v>
      </c>
      <c r="E81" s="925"/>
      <c r="F81" s="964"/>
      <c r="G81" s="964"/>
      <c r="H81" s="964" t="s">
        <v>635</v>
      </c>
      <c r="I81" s="965">
        <v>58000</v>
      </c>
      <c r="J81"/>
      <c r="K81"/>
      <c r="L81"/>
      <c r="M81"/>
      <c r="N81"/>
      <c r="O81"/>
      <c r="P81"/>
      <c r="Q81"/>
      <c r="R81"/>
      <c r="S81"/>
      <c r="T81"/>
      <c r="U81"/>
      <c r="V81"/>
      <c r="W81"/>
      <c r="X81"/>
      <c r="Y81"/>
      <c r="Z81"/>
      <c r="AA81"/>
      <c r="AB81"/>
    </row>
    <row r="82" spans="1:28" s="813" customFormat="1" ht="24.95" customHeight="1" x14ac:dyDescent="0.35">
      <c r="A82" s="968">
        <v>45946</v>
      </c>
      <c r="B82" s="930" t="s">
        <v>270</v>
      </c>
      <c r="C82" s="925"/>
      <c r="D82" s="925" t="s">
        <v>90</v>
      </c>
      <c r="E82" s="925"/>
      <c r="F82" s="964"/>
      <c r="G82" s="964"/>
      <c r="H82" s="964" t="s">
        <v>638</v>
      </c>
      <c r="I82" s="965">
        <v>100000</v>
      </c>
      <c r="J82"/>
      <c r="K82"/>
      <c r="L82"/>
      <c r="M82"/>
      <c r="N82"/>
      <c r="O82"/>
      <c r="P82"/>
      <c r="Q82"/>
      <c r="R82"/>
      <c r="S82"/>
      <c r="T82"/>
      <c r="U82"/>
      <c r="V82"/>
      <c r="W82"/>
      <c r="X82"/>
      <c r="Y82"/>
      <c r="Z82"/>
      <c r="AA82"/>
      <c r="AB82"/>
    </row>
    <row r="83" spans="1:28" s="813" customFormat="1" ht="24.95" customHeight="1" x14ac:dyDescent="0.35">
      <c r="A83" s="968">
        <v>45946</v>
      </c>
      <c r="B83" s="930" t="s">
        <v>270</v>
      </c>
      <c r="C83" s="925"/>
      <c r="D83" s="925" t="s">
        <v>90</v>
      </c>
      <c r="E83" s="925"/>
      <c r="F83" s="964"/>
      <c r="G83" s="964"/>
      <c r="H83" s="964" t="s">
        <v>639</v>
      </c>
      <c r="I83" s="965">
        <v>89000</v>
      </c>
      <c r="J83"/>
      <c r="K83"/>
      <c r="L83"/>
      <c r="M83"/>
      <c r="N83"/>
      <c r="O83"/>
      <c r="P83"/>
      <c r="Q83"/>
      <c r="R83"/>
      <c r="S83"/>
      <c r="T83"/>
      <c r="U83"/>
      <c r="V83"/>
      <c r="W83"/>
      <c r="X83"/>
      <c r="Y83"/>
      <c r="Z83"/>
      <c r="AA83"/>
      <c r="AB83"/>
    </row>
    <row r="84" spans="1:28" s="813" customFormat="1" ht="24.95" customHeight="1" x14ac:dyDescent="0.35">
      <c r="A84" s="968">
        <v>45946</v>
      </c>
      <c r="B84" s="930" t="s">
        <v>270</v>
      </c>
      <c r="C84" s="925"/>
      <c r="D84" s="925" t="s">
        <v>90</v>
      </c>
      <c r="E84" s="925"/>
      <c r="F84" s="964"/>
      <c r="G84" s="964"/>
      <c r="H84" s="964" t="s">
        <v>640</v>
      </c>
      <c r="I84" s="965">
        <v>105000</v>
      </c>
      <c r="J84"/>
      <c r="K84"/>
      <c r="L84"/>
      <c r="M84"/>
      <c r="N84"/>
      <c r="O84"/>
      <c r="P84"/>
      <c r="Q84"/>
      <c r="R84"/>
      <c r="S84"/>
      <c r="T84"/>
      <c r="U84"/>
      <c r="V84"/>
      <c r="W84"/>
      <c r="X84"/>
      <c r="Y84"/>
      <c r="Z84"/>
      <c r="AA84"/>
      <c r="AB84"/>
    </row>
    <row r="85" spans="1:28" s="813" customFormat="1" ht="24.95" customHeight="1" x14ac:dyDescent="0.35">
      <c r="A85" s="968">
        <v>45817</v>
      </c>
      <c r="B85" s="983" t="s">
        <v>560</v>
      </c>
      <c r="C85" s="925"/>
      <c r="D85" s="964" t="s">
        <v>90</v>
      </c>
      <c r="E85" s="964"/>
      <c r="F85" s="964"/>
      <c r="G85" s="964"/>
      <c r="H85" s="964" t="s">
        <v>556</v>
      </c>
      <c r="I85" s="965" t="s">
        <v>419</v>
      </c>
      <c r="J85"/>
      <c r="K85"/>
      <c r="L85"/>
      <c r="M85"/>
      <c r="N85"/>
      <c r="O85"/>
      <c r="P85"/>
      <c r="Q85"/>
      <c r="R85"/>
      <c r="S85"/>
      <c r="T85"/>
      <c r="U85"/>
      <c r="V85"/>
      <c r="W85"/>
      <c r="X85"/>
      <c r="Y85"/>
      <c r="Z85"/>
      <c r="AA85"/>
      <c r="AB85"/>
    </row>
    <row r="86" spans="1:28" s="813" customFormat="1" ht="24.95" customHeight="1" x14ac:dyDescent="0.35">
      <c r="A86" s="968">
        <v>45854</v>
      </c>
      <c r="B86" s="983" t="s">
        <v>560</v>
      </c>
      <c r="C86" s="925"/>
      <c r="D86" s="964" t="s">
        <v>90</v>
      </c>
      <c r="E86" s="964"/>
      <c r="F86" s="964"/>
      <c r="G86" s="964"/>
      <c r="H86" s="964" t="s">
        <v>562</v>
      </c>
      <c r="I86" s="965" t="s">
        <v>419</v>
      </c>
      <c r="J86"/>
      <c r="K86"/>
      <c r="L86"/>
      <c r="M86"/>
      <c r="N86"/>
      <c r="O86"/>
      <c r="P86"/>
      <c r="Q86"/>
      <c r="R86"/>
      <c r="S86"/>
      <c r="T86"/>
      <c r="U86"/>
      <c r="V86"/>
      <c r="W86"/>
      <c r="X86"/>
      <c r="Y86"/>
      <c r="Z86"/>
      <c r="AA86"/>
      <c r="AB86"/>
    </row>
    <row r="87" spans="1:28" s="813" customFormat="1" ht="24.95" customHeight="1" x14ac:dyDescent="0.35">
      <c r="A87" s="968">
        <v>45993</v>
      </c>
      <c r="B87" s="983" t="s">
        <v>432</v>
      </c>
      <c r="C87" s="925"/>
      <c r="D87" s="964" t="s">
        <v>90</v>
      </c>
      <c r="E87" s="964"/>
      <c r="F87" s="964"/>
      <c r="G87" s="964"/>
      <c r="H87" s="964" t="s">
        <v>692</v>
      </c>
      <c r="I87" s="965" t="s">
        <v>419</v>
      </c>
      <c r="J87"/>
      <c r="K87"/>
      <c r="L87"/>
      <c r="M87"/>
      <c r="N87"/>
      <c r="O87"/>
      <c r="P87"/>
      <c r="Q87"/>
      <c r="R87"/>
      <c r="S87"/>
      <c r="T87"/>
      <c r="U87"/>
      <c r="V87"/>
      <c r="W87"/>
      <c r="X87"/>
      <c r="Y87"/>
      <c r="Z87"/>
      <c r="AA87"/>
      <c r="AB87"/>
    </row>
    <row r="88" spans="1:28" s="813" customFormat="1" ht="24.95" customHeight="1" x14ac:dyDescent="0.35">
      <c r="A88" s="968">
        <v>46000</v>
      </c>
      <c r="B88" s="983" t="s">
        <v>432</v>
      </c>
      <c r="C88" s="925"/>
      <c r="D88" s="964" t="s">
        <v>90</v>
      </c>
      <c r="E88" s="964"/>
      <c r="F88" s="964"/>
      <c r="G88" s="964"/>
      <c r="H88" s="964" t="s">
        <v>702</v>
      </c>
      <c r="I88" s="965">
        <v>254250</v>
      </c>
      <c r="J88"/>
      <c r="K88"/>
      <c r="L88"/>
      <c r="M88"/>
      <c r="N88"/>
      <c r="O88"/>
      <c r="P88"/>
      <c r="Q88"/>
      <c r="R88"/>
      <c r="S88"/>
      <c r="T88"/>
      <c r="U88"/>
      <c r="V88"/>
      <c r="W88"/>
      <c r="X88"/>
      <c r="Y88"/>
      <c r="Z88"/>
      <c r="AA88"/>
      <c r="AB88"/>
    </row>
    <row r="89" spans="1:28" s="813" customFormat="1" ht="24.95" customHeight="1" x14ac:dyDescent="0.35">
      <c r="A89" s="968">
        <v>45708</v>
      </c>
      <c r="B89" s="930" t="s">
        <v>436</v>
      </c>
      <c r="C89" s="925"/>
      <c r="D89" s="964" t="s">
        <v>92</v>
      </c>
      <c r="E89" s="964"/>
      <c r="F89" s="964"/>
      <c r="G89" s="964"/>
      <c r="H89" s="964" t="s">
        <v>443</v>
      </c>
      <c r="I89" s="965"/>
      <c r="J89"/>
      <c r="K89"/>
      <c r="L89"/>
      <c r="M89"/>
      <c r="N89"/>
      <c r="O89"/>
      <c r="P89"/>
      <c r="Q89"/>
      <c r="R89"/>
      <c r="S89"/>
      <c r="T89"/>
      <c r="U89"/>
      <c r="V89"/>
      <c r="W89"/>
      <c r="X89"/>
      <c r="Y89"/>
      <c r="Z89"/>
      <c r="AA89"/>
      <c r="AB89"/>
    </row>
    <row r="90" spans="1:28" s="813" customFormat="1" ht="24.95" customHeight="1" x14ac:dyDescent="0.35">
      <c r="A90" s="968" t="s">
        <v>421</v>
      </c>
      <c r="B90" s="930" t="s">
        <v>434</v>
      </c>
      <c r="C90" s="925"/>
      <c r="D90" s="964" t="s">
        <v>90</v>
      </c>
      <c r="E90" s="964"/>
      <c r="F90" s="964"/>
      <c r="G90" s="964"/>
      <c r="H90" s="964" t="s">
        <v>665</v>
      </c>
      <c r="I90" s="965">
        <v>2977500</v>
      </c>
      <c r="J90"/>
      <c r="K90"/>
      <c r="L90"/>
      <c r="M90"/>
      <c r="N90"/>
      <c r="O90"/>
      <c r="P90"/>
      <c r="Q90"/>
      <c r="R90"/>
      <c r="S90"/>
      <c r="T90"/>
      <c r="U90"/>
      <c r="V90"/>
      <c r="W90"/>
      <c r="X90"/>
      <c r="Y90"/>
      <c r="Z90"/>
      <c r="AA90"/>
      <c r="AB90"/>
    </row>
    <row r="91" spans="1:28" s="813" customFormat="1" ht="24.95" customHeight="1" x14ac:dyDescent="0.35">
      <c r="A91" s="968">
        <v>45965</v>
      </c>
      <c r="B91" s="930" t="s">
        <v>434</v>
      </c>
      <c r="C91" s="925"/>
      <c r="D91" s="964" t="s">
        <v>90</v>
      </c>
      <c r="E91" s="964"/>
      <c r="F91" s="964"/>
      <c r="G91" s="964"/>
      <c r="H91" s="964" t="s">
        <v>672</v>
      </c>
      <c r="I91" s="965">
        <v>592500</v>
      </c>
      <c r="J91" t="s">
        <v>478</v>
      </c>
      <c r="K91"/>
      <c r="L91"/>
      <c r="M91"/>
      <c r="N91"/>
      <c r="O91"/>
      <c r="P91"/>
      <c r="Q91"/>
      <c r="R91"/>
      <c r="S91"/>
      <c r="T91"/>
      <c r="U91"/>
      <c r="V91"/>
      <c r="W91"/>
      <c r="X91"/>
      <c r="Y91"/>
      <c r="Z91"/>
      <c r="AA91"/>
      <c r="AB91"/>
    </row>
    <row r="92" spans="1:28" s="813" customFormat="1" ht="24.95" customHeight="1" x14ac:dyDescent="0.35">
      <c r="A92" s="968">
        <v>45723</v>
      </c>
      <c r="B92" s="930" t="s">
        <v>428</v>
      </c>
      <c r="C92" s="925"/>
      <c r="D92" s="964" t="s">
        <v>92</v>
      </c>
      <c r="E92" s="964"/>
      <c r="F92" s="964"/>
      <c r="G92" s="964"/>
      <c r="H92" s="964" t="s">
        <v>501</v>
      </c>
      <c r="I92" s="965">
        <v>8000</v>
      </c>
      <c r="J92"/>
      <c r="K92"/>
      <c r="L92"/>
      <c r="M92"/>
      <c r="N92"/>
      <c r="O92"/>
      <c r="P92"/>
      <c r="Q92"/>
      <c r="R92"/>
      <c r="S92"/>
      <c r="T92"/>
      <c r="U92"/>
      <c r="V92"/>
      <c r="W92"/>
      <c r="X92"/>
      <c r="Y92"/>
      <c r="Z92"/>
      <c r="AA92"/>
      <c r="AB92"/>
    </row>
    <row r="93" spans="1:28" s="813" customFormat="1" ht="24.95" customHeight="1" x14ac:dyDescent="0.35">
      <c r="A93" s="968">
        <v>45828</v>
      </c>
      <c r="B93" s="930" t="s">
        <v>428</v>
      </c>
      <c r="C93" s="925"/>
      <c r="D93" s="964" t="s">
        <v>92</v>
      </c>
      <c r="E93" s="964"/>
      <c r="F93" s="964"/>
      <c r="G93" s="964"/>
      <c r="H93" s="964" t="s">
        <v>559</v>
      </c>
      <c r="I93" s="965" t="s">
        <v>419</v>
      </c>
      <c r="J93"/>
      <c r="K93"/>
      <c r="L93"/>
      <c r="M93"/>
      <c r="N93"/>
      <c r="O93"/>
      <c r="P93"/>
      <c r="Q93"/>
      <c r="R93"/>
      <c r="S93"/>
      <c r="T93"/>
      <c r="U93"/>
      <c r="V93"/>
      <c r="W93"/>
      <c r="X93"/>
      <c r="Y93"/>
      <c r="Z93"/>
      <c r="AA93"/>
      <c r="AB93"/>
    </row>
    <row r="94" spans="1:28" s="813" customFormat="1" ht="24.95" customHeight="1" x14ac:dyDescent="0.35">
      <c r="A94" s="968">
        <v>46053</v>
      </c>
      <c r="B94" s="930" t="s">
        <v>428</v>
      </c>
      <c r="C94" s="925"/>
      <c r="D94" s="964" t="s">
        <v>92</v>
      </c>
      <c r="E94" s="964"/>
      <c r="F94" s="964"/>
      <c r="G94" s="964"/>
      <c r="H94" s="964" t="s">
        <v>746</v>
      </c>
      <c r="I94" s="965" t="s">
        <v>419</v>
      </c>
      <c r="J94"/>
      <c r="K94"/>
      <c r="L94"/>
      <c r="M94"/>
      <c r="N94"/>
      <c r="O94"/>
      <c r="P94"/>
      <c r="Q94"/>
      <c r="R94"/>
      <c r="S94"/>
      <c r="T94"/>
      <c r="U94"/>
      <c r="V94"/>
      <c r="W94"/>
      <c r="X94"/>
      <c r="Y94"/>
      <c r="Z94"/>
      <c r="AA94"/>
      <c r="AB94"/>
    </row>
    <row r="95" spans="1:28" s="813" customFormat="1" ht="24.95" customHeight="1" x14ac:dyDescent="0.35">
      <c r="A95" s="968">
        <v>45748</v>
      </c>
      <c r="B95" s="930" t="s">
        <v>115</v>
      </c>
      <c r="C95" s="925"/>
      <c r="D95" s="964" t="s">
        <v>90</v>
      </c>
      <c r="E95" s="964"/>
      <c r="F95" s="964"/>
      <c r="G95" s="964"/>
      <c r="H95" s="964" t="s">
        <v>587</v>
      </c>
      <c r="I95" s="965">
        <v>244995</v>
      </c>
      <c r="J95"/>
      <c r="K95"/>
      <c r="L95"/>
      <c r="M95"/>
      <c r="N95"/>
      <c r="O95"/>
      <c r="P95"/>
      <c r="Q95"/>
      <c r="R95"/>
      <c r="S95"/>
      <c r="T95"/>
      <c r="U95"/>
      <c r="V95"/>
      <c r="W95"/>
      <c r="X95"/>
      <c r="Y95"/>
      <c r="Z95"/>
      <c r="AA95"/>
      <c r="AB95"/>
    </row>
    <row r="96" spans="1:28" s="782" customFormat="1" ht="24.95" customHeight="1" x14ac:dyDescent="0.35">
      <c r="A96" s="968">
        <v>45750</v>
      </c>
      <c r="B96" s="930" t="s">
        <v>438</v>
      </c>
      <c r="C96" s="925"/>
      <c r="D96" s="964" t="s">
        <v>90</v>
      </c>
      <c r="E96" s="964"/>
      <c r="F96" s="964"/>
      <c r="G96" s="964"/>
      <c r="H96" s="964" t="s">
        <v>496</v>
      </c>
      <c r="I96" s="965">
        <v>339500</v>
      </c>
      <c r="J96"/>
      <c r="K96"/>
      <c r="L96"/>
      <c r="M96"/>
      <c r="N96"/>
      <c r="O96"/>
      <c r="P96"/>
      <c r="Q96"/>
      <c r="R96"/>
      <c r="S96"/>
      <c r="T96"/>
      <c r="U96"/>
      <c r="V96"/>
      <c r="W96"/>
      <c r="X96"/>
      <c r="Y96"/>
      <c r="Z96"/>
      <c r="AA96"/>
      <c r="AB96"/>
    </row>
    <row r="97" spans="1:28" s="782" customFormat="1" ht="24.95" customHeight="1" x14ac:dyDescent="0.35">
      <c r="A97" s="968">
        <v>46045</v>
      </c>
      <c r="B97" s="930" t="s">
        <v>438</v>
      </c>
      <c r="C97" s="925" t="s">
        <v>740</v>
      </c>
      <c r="D97" s="964" t="s">
        <v>90</v>
      </c>
      <c r="E97" s="964"/>
      <c r="F97" s="964"/>
      <c r="G97" s="964"/>
      <c r="H97" s="964" t="s">
        <v>738</v>
      </c>
      <c r="I97" s="965" t="s">
        <v>419</v>
      </c>
      <c r="J97"/>
      <c r="K97"/>
      <c r="L97"/>
      <c r="M97"/>
      <c r="N97"/>
      <c r="O97"/>
      <c r="P97"/>
      <c r="Q97"/>
      <c r="R97"/>
      <c r="S97"/>
      <c r="T97"/>
      <c r="U97"/>
      <c r="V97"/>
      <c r="W97"/>
      <c r="X97"/>
      <c r="Y97"/>
      <c r="Z97"/>
      <c r="AA97"/>
      <c r="AB97"/>
    </row>
    <row r="98" spans="1:28" s="749" customFormat="1" ht="24.95" customHeight="1" x14ac:dyDescent="0.35">
      <c r="A98" s="968">
        <v>46051</v>
      </c>
      <c r="B98" s="930" t="s">
        <v>446</v>
      </c>
      <c r="C98" s="925" t="s">
        <v>740</v>
      </c>
      <c r="D98" s="964" t="s">
        <v>90</v>
      </c>
      <c r="E98" s="964"/>
      <c r="F98" s="964"/>
      <c r="G98" s="964"/>
      <c r="H98" s="964" t="s">
        <v>747</v>
      </c>
      <c r="I98" s="965">
        <v>830000</v>
      </c>
      <c r="J98"/>
      <c r="K98"/>
      <c r="L98"/>
      <c r="M98"/>
      <c r="N98"/>
      <c r="O98"/>
      <c r="P98"/>
      <c r="Q98"/>
      <c r="R98"/>
      <c r="S98"/>
      <c r="T98"/>
      <c r="U98"/>
      <c r="V98"/>
      <c r="W98"/>
      <c r="X98"/>
      <c r="Y98"/>
      <c r="Z98"/>
      <c r="AA98"/>
      <c r="AB98"/>
    </row>
    <row r="99" spans="1:28" s="749" customFormat="1" ht="24.95" customHeight="1" x14ac:dyDescent="0.35">
      <c r="A99" s="968" t="s">
        <v>421</v>
      </c>
      <c r="B99" s="930" t="s">
        <v>299</v>
      </c>
      <c r="C99" s="925"/>
      <c r="D99" s="925" t="s">
        <v>92</v>
      </c>
      <c r="E99" s="925"/>
      <c r="F99" s="964"/>
      <c r="G99" s="964"/>
      <c r="H99" s="964" t="s">
        <v>506</v>
      </c>
      <c r="I99" s="965">
        <v>77261.850000000006</v>
      </c>
      <c r="J99"/>
      <c r="K99"/>
      <c r="L99"/>
      <c r="M99"/>
      <c r="N99"/>
      <c r="O99"/>
      <c r="P99"/>
      <c r="Q99"/>
      <c r="R99"/>
      <c r="S99"/>
      <c r="T99"/>
      <c r="U99"/>
      <c r="V99"/>
      <c r="W99"/>
      <c r="X99"/>
      <c r="Y99"/>
      <c r="Z99"/>
      <c r="AA99"/>
      <c r="AB99"/>
    </row>
    <row r="100" spans="1:28" s="749" customFormat="1" ht="24.95" customHeight="1" x14ac:dyDescent="0.35">
      <c r="A100" s="968" t="s">
        <v>421</v>
      </c>
      <c r="B100" s="930" t="s">
        <v>299</v>
      </c>
      <c r="C100" s="925"/>
      <c r="D100" s="925" t="s">
        <v>92</v>
      </c>
      <c r="E100" s="925"/>
      <c r="F100" s="964"/>
      <c r="G100" s="964"/>
      <c r="H100" s="964" t="s">
        <v>525</v>
      </c>
      <c r="I100" s="965">
        <v>86950</v>
      </c>
      <c r="J100"/>
      <c r="K100"/>
      <c r="L100"/>
      <c r="M100"/>
      <c r="N100"/>
      <c r="O100"/>
      <c r="P100"/>
      <c r="Q100"/>
      <c r="R100"/>
      <c r="S100"/>
      <c r="T100"/>
      <c r="U100"/>
      <c r="V100"/>
      <c r="W100"/>
      <c r="X100"/>
      <c r="Y100"/>
      <c r="Z100"/>
      <c r="AA100"/>
      <c r="AB100"/>
    </row>
    <row r="101" spans="1:28" s="782" customFormat="1" ht="24.95" customHeight="1" x14ac:dyDescent="0.35">
      <c r="A101" s="968">
        <v>45790</v>
      </c>
      <c r="B101" s="930" t="s">
        <v>660</v>
      </c>
      <c r="C101" s="925"/>
      <c r="D101" s="925" t="s">
        <v>90</v>
      </c>
      <c r="E101" s="925"/>
      <c r="F101" s="964"/>
      <c r="G101" s="964"/>
      <c r="H101" s="964" t="s">
        <v>520</v>
      </c>
      <c r="I101" s="965">
        <v>487467.5</v>
      </c>
      <c r="J101"/>
      <c r="K101"/>
      <c r="L101"/>
      <c r="M101"/>
      <c r="N101"/>
      <c r="O101"/>
      <c r="P101"/>
      <c r="Q101"/>
      <c r="R101"/>
      <c r="S101"/>
      <c r="T101"/>
      <c r="U101"/>
      <c r="V101"/>
      <c r="W101"/>
      <c r="X101"/>
      <c r="Y101"/>
      <c r="Z101"/>
      <c r="AA101"/>
      <c r="AB101"/>
    </row>
    <row r="102" spans="1:28" s="782" customFormat="1" ht="24.95" customHeight="1" x14ac:dyDescent="0.35">
      <c r="A102" s="968">
        <v>45897</v>
      </c>
      <c r="B102" s="930" t="s">
        <v>660</v>
      </c>
      <c r="C102" s="925"/>
      <c r="D102" s="925" t="s">
        <v>90</v>
      </c>
      <c r="E102" s="925"/>
      <c r="F102" s="964"/>
      <c r="G102" s="964"/>
      <c r="H102" s="964" t="s">
        <v>606</v>
      </c>
      <c r="I102" s="965">
        <v>476000</v>
      </c>
      <c r="J102"/>
      <c r="K102"/>
      <c r="L102"/>
      <c r="M102"/>
      <c r="N102"/>
      <c r="O102"/>
      <c r="P102"/>
      <c r="Q102"/>
      <c r="R102"/>
      <c r="S102"/>
      <c r="T102"/>
      <c r="U102"/>
      <c r="V102"/>
      <c r="W102"/>
      <c r="X102"/>
      <c r="Y102"/>
      <c r="Z102"/>
      <c r="AA102"/>
      <c r="AB102"/>
    </row>
    <row r="103" spans="1:28" s="782" customFormat="1" ht="24.95" customHeight="1" x14ac:dyDescent="0.35">
      <c r="A103" s="968">
        <v>45973</v>
      </c>
      <c r="B103" s="930" t="s">
        <v>660</v>
      </c>
      <c r="C103" s="925"/>
      <c r="D103" s="925" t="s">
        <v>90</v>
      </c>
      <c r="E103" s="925"/>
      <c r="F103" s="964"/>
      <c r="G103" s="964"/>
      <c r="H103" s="964" t="s">
        <v>677</v>
      </c>
      <c r="I103" s="965">
        <v>39180</v>
      </c>
      <c r="J103"/>
      <c r="K103"/>
      <c r="L103"/>
      <c r="M103"/>
      <c r="N103"/>
      <c r="O103"/>
      <c r="P103"/>
      <c r="Q103"/>
      <c r="R103"/>
      <c r="S103"/>
      <c r="T103"/>
      <c r="U103"/>
      <c r="V103"/>
      <c r="W103"/>
      <c r="X103"/>
      <c r="Y103"/>
      <c r="Z103"/>
      <c r="AA103"/>
      <c r="AB103"/>
    </row>
    <row r="104" spans="1:28" s="782" customFormat="1" ht="24.95" customHeight="1" x14ac:dyDescent="0.35">
      <c r="A104" s="968">
        <v>46052</v>
      </c>
      <c r="B104" s="930" t="s">
        <v>660</v>
      </c>
      <c r="C104" s="925"/>
      <c r="D104" s="925" t="s">
        <v>90</v>
      </c>
      <c r="E104" s="925"/>
      <c r="F104" s="964" t="s">
        <v>749</v>
      </c>
      <c r="G104" s="964"/>
      <c r="H104" s="964" t="s">
        <v>748</v>
      </c>
      <c r="I104" s="965">
        <v>1700300</v>
      </c>
      <c r="J104"/>
      <c r="K104"/>
      <c r="L104"/>
      <c r="M104"/>
      <c r="N104"/>
      <c r="O104"/>
      <c r="P104"/>
      <c r="Q104"/>
      <c r="R104"/>
      <c r="S104"/>
      <c r="T104"/>
      <c r="U104"/>
      <c r="V104"/>
      <c r="W104"/>
      <c r="X104"/>
      <c r="Y104"/>
      <c r="Z104"/>
      <c r="AA104"/>
      <c r="AB104"/>
    </row>
    <row r="105" spans="1:28" s="782" customFormat="1" ht="24.95" customHeight="1" x14ac:dyDescent="0.35">
      <c r="A105" s="968">
        <v>45804</v>
      </c>
      <c r="B105" s="930" t="s">
        <v>533</v>
      </c>
      <c r="C105" s="925"/>
      <c r="D105" s="925" t="s">
        <v>92</v>
      </c>
      <c r="E105" s="925"/>
      <c r="F105" s="964"/>
      <c r="G105" s="964"/>
      <c r="H105" s="964" t="s">
        <v>534</v>
      </c>
      <c r="I105" s="965" t="s">
        <v>419</v>
      </c>
      <c r="J105"/>
      <c r="K105"/>
      <c r="L105"/>
      <c r="M105"/>
      <c r="N105"/>
      <c r="O105"/>
      <c r="P105"/>
      <c r="Q105"/>
      <c r="R105"/>
      <c r="S105"/>
      <c r="T105"/>
      <c r="U105"/>
      <c r="V105"/>
      <c r="W105"/>
      <c r="X105"/>
      <c r="Y105"/>
      <c r="Z105"/>
      <c r="AA105"/>
      <c r="AB105"/>
    </row>
    <row r="106" spans="1:28" s="782" customFormat="1" ht="24.95" customHeight="1" x14ac:dyDescent="0.35">
      <c r="A106" s="968" t="s">
        <v>557</v>
      </c>
      <c r="B106" s="930" t="s">
        <v>662</v>
      </c>
      <c r="C106" s="925"/>
      <c r="D106" s="964" t="s">
        <v>92</v>
      </c>
      <c r="E106" s="964"/>
      <c r="F106" s="964"/>
      <c r="G106" s="964"/>
      <c r="H106" s="964" t="s">
        <v>564</v>
      </c>
      <c r="I106" s="965">
        <v>115000</v>
      </c>
      <c r="J106"/>
      <c r="K106"/>
      <c r="L106"/>
      <c r="M106"/>
      <c r="N106"/>
      <c r="O106"/>
      <c r="P106"/>
      <c r="Q106"/>
      <c r="R106"/>
      <c r="S106"/>
      <c r="T106"/>
      <c r="U106"/>
      <c r="V106"/>
      <c r="W106"/>
      <c r="X106"/>
      <c r="Y106"/>
      <c r="Z106"/>
      <c r="AA106"/>
      <c r="AB106"/>
    </row>
    <row r="107" spans="1:28" s="782" customFormat="1" ht="24.95" customHeight="1" x14ac:dyDescent="0.35">
      <c r="A107" s="968" t="s">
        <v>421</v>
      </c>
      <c r="B107" s="930" t="s">
        <v>662</v>
      </c>
      <c r="C107" s="925"/>
      <c r="D107" s="964" t="s">
        <v>92</v>
      </c>
      <c r="E107" s="964"/>
      <c r="F107" s="964"/>
      <c r="G107" s="964"/>
      <c r="H107" s="964" t="s">
        <v>565</v>
      </c>
      <c r="I107" s="965">
        <v>25895</v>
      </c>
      <c r="J107"/>
      <c r="K107"/>
      <c r="L107"/>
      <c r="M107"/>
      <c r="N107"/>
      <c r="O107"/>
      <c r="P107"/>
      <c r="Q107"/>
      <c r="R107"/>
      <c r="S107"/>
      <c r="T107"/>
      <c r="U107"/>
      <c r="V107"/>
      <c r="W107"/>
      <c r="X107"/>
      <c r="Y107"/>
      <c r="Z107"/>
      <c r="AA107"/>
      <c r="AB107"/>
    </row>
    <row r="108" spans="1:28" s="782" customFormat="1" ht="24.95" customHeight="1" x14ac:dyDescent="0.35">
      <c r="A108" s="968" t="s">
        <v>421</v>
      </c>
      <c r="B108" s="930" t="s">
        <v>663</v>
      </c>
      <c r="C108" s="925"/>
      <c r="D108" s="964" t="s">
        <v>90</v>
      </c>
      <c r="E108" s="964"/>
      <c r="F108" s="964"/>
      <c r="G108" s="964"/>
      <c r="H108" s="964" t="s">
        <v>571</v>
      </c>
      <c r="I108" s="965">
        <v>45000</v>
      </c>
      <c r="J108"/>
      <c r="K108"/>
      <c r="L108"/>
      <c r="M108"/>
      <c r="N108"/>
      <c r="O108"/>
      <c r="P108"/>
      <c r="Q108"/>
      <c r="R108"/>
      <c r="S108"/>
      <c r="T108"/>
      <c r="U108"/>
      <c r="V108"/>
      <c r="W108"/>
      <c r="X108"/>
      <c r="Y108"/>
      <c r="Z108"/>
      <c r="AA108"/>
      <c r="AB108"/>
    </row>
    <row r="109" spans="1:28" s="782" customFormat="1" ht="24.95" customHeight="1" x14ac:dyDescent="0.35">
      <c r="A109" s="968">
        <v>45883</v>
      </c>
      <c r="B109" s="930" t="s">
        <v>663</v>
      </c>
      <c r="C109" s="925"/>
      <c r="D109" s="964" t="s">
        <v>90</v>
      </c>
      <c r="E109" s="964"/>
      <c r="F109" s="964"/>
      <c r="G109" s="964"/>
      <c r="H109" s="964" t="s">
        <v>595</v>
      </c>
      <c r="I109" s="965">
        <v>152000</v>
      </c>
      <c r="J109"/>
      <c r="K109"/>
      <c r="L109"/>
      <c r="M109"/>
      <c r="N109"/>
      <c r="O109"/>
      <c r="P109"/>
      <c r="Q109"/>
      <c r="R109"/>
      <c r="S109"/>
      <c r="T109"/>
      <c r="U109"/>
      <c r="V109"/>
      <c r="W109"/>
      <c r="X109"/>
      <c r="Y109"/>
      <c r="Z109"/>
      <c r="AA109"/>
      <c r="AB109"/>
    </row>
    <row r="110" spans="1:28" s="782" customFormat="1" ht="24.95" customHeight="1" x14ac:dyDescent="0.35">
      <c r="A110" s="968">
        <v>46042</v>
      </c>
      <c r="B110" s="930" t="s">
        <v>663</v>
      </c>
      <c r="C110" s="925"/>
      <c r="D110" s="964" t="s">
        <v>90</v>
      </c>
      <c r="E110" s="964"/>
      <c r="F110" s="964"/>
      <c r="G110" s="964"/>
      <c r="H110" s="964" t="s">
        <v>726</v>
      </c>
      <c r="I110" s="965" t="s">
        <v>419</v>
      </c>
      <c r="J110"/>
      <c r="K110"/>
      <c r="L110"/>
      <c r="M110"/>
      <c r="N110"/>
      <c r="O110"/>
      <c r="P110"/>
      <c r="Q110"/>
      <c r="R110"/>
      <c r="S110"/>
      <c r="T110"/>
      <c r="U110"/>
      <c r="V110"/>
      <c r="W110"/>
      <c r="X110"/>
      <c r="Y110"/>
      <c r="Z110"/>
      <c r="AA110"/>
      <c r="AB110"/>
    </row>
    <row r="111" spans="1:28" s="782" customFormat="1" ht="24.95" customHeight="1" x14ac:dyDescent="0.35">
      <c r="A111" s="968">
        <v>46042</v>
      </c>
      <c r="B111" s="930" t="s">
        <v>663</v>
      </c>
      <c r="C111" s="925"/>
      <c r="D111" s="964" t="s">
        <v>90</v>
      </c>
      <c r="E111" s="964"/>
      <c r="F111" s="964"/>
      <c r="G111" s="964"/>
      <c r="H111" s="964" t="s">
        <v>727</v>
      </c>
      <c r="I111" s="965" t="s">
        <v>419</v>
      </c>
      <c r="J111"/>
      <c r="K111"/>
      <c r="L111"/>
      <c r="M111"/>
      <c r="N111"/>
      <c r="O111"/>
      <c r="P111"/>
      <c r="Q111"/>
      <c r="R111"/>
      <c r="S111"/>
      <c r="T111"/>
      <c r="U111"/>
      <c r="V111"/>
      <c r="W111"/>
      <c r="X111"/>
      <c r="Y111"/>
      <c r="Z111"/>
      <c r="AA111"/>
      <c r="AB111"/>
    </row>
    <row r="112" spans="1:28" s="941" customFormat="1" ht="24.95" customHeight="1" x14ac:dyDescent="0.35">
      <c r="A112" s="968">
        <v>45874</v>
      </c>
      <c r="B112" s="930" t="s">
        <v>664</v>
      </c>
      <c r="C112" s="925"/>
      <c r="D112" s="964" t="s">
        <v>92</v>
      </c>
      <c r="E112" s="964"/>
      <c r="F112" s="964"/>
      <c r="G112" s="964"/>
      <c r="H112" s="964" t="s">
        <v>585</v>
      </c>
      <c r="I112" s="965">
        <v>105000</v>
      </c>
      <c r="J112"/>
      <c r="K112"/>
      <c r="L112"/>
      <c r="M112"/>
      <c r="N112"/>
      <c r="O112"/>
      <c r="P112"/>
      <c r="Q112"/>
      <c r="R112"/>
      <c r="S112"/>
      <c r="T112"/>
      <c r="U112"/>
      <c r="V112"/>
      <c r="W112"/>
      <c r="X112"/>
      <c r="Y112"/>
      <c r="Z112"/>
      <c r="AA112"/>
      <c r="AB112"/>
    </row>
    <row r="113" spans="1:28" s="941" customFormat="1" ht="24.95" customHeight="1" x14ac:dyDescent="0.35">
      <c r="A113" s="968">
        <v>45993</v>
      </c>
      <c r="B113" s="930" t="s">
        <v>664</v>
      </c>
      <c r="C113" s="925"/>
      <c r="D113" s="964" t="s">
        <v>92</v>
      </c>
      <c r="E113" s="964"/>
      <c r="F113" s="964"/>
      <c r="G113" s="964"/>
      <c r="H113" s="964" t="s">
        <v>694</v>
      </c>
      <c r="I113" s="965" t="s">
        <v>419</v>
      </c>
      <c r="J113"/>
      <c r="K113"/>
      <c r="L113"/>
      <c r="M113"/>
      <c r="N113"/>
      <c r="O113"/>
      <c r="P113"/>
      <c r="Q113"/>
      <c r="R113"/>
      <c r="S113"/>
      <c r="T113"/>
      <c r="U113"/>
      <c r="V113"/>
      <c r="W113"/>
      <c r="X113"/>
      <c r="Y113"/>
      <c r="Z113"/>
      <c r="AA113"/>
      <c r="AB113"/>
    </row>
    <row r="114" spans="1:28" s="941" customFormat="1" ht="24.95" customHeight="1" x14ac:dyDescent="0.35">
      <c r="A114" s="968">
        <v>46003</v>
      </c>
      <c r="B114" s="930" t="s">
        <v>664</v>
      </c>
      <c r="C114" s="925"/>
      <c r="D114" s="964" t="s">
        <v>92</v>
      </c>
      <c r="E114" s="964"/>
      <c r="F114" s="964"/>
      <c r="G114" s="964"/>
      <c r="H114" s="964" t="s">
        <v>704</v>
      </c>
      <c r="I114" s="965" t="s">
        <v>419</v>
      </c>
      <c r="J114"/>
      <c r="K114"/>
      <c r="L114"/>
      <c r="M114"/>
      <c r="N114"/>
      <c r="O114"/>
      <c r="P114"/>
      <c r="Q114"/>
      <c r="R114"/>
      <c r="S114"/>
      <c r="T114"/>
      <c r="U114"/>
      <c r="V114"/>
      <c r="W114"/>
      <c r="X114"/>
      <c r="Y114"/>
      <c r="Z114"/>
      <c r="AA114"/>
      <c r="AB114"/>
    </row>
    <row r="115" spans="1:28" s="749" customFormat="1" ht="24.95" customHeight="1" x14ac:dyDescent="0.35">
      <c r="A115" s="968">
        <v>46000</v>
      </c>
      <c r="B115" s="930" t="s">
        <v>281</v>
      </c>
      <c r="C115" s="925"/>
      <c r="D115" s="964" t="s">
        <v>282</v>
      </c>
      <c r="E115" s="964"/>
      <c r="F115" s="964"/>
      <c r="G115" s="964"/>
      <c r="H115" s="964" t="s">
        <v>701</v>
      </c>
      <c r="I115" s="965">
        <v>306438.21999999997</v>
      </c>
      <c r="J115"/>
      <c r="K115"/>
      <c r="L115"/>
      <c r="M115"/>
      <c r="N115"/>
      <c r="O115"/>
      <c r="P115"/>
      <c r="Q115"/>
      <c r="R115"/>
      <c r="S115"/>
      <c r="T115"/>
      <c r="U115"/>
      <c r="V115"/>
      <c r="W115"/>
      <c r="X115"/>
      <c r="Y115"/>
      <c r="Z115"/>
      <c r="AA115"/>
      <c r="AB115"/>
    </row>
    <row r="116" spans="1:28" s="749" customFormat="1" ht="24.95" customHeight="1" x14ac:dyDescent="0.35">
      <c r="A116" s="968">
        <v>46008</v>
      </c>
      <c r="B116" s="930" t="s">
        <v>281</v>
      </c>
      <c r="C116" s="925"/>
      <c r="D116" s="964" t="s">
        <v>282</v>
      </c>
      <c r="E116" s="964"/>
      <c r="F116" s="964"/>
      <c r="G116" s="964"/>
      <c r="H116" s="964" t="s">
        <v>707</v>
      </c>
      <c r="I116" s="965" t="s">
        <v>419</v>
      </c>
      <c r="J116"/>
      <c r="K116"/>
      <c r="L116"/>
      <c r="M116"/>
      <c r="N116"/>
      <c r="O116"/>
      <c r="P116"/>
      <c r="Q116"/>
      <c r="R116"/>
      <c r="S116"/>
      <c r="T116"/>
      <c r="U116"/>
      <c r="V116"/>
      <c r="W116"/>
      <c r="X116"/>
      <c r="Y116"/>
      <c r="Z116"/>
      <c r="AA116"/>
      <c r="AB116"/>
    </row>
    <row r="117" spans="1:28" s="749" customFormat="1" ht="24.95" customHeight="1" x14ac:dyDescent="0.35">
      <c r="A117" s="968">
        <v>46045</v>
      </c>
      <c r="B117" s="930" t="s">
        <v>281</v>
      </c>
      <c r="C117" s="925"/>
      <c r="D117" s="964" t="s">
        <v>282</v>
      </c>
      <c r="E117" s="964"/>
      <c r="F117" s="964"/>
      <c r="G117" s="964"/>
      <c r="H117" s="964" t="s">
        <v>737</v>
      </c>
      <c r="I117" s="965">
        <v>402859.71</v>
      </c>
      <c r="J117"/>
      <c r="K117"/>
      <c r="L117"/>
      <c r="M117"/>
      <c r="N117"/>
      <c r="O117"/>
      <c r="P117"/>
      <c r="Q117"/>
      <c r="R117"/>
      <c r="S117"/>
      <c r="T117"/>
      <c r="U117"/>
      <c r="V117"/>
      <c r="W117"/>
      <c r="X117"/>
      <c r="Y117"/>
      <c r="Z117"/>
      <c r="AA117"/>
      <c r="AB117"/>
    </row>
    <row r="118" spans="1:28" s="749" customFormat="1" ht="24.95" customHeight="1" x14ac:dyDescent="0.35">
      <c r="A118" s="968">
        <v>46058</v>
      </c>
      <c r="B118" s="930" t="s">
        <v>281</v>
      </c>
      <c r="C118" s="925"/>
      <c r="D118" s="964" t="s">
        <v>282</v>
      </c>
      <c r="E118" s="964"/>
      <c r="F118" s="964"/>
      <c r="G118" s="964"/>
      <c r="H118" s="964" t="s">
        <v>750</v>
      </c>
      <c r="I118" s="965" t="s">
        <v>419</v>
      </c>
      <c r="J118"/>
      <c r="K118"/>
      <c r="L118"/>
      <c r="M118"/>
      <c r="N118"/>
      <c r="O118"/>
      <c r="P118"/>
      <c r="Q118"/>
      <c r="R118"/>
      <c r="S118"/>
      <c r="T118"/>
      <c r="U118"/>
      <c r="V118"/>
      <c r="W118"/>
      <c r="X118"/>
      <c r="Y118"/>
      <c r="Z118"/>
      <c r="AA118"/>
      <c r="AB118"/>
    </row>
    <row r="119" spans="1:28" s="749" customFormat="1" ht="24.95" customHeight="1" x14ac:dyDescent="0.35">
      <c r="A119" s="968">
        <v>46062</v>
      </c>
      <c r="B119" s="930" t="s">
        <v>281</v>
      </c>
      <c r="C119" s="925"/>
      <c r="D119" s="964" t="s">
        <v>282</v>
      </c>
      <c r="E119" s="964"/>
      <c r="F119" s="964"/>
      <c r="G119" s="964"/>
      <c r="H119" s="964" t="s">
        <v>751</v>
      </c>
      <c r="I119" s="965">
        <v>55111</v>
      </c>
      <c r="J119"/>
      <c r="K119"/>
      <c r="L119"/>
      <c r="M119"/>
      <c r="N119"/>
      <c r="O119"/>
      <c r="P119"/>
      <c r="Q119"/>
      <c r="R119"/>
      <c r="S119"/>
      <c r="T119"/>
      <c r="U119"/>
      <c r="V119"/>
      <c r="W119"/>
      <c r="X119"/>
      <c r="Y119"/>
      <c r="Z119"/>
      <c r="AA119"/>
      <c r="AB119"/>
    </row>
    <row r="120" spans="1:28" s="749" customFormat="1" ht="24.95" customHeight="1" x14ac:dyDescent="0.35">
      <c r="A120" s="968">
        <v>45772</v>
      </c>
      <c r="B120" s="930" t="s">
        <v>596</v>
      </c>
      <c r="C120" s="925"/>
      <c r="D120" s="964" t="s">
        <v>92</v>
      </c>
      <c r="E120" s="964"/>
      <c r="F120" s="964"/>
      <c r="G120" s="964"/>
      <c r="H120" s="964" t="s">
        <v>597</v>
      </c>
      <c r="I120" s="965">
        <v>142240</v>
      </c>
      <c r="J120"/>
      <c r="K120"/>
      <c r="L120"/>
      <c r="M120"/>
      <c r="N120"/>
      <c r="O120"/>
      <c r="P120"/>
      <c r="Q120"/>
      <c r="R120"/>
      <c r="S120"/>
      <c r="T120"/>
      <c r="U120"/>
      <c r="V120"/>
      <c r="W120"/>
      <c r="X120"/>
      <c r="Y120"/>
      <c r="Z120"/>
      <c r="AA120"/>
      <c r="AB120"/>
    </row>
    <row r="121" spans="1:28" s="749" customFormat="1" ht="24.95" customHeight="1" x14ac:dyDescent="0.35">
      <c r="A121" s="968">
        <v>45896</v>
      </c>
      <c r="B121" s="930" t="s">
        <v>619</v>
      </c>
      <c r="C121" s="925"/>
      <c r="D121" s="964" t="s">
        <v>221</v>
      </c>
      <c r="E121" s="964"/>
      <c r="F121" s="964"/>
      <c r="G121" s="964"/>
      <c r="H121" s="964" t="s">
        <v>620</v>
      </c>
      <c r="I121" s="965">
        <v>176994</v>
      </c>
      <c r="J121"/>
      <c r="K121"/>
      <c r="L121"/>
      <c r="M121"/>
      <c r="N121"/>
      <c r="O121"/>
      <c r="P121"/>
      <c r="Q121"/>
      <c r="R121"/>
      <c r="S121"/>
      <c r="T121"/>
      <c r="U121"/>
      <c r="V121"/>
      <c r="W121"/>
      <c r="X121"/>
      <c r="Y121"/>
      <c r="Z121"/>
      <c r="AA121"/>
      <c r="AB121"/>
    </row>
    <row r="122" spans="1:28" s="782" customFormat="1" ht="24.95" customHeight="1" x14ac:dyDescent="0.35">
      <c r="A122" s="968">
        <v>45897</v>
      </c>
      <c r="B122" s="930" t="s">
        <v>666</v>
      </c>
      <c r="C122" s="925"/>
      <c r="D122" s="964" t="s">
        <v>92</v>
      </c>
      <c r="E122" s="964"/>
      <c r="F122" s="964"/>
      <c r="G122" s="964"/>
      <c r="H122" s="964" t="s">
        <v>602</v>
      </c>
      <c r="I122" s="965">
        <v>3500</v>
      </c>
      <c r="J122"/>
      <c r="K122"/>
      <c r="L122"/>
      <c r="M122"/>
      <c r="N122"/>
      <c r="O122"/>
      <c r="P122"/>
      <c r="Q122"/>
      <c r="R122"/>
      <c r="S122"/>
      <c r="T122"/>
      <c r="U122"/>
      <c r="V122"/>
      <c r="W122"/>
      <c r="X122"/>
      <c r="Y122"/>
      <c r="Z122"/>
      <c r="AA122"/>
      <c r="AB122"/>
    </row>
    <row r="123" spans="1:28" s="782" customFormat="1" ht="24.95" customHeight="1" x14ac:dyDescent="0.35">
      <c r="A123" s="968">
        <v>45908</v>
      </c>
      <c r="B123" s="930" t="s">
        <v>614</v>
      </c>
      <c r="C123" s="925"/>
      <c r="D123" s="964" t="s">
        <v>92</v>
      </c>
      <c r="E123" s="964"/>
      <c r="F123" s="964"/>
      <c r="G123" s="964"/>
      <c r="H123" s="964" t="s">
        <v>615</v>
      </c>
      <c r="I123" s="965" t="s">
        <v>419</v>
      </c>
      <c r="J123"/>
      <c r="K123"/>
      <c r="L123"/>
      <c r="M123"/>
      <c r="N123"/>
      <c r="O123"/>
      <c r="P123"/>
      <c r="Q123"/>
      <c r="R123"/>
      <c r="S123"/>
      <c r="T123"/>
      <c r="U123"/>
      <c r="V123"/>
      <c r="W123"/>
      <c r="X123"/>
      <c r="Y123"/>
      <c r="Z123"/>
      <c r="AA123"/>
      <c r="AB123"/>
    </row>
    <row r="124" spans="1:28" s="782" customFormat="1" ht="24.95" customHeight="1" x14ac:dyDescent="0.35">
      <c r="A124" s="968">
        <v>45923</v>
      </c>
      <c r="B124" s="930" t="s">
        <v>614</v>
      </c>
      <c r="C124" s="925"/>
      <c r="D124" s="964" t="s">
        <v>92</v>
      </c>
      <c r="E124" s="964"/>
      <c r="F124" s="964"/>
      <c r="G124" s="964"/>
      <c r="H124" s="964" t="s">
        <v>626</v>
      </c>
      <c r="I124" s="965" t="s">
        <v>419</v>
      </c>
      <c r="J124"/>
      <c r="K124"/>
      <c r="L124"/>
      <c r="M124"/>
      <c r="N124"/>
      <c r="O124"/>
      <c r="P124"/>
      <c r="Q124"/>
      <c r="R124"/>
      <c r="S124"/>
      <c r="T124"/>
      <c r="U124"/>
      <c r="V124"/>
      <c r="W124"/>
      <c r="X124"/>
      <c r="Y124"/>
      <c r="Z124"/>
      <c r="AA124"/>
      <c r="AB124"/>
    </row>
    <row r="125" spans="1:28" s="782" customFormat="1" ht="24.95" customHeight="1" x14ac:dyDescent="0.35">
      <c r="A125" s="968">
        <v>45909</v>
      </c>
      <c r="B125" s="930" t="s">
        <v>617</v>
      </c>
      <c r="C125" s="925"/>
      <c r="D125" s="964" t="s">
        <v>92</v>
      </c>
      <c r="E125" s="964"/>
      <c r="F125" s="964"/>
      <c r="G125" s="964"/>
      <c r="H125" s="964" t="s">
        <v>618</v>
      </c>
      <c r="I125" s="965">
        <v>143995</v>
      </c>
      <c r="J125"/>
      <c r="K125"/>
      <c r="L125"/>
      <c r="M125"/>
      <c r="N125"/>
      <c r="O125"/>
      <c r="P125"/>
      <c r="Q125"/>
      <c r="R125"/>
      <c r="S125"/>
      <c r="T125"/>
      <c r="U125"/>
      <c r="V125"/>
      <c r="W125"/>
      <c r="X125"/>
      <c r="Y125"/>
      <c r="Z125"/>
      <c r="AA125"/>
      <c r="AB125"/>
    </row>
    <row r="126" spans="1:28" s="782" customFormat="1" ht="24.95" customHeight="1" x14ac:dyDescent="0.35">
      <c r="A126" s="968">
        <v>45911</v>
      </c>
      <c r="B126" s="930" t="s">
        <v>617</v>
      </c>
      <c r="C126" s="925"/>
      <c r="D126" s="964" t="s">
        <v>92</v>
      </c>
      <c r="E126" s="964"/>
      <c r="F126" s="964"/>
      <c r="G126" s="964"/>
      <c r="H126" s="964" t="s">
        <v>624</v>
      </c>
      <c r="I126" s="965">
        <v>5400</v>
      </c>
      <c r="J126"/>
      <c r="K126"/>
      <c r="L126"/>
      <c r="M126"/>
      <c r="N126"/>
      <c r="O126"/>
      <c r="P126"/>
      <c r="Q126"/>
      <c r="R126"/>
      <c r="S126"/>
      <c r="T126"/>
      <c r="U126"/>
      <c r="V126"/>
      <c r="W126"/>
      <c r="X126"/>
      <c r="Y126"/>
      <c r="Z126"/>
      <c r="AA126"/>
      <c r="AB126"/>
    </row>
    <row r="127" spans="1:28" s="941" customFormat="1" ht="24.95" customHeight="1" x14ac:dyDescent="0.35">
      <c r="A127" s="968">
        <v>45912</v>
      </c>
      <c r="B127" s="930" t="s">
        <v>617</v>
      </c>
      <c r="C127" s="925"/>
      <c r="D127" s="964" t="s">
        <v>92</v>
      </c>
      <c r="E127" s="964"/>
      <c r="F127" s="964"/>
      <c r="G127" s="964"/>
      <c r="H127" s="964" t="s">
        <v>625</v>
      </c>
      <c r="I127" s="965">
        <v>5400</v>
      </c>
      <c r="J127"/>
      <c r="K127"/>
      <c r="L127"/>
      <c r="M127"/>
      <c r="N127"/>
      <c r="O127"/>
      <c r="P127"/>
      <c r="Q127"/>
      <c r="R127"/>
      <c r="S127"/>
      <c r="T127"/>
      <c r="U127"/>
      <c r="V127"/>
      <c r="W127"/>
      <c r="X127"/>
      <c r="Y127"/>
      <c r="Z127"/>
      <c r="AA127"/>
      <c r="AB127"/>
    </row>
    <row r="128" spans="1:28" s="749" customFormat="1" ht="24.95" customHeight="1" x14ac:dyDescent="0.35">
      <c r="A128" s="968">
        <v>45929</v>
      </c>
      <c r="B128" s="930" t="s">
        <v>617</v>
      </c>
      <c r="C128" s="925"/>
      <c r="D128" s="964" t="s">
        <v>92</v>
      </c>
      <c r="E128" s="964"/>
      <c r="F128" s="964"/>
      <c r="G128" s="964"/>
      <c r="H128" s="964" t="s">
        <v>667</v>
      </c>
      <c r="I128" s="965">
        <v>180000</v>
      </c>
      <c r="J128"/>
      <c r="K128"/>
      <c r="L128"/>
      <c r="M128"/>
      <c r="N128"/>
      <c r="O128"/>
      <c r="P128"/>
      <c r="Q128"/>
      <c r="R128"/>
      <c r="S128"/>
      <c r="T128"/>
      <c r="U128"/>
      <c r="V128"/>
      <c r="W128"/>
      <c r="X128"/>
      <c r="Y128"/>
      <c r="Z128"/>
      <c r="AA128"/>
      <c r="AB128"/>
    </row>
    <row r="129" spans="1:28" s="749" customFormat="1" ht="24.95" customHeight="1" x14ac:dyDescent="0.35">
      <c r="A129" s="968">
        <v>46000</v>
      </c>
      <c r="B129" s="930" t="s">
        <v>617</v>
      </c>
      <c r="C129" s="925"/>
      <c r="D129" s="964" t="s">
        <v>92</v>
      </c>
      <c r="E129" s="964"/>
      <c r="F129" s="964"/>
      <c r="G129" s="964"/>
      <c r="H129" s="964" t="s">
        <v>698</v>
      </c>
      <c r="I129" s="965">
        <v>92000</v>
      </c>
      <c r="J129"/>
      <c r="K129"/>
      <c r="L129"/>
      <c r="M129"/>
      <c r="N129"/>
      <c r="O129"/>
      <c r="P129"/>
      <c r="Q129"/>
      <c r="R129"/>
      <c r="S129"/>
      <c r="T129"/>
      <c r="U129"/>
      <c r="V129"/>
      <c r="W129"/>
      <c r="X129"/>
      <c r="Y129"/>
      <c r="Z129"/>
      <c r="AA129"/>
      <c r="AB129"/>
    </row>
    <row r="130" spans="1:28" s="749" customFormat="1" ht="24.95" customHeight="1" x14ac:dyDescent="0.35">
      <c r="A130" s="968">
        <v>45663</v>
      </c>
      <c r="B130" s="930" t="s">
        <v>717</v>
      </c>
      <c r="C130" s="925"/>
      <c r="D130" s="964" t="s">
        <v>92</v>
      </c>
      <c r="E130" s="964"/>
      <c r="F130" s="964"/>
      <c r="G130" s="964"/>
      <c r="H130" s="964" t="s">
        <v>718</v>
      </c>
      <c r="I130" s="965" t="s">
        <v>419</v>
      </c>
      <c r="J130"/>
      <c r="K130"/>
      <c r="L130"/>
      <c r="M130"/>
      <c r="N130"/>
      <c r="O130"/>
      <c r="P130"/>
      <c r="Q130"/>
      <c r="R130"/>
      <c r="S130"/>
      <c r="T130"/>
      <c r="U130"/>
      <c r="V130"/>
      <c r="W130"/>
      <c r="X130"/>
      <c r="Y130"/>
      <c r="Z130"/>
      <c r="AA130"/>
      <c r="AB130"/>
    </row>
    <row r="131" spans="1:28" s="749" customFormat="1" ht="24.95" customHeight="1" x14ac:dyDescent="0.35">
      <c r="A131" s="968">
        <v>45944</v>
      </c>
      <c r="B131" s="930" t="s">
        <v>636</v>
      </c>
      <c r="C131" s="925"/>
      <c r="D131" s="964" t="s">
        <v>92</v>
      </c>
      <c r="E131" s="964"/>
      <c r="F131" s="964"/>
      <c r="G131" s="964"/>
      <c r="H131" s="964" t="s">
        <v>637</v>
      </c>
      <c r="I131" s="965">
        <v>79500</v>
      </c>
      <c r="J131"/>
      <c r="K131"/>
      <c r="L131"/>
      <c r="M131"/>
      <c r="N131"/>
      <c r="O131"/>
      <c r="P131"/>
      <c r="Q131"/>
      <c r="R131"/>
      <c r="S131"/>
      <c r="T131"/>
      <c r="U131"/>
      <c r="V131"/>
      <c r="W131"/>
      <c r="X131"/>
      <c r="Y131"/>
      <c r="Z131"/>
      <c r="AA131"/>
      <c r="AB131"/>
    </row>
    <row r="132" spans="1:28" s="749" customFormat="1" ht="24.95" customHeight="1" x14ac:dyDescent="0.35">
      <c r="A132" s="968">
        <v>45964</v>
      </c>
      <c r="B132" s="930" t="s">
        <v>669</v>
      </c>
      <c r="C132" s="925"/>
      <c r="D132" s="964" t="s">
        <v>282</v>
      </c>
      <c r="E132" s="964"/>
      <c r="F132" s="964"/>
      <c r="G132" s="964"/>
      <c r="H132" s="964" t="s">
        <v>670</v>
      </c>
      <c r="I132" s="965">
        <v>81575</v>
      </c>
      <c r="J132"/>
      <c r="K132"/>
      <c r="L132"/>
      <c r="M132"/>
      <c r="N132"/>
      <c r="O132"/>
      <c r="P132"/>
      <c r="Q132"/>
      <c r="R132"/>
      <c r="S132"/>
      <c r="T132"/>
      <c r="U132"/>
      <c r="V132"/>
      <c r="W132"/>
      <c r="X132"/>
      <c r="Y132"/>
      <c r="Z132"/>
      <c r="AA132"/>
      <c r="AB132"/>
    </row>
    <row r="133" spans="1:28" s="749" customFormat="1" ht="24.95" customHeight="1" x14ac:dyDescent="0.35">
      <c r="A133" s="968">
        <v>45978</v>
      </c>
      <c r="B133" s="930" t="s">
        <v>669</v>
      </c>
      <c r="C133" s="925"/>
      <c r="D133" s="964" t="s">
        <v>282</v>
      </c>
      <c r="E133" s="964"/>
      <c r="F133" s="964"/>
      <c r="G133" s="964"/>
      <c r="H133" s="964" t="s">
        <v>493</v>
      </c>
      <c r="I133" s="965">
        <v>134000</v>
      </c>
      <c r="J133"/>
      <c r="K133"/>
      <c r="L133"/>
      <c r="M133"/>
      <c r="N133"/>
      <c r="O133"/>
      <c r="P133"/>
      <c r="Q133"/>
      <c r="R133"/>
      <c r="S133"/>
      <c r="T133"/>
      <c r="U133"/>
      <c r="V133"/>
      <c r="W133"/>
      <c r="X133"/>
      <c r="Y133"/>
      <c r="Z133"/>
      <c r="AA133"/>
      <c r="AB133"/>
    </row>
    <row r="134" spans="1:28" s="749" customFormat="1" ht="24.95" customHeight="1" x14ac:dyDescent="0.35">
      <c r="A134" s="968">
        <v>45965</v>
      </c>
      <c r="B134" s="930" t="s">
        <v>673</v>
      </c>
      <c r="C134" s="925"/>
      <c r="D134" s="964" t="s">
        <v>90</v>
      </c>
      <c r="E134" s="964"/>
      <c r="F134" s="964" t="s">
        <v>733</v>
      </c>
      <c r="G134" s="964"/>
      <c r="H134" s="964" t="s">
        <v>685</v>
      </c>
      <c r="I134" s="965">
        <v>596000</v>
      </c>
      <c r="J134"/>
      <c r="K134"/>
      <c r="L134"/>
      <c r="M134"/>
      <c r="N134"/>
      <c r="O134"/>
      <c r="P134"/>
      <c r="Q134"/>
      <c r="R134"/>
      <c r="S134"/>
      <c r="T134"/>
      <c r="U134"/>
      <c r="V134"/>
      <c r="W134"/>
      <c r="X134"/>
      <c r="Y134"/>
      <c r="Z134"/>
      <c r="AA134"/>
      <c r="AB134"/>
    </row>
    <row r="135" spans="1:28" s="749" customFormat="1" ht="24.95" customHeight="1" x14ac:dyDescent="0.35">
      <c r="A135" s="968">
        <v>45981</v>
      </c>
      <c r="B135" s="930" t="s">
        <v>683</v>
      </c>
      <c r="C135" s="925"/>
      <c r="D135" s="964" t="s">
        <v>92</v>
      </c>
      <c r="E135" s="964"/>
      <c r="F135" s="964"/>
      <c r="G135" s="964"/>
      <c r="H135" s="964" t="s">
        <v>684</v>
      </c>
      <c r="I135" s="965">
        <v>72550</v>
      </c>
      <c r="J135"/>
      <c r="K135"/>
      <c r="L135"/>
      <c r="M135"/>
      <c r="N135"/>
      <c r="O135"/>
      <c r="P135"/>
      <c r="Q135"/>
      <c r="R135"/>
      <c r="S135"/>
      <c r="T135"/>
      <c r="U135"/>
      <c r="V135"/>
      <c r="W135"/>
      <c r="X135"/>
      <c r="Y135"/>
      <c r="Z135"/>
      <c r="AA135"/>
      <c r="AB135"/>
    </row>
    <row r="136" spans="1:28" s="749" customFormat="1" ht="24.95" customHeight="1" x14ac:dyDescent="0.35">
      <c r="A136" s="968">
        <v>46006</v>
      </c>
      <c r="B136" s="930" t="s">
        <v>683</v>
      </c>
      <c r="C136" s="925"/>
      <c r="D136" s="964" t="s">
        <v>92</v>
      </c>
      <c r="E136" s="964"/>
      <c r="F136" s="964"/>
      <c r="G136" s="964"/>
      <c r="H136" s="964" t="s">
        <v>709</v>
      </c>
      <c r="I136" s="965">
        <v>72550</v>
      </c>
      <c r="J136"/>
      <c r="K136"/>
      <c r="L136"/>
      <c r="M136"/>
      <c r="N136"/>
      <c r="O136"/>
      <c r="P136"/>
      <c r="Q136"/>
      <c r="R136"/>
      <c r="S136"/>
      <c r="T136"/>
      <c r="U136"/>
      <c r="V136"/>
      <c r="W136"/>
      <c r="X136"/>
      <c r="Y136"/>
      <c r="Z136"/>
      <c r="AA136"/>
      <c r="AB136"/>
    </row>
    <row r="137" spans="1:28" s="749" customFormat="1" ht="24.95" customHeight="1" x14ac:dyDescent="0.35">
      <c r="A137" s="968">
        <v>45985</v>
      </c>
      <c r="B137" s="930" t="s">
        <v>681</v>
      </c>
      <c r="C137" s="925"/>
      <c r="D137" s="964" t="s">
        <v>92</v>
      </c>
      <c r="E137" s="964"/>
      <c r="F137" s="964"/>
      <c r="G137" s="964"/>
      <c r="H137" s="964" t="s">
        <v>682</v>
      </c>
      <c r="I137" s="965">
        <v>1850000</v>
      </c>
      <c r="J137"/>
      <c r="K137"/>
      <c r="L137"/>
      <c r="M137"/>
      <c r="N137"/>
      <c r="O137"/>
      <c r="P137"/>
      <c r="Q137"/>
      <c r="R137"/>
      <c r="S137"/>
      <c r="T137"/>
      <c r="U137"/>
      <c r="V137"/>
      <c r="W137"/>
      <c r="X137"/>
      <c r="Y137"/>
      <c r="Z137"/>
      <c r="AA137"/>
      <c r="AB137"/>
    </row>
    <row r="138" spans="1:28" s="749" customFormat="1" ht="24.95" customHeight="1" x14ac:dyDescent="0.35">
      <c r="A138" s="968">
        <v>45986</v>
      </c>
      <c r="B138" s="930" t="s">
        <v>686</v>
      </c>
      <c r="C138" s="925"/>
      <c r="D138" s="964" t="s">
        <v>90</v>
      </c>
      <c r="E138" s="964"/>
      <c r="F138" s="964" t="s">
        <v>732</v>
      </c>
      <c r="G138" s="964"/>
      <c r="H138" s="964" t="s">
        <v>687</v>
      </c>
      <c r="I138" s="965">
        <v>2430000</v>
      </c>
      <c r="J138"/>
      <c r="K138"/>
      <c r="L138"/>
      <c r="M138"/>
      <c r="N138"/>
      <c r="O138"/>
      <c r="P138"/>
      <c r="Q138"/>
      <c r="R138"/>
      <c r="S138"/>
      <c r="T138"/>
      <c r="U138"/>
      <c r="V138"/>
      <c r="W138"/>
      <c r="X138"/>
      <c r="Y138"/>
      <c r="Z138"/>
      <c r="AA138"/>
      <c r="AB138"/>
    </row>
    <row r="139" spans="1:28" s="749" customFormat="1" ht="24.95" customHeight="1" x14ac:dyDescent="0.35">
      <c r="A139" s="968">
        <v>46042</v>
      </c>
      <c r="B139" s="930" t="s">
        <v>686</v>
      </c>
      <c r="C139" s="925"/>
      <c r="D139" s="964" t="s">
        <v>90</v>
      </c>
      <c r="E139" s="964"/>
      <c r="F139" s="964" t="s">
        <v>732</v>
      </c>
      <c r="G139" s="964"/>
      <c r="H139" s="964" t="s">
        <v>725</v>
      </c>
      <c r="I139" s="965">
        <v>1580000</v>
      </c>
      <c r="J139"/>
      <c r="K139"/>
      <c r="L139"/>
      <c r="M139"/>
      <c r="N139"/>
      <c r="O139"/>
      <c r="P139"/>
      <c r="Q139"/>
      <c r="R139"/>
      <c r="S139"/>
      <c r="T139"/>
      <c r="U139"/>
      <c r="V139"/>
      <c r="W139"/>
      <c r="X139"/>
      <c r="Y139"/>
      <c r="Z139"/>
      <c r="AA139"/>
      <c r="AB139"/>
    </row>
    <row r="140" spans="1:28" s="749" customFormat="1" ht="24.95" customHeight="1" x14ac:dyDescent="0.35">
      <c r="A140" s="968">
        <v>45989</v>
      </c>
      <c r="B140" s="930" t="s">
        <v>690</v>
      </c>
      <c r="C140" s="925"/>
      <c r="D140" s="964" t="s">
        <v>90</v>
      </c>
      <c r="E140" s="964"/>
      <c r="F140" s="964"/>
      <c r="G140" s="964"/>
      <c r="H140" s="964" t="s">
        <v>691</v>
      </c>
      <c r="I140" s="965">
        <v>5935</v>
      </c>
      <c r="J140"/>
      <c r="K140"/>
      <c r="L140"/>
      <c r="M140"/>
      <c r="N140"/>
      <c r="O140"/>
      <c r="P140"/>
      <c r="Q140"/>
      <c r="R140"/>
      <c r="S140"/>
      <c r="T140"/>
      <c r="U140"/>
      <c r="V140"/>
      <c r="W140"/>
      <c r="X140"/>
      <c r="Y140"/>
      <c r="Z140"/>
      <c r="AA140"/>
      <c r="AB140"/>
    </row>
    <row r="141" spans="1:28" s="749" customFormat="1" ht="24.95" customHeight="1" x14ac:dyDescent="0.35">
      <c r="A141" s="968">
        <v>45965</v>
      </c>
      <c r="B141" s="930" t="s">
        <v>695</v>
      </c>
      <c r="C141" s="925"/>
      <c r="D141" s="964" t="s">
        <v>90</v>
      </c>
      <c r="E141" s="964"/>
      <c r="F141" s="964"/>
      <c r="G141" s="964"/>
      <c r="H141" s="964" t="s">
        <v>696</v>
      </c>
      <c r="I141" s="965" t="s">
        <v>419</v>
      </c>
      <c r="J141"/>
      <c r="K141"/>
      <c r="L141"/>
      <c r="M141"/>
      <c r="N141"/>
      <c r="O141"/>
      <c r="P141"/>
      <c r="Q141"/>
      <c r="R141"/>
      <c r="S141"/>
      <c r="T141"/>
      <c r="U141"/>
      <c r="V141"/>
      <c r="W141"/>
      <c r="X141"/>
      <c r="Y141"/>
      <c r="Z141"/>
      <c r="AA141"/>
      <c r="AB141"/>
    </row>
    <row r="142" spans="1:28" s="749" customFormat="1" ht="24.95" customHeight="1" x14ac:dyDescent="0.35">
      <c r="A142" s="968">
        <v>45995</v>
      </c>
      <c r="B142" s="930" t="s">
        <v>699</v>
      </c>
      <c r="C142" s="925"/>
      <c r="D142" s="964" t="s">
        <v>90</v>
      </c>
      <c r="E142" s="964"/>
      <c r="F142" s="964"/>
      <c r="G142" s="964"/>
      <c r="H142" s="964" t="s">
        <v>700</v>
      </c>
      <c r="I142" s="965" t="s">
        <v>419</v>
      </c>
      <c r="J142"/>
      <c r="K142"/>
      <c r="L142"/>
      <c r="M142"/>
      <c r="N142"/>
      <c r="O142"/>
      <c r="P142"/>
      <c r="Q142"/>
      <c r="R142"/>
      <c r="S142"/>
      <c r="T142"/>
      <c r="U142"/>
      <c r="V142"/>
      <c r="W142"/>
      <c r="X142"/>
      <c r="Y142"/>
      <c r="Z142"/>
      <c r="AA142"/>
      <c r="AB142"/>
    </row>
    <row r="143" spans="1:28" s="749" customFormat="1" ht="24.95" customHeight="1" x14ac:dyDescent="0.35">
      <c r="A143" s="968" t="s">
        <v>705</v>
      </c>
      <c r="B143" s="930" t="s">
        <v>485</v>
      </c>
      <c r="C143" s="925"/>
      <c r="D143" s="964" t="s">
        <v>282</v>
      </c>
      <c r="E143" s="964"/>
      <c r="F143" s="964" t="s">
        <v>734</v>
      </c>
      <c r="G143" s="964"/>
      <c r="H143" s="964" t="s">
        <v>706</v>
      </c>
      <c r="I143" s="965">
        <v>18800</v>
      </c>
      <c r="J143"/>
      <c r="K143"/>
      <c r="L143"/>
      <c r="M143"/>
      <c r="N143"/>
      <c r="O143"/>
      <c r="P143"/>
      <c r="Q143"/>
      <c r="R143"/>
      <c r="S143"/>
      <c r="T143"/>
      <c r="U143"/>
      <c r="V143"/>
      <c r="W143"/>
      <c r="X143"/>
      <c r="Y143"/>
      <c r="Z143"/>
      <c r="AA143"/>
      <c r="AB143"/>
    </row>
    <row r="144" spans="1:28" s="749" customFormat="1" ht="24.95" customHeight="1" x14ac:dyDescent="0.35">
      <c r="A144" s="968">
        <v>46008</v>
      </c>
      <c r="B144" s="930" t="s">
        <v>485</v>
      </c>
      <c r="C144" s="925"/>
      <c r="D144" s="964" t="s">
        <v>282</v>
      </c>
      <c r="E144" s="964"/>
      <c r="F144" s="964" t="s">
        <v>735</v>
      </c>
      <c r="G144" s="964"/>
      <c r="H144" s="964" t="s">
        <v>710</v>
      </c>
      <c r="I144" s="965">
        <v>23868</v>
      </c>
      <c r="J144"/>
      <c r="K144"/>
      <c r="L144"/>
      <c r="M144"/>
      <c r="N144"/>
      <c r="O144"/>
      <c r="P144"/>
      <c r="Q144"/>
      <c r="R144"/>
      <c r="S144"/>
      <c r="T144"/>
      <c r="U144"/>
      <c r="V144"/>
      <c r="W144"/>
      <c r="X144"/>
      <c r="Y144"/>
      <c r="Z144"/>
      <c r="AA144"/>
      <c r="AB144"/>
    </row>
    <row r="145" spans="1:28" s="749" customFormat="1" ht="24.95" customHeight="1" x14ac:dyDescent="0.35">
      <c r="A145" s="968">
        <v>46051</v>
      </c>
      <c r="B145" s="930" t="s">
        <v>744</v>
      </c>
      <c r="C145" s="925"/>
      <c r="D145" s="964" t="s">
        <v>282</v>
      </c>
      <c r="E145" s="964"/>
      <c r="F145" s="964"/>
      <c r="G145" s="964"/>
      <c r="H145" s="964" t="s">
        <v>745</v>
      </c>
      <c r="I145" s="965">
        <v>23868</v>
      </c>
      <c r="J145"/>
      <c r="K145"/>
      <c r="L145"/>
      <c r="M145"/>
      <c r="N145"/>
      <c r="O145"/>
      <c r="P145"/>
      <c r="Q145"/>
      <c r="R145"/>
      <c r="S145"/>
      <c r="T145"/>
      <c r="U145"/>
      <c r="V145"/>
      <c r="W145"/>
      <c r="X145"/>
      <c r="Y145"/>
      <c r="Z145"/>
      <c r="AA145"/>
      <c r="AB145"/>
    </row>
    <row r="146" spans="1:28" s="749" customFormat="1" ht="24.95" customHeight="1" x14ac:dyDescent="0.35">
      <c r="A146" s="968" t="s">
        <v>421</v>
      </c>
      <c r="B146" s="930" t="s">
        <v>711</v>
      </c>
      <c r="C146" s="925"/>
      <c r="D146" s="964" t="s">
        <v>92</v>
      </c>
      <c r="E146" s="964"/>
      <c r="F146" s="964"/>
      <c r="G146" s="964"/>
      <c r="H146" s="964" t="s">
        <v>712</v>
      </c>
      <c r="I146" s="965" t="s">
        <v>419</v>
      </c>
      <c r="J146"/>
      <c r="K146"/>
      <c r="L146"/>
      <c r="M146"/>
      <c r="N146"/>
      <c r="O146"/>
      <c r="P146"/>
      <c r="Q146"/>
      <c r="R146"/>
      <c r="S146"/>
      <c r="T146"/>
      <c r="U146"/>
      <c r="V146"/>
      <c r="W146"/>
      <c r="X146"/>
      <c r="Y146"/>
      <c r="Z146"/>
      <c r="AA146"/>
      <c r="AB146"/>
    </row>
    <row r="147" spans="1:28" s="749" customFormat="1" ht="24.95" customHeight="1" x14ac:dyDescent="0.35">
      <c r="A147" s="968">
        <v>46013</v>
      </c>
      <c r="B147" s="930" t="s">
        <v>713</v>
      </c>
      <c r="C147" s="925"/>
      <c r="D147" s="964" t="s">
        <v>282</v>
      </c>
      <c r="E147" s="964"/>
      <c r="F147" s="964"/>
      <c r="G147" s="964"/>
      <c r="H147" s="964" t="s">
        <v>714</v>
      </c>
      <c r="I147" s="965">
        <v>39420</v>
      </c>
      <c r="J147" t="s">
        <v>478</v>
      </c>
      <c r="K147"/>
      <c r="L147"/>
      <c r="M147"/>
      <c r="N147"/>
      <c r="O147"/>
      <c r="P147"/>
      <c r="Q147"/>
      <c r="R147"/>
      <c r="S147"/>
      <c r="T147"/>
      <c r="U147"/>
      <c r="V147"/>
      <c r="W147"/>
      <c r="X147"/>
      <c r="Y147"/>
      <c r="Z147"/>
      <c r="AA147"/>
      <c r="AB147"/>
    </row>
    <row r="148" spans="1:28" s="749" customFormat="1" ht="24.95" customHeight="1" x14ac:dyDescent="0.35">
      <c r="A148" s="968">
        <v>45662</v>
      </c>
      <c r="B148" s="930" t="s">
        <v>683</v>
      </c>
      <c r="C148" s="925"/>
      <c r="D148" s="964" t="s">
        <v>92</v>
      </c>
      <c r="E148" s="964"/>
      <c r="F148" s="964"/>
      <c r="G148" s="964"/>
      <c r="H148" s="964" t="s">
        <v>719</v>
      </c>
      <c r="I148" s="965">
        <v>3500</v>
      </c>
      <c r="J148"/>
      <c r="K148"/>
      <c r="L148"/>
      <c r="M148"/>
      <c r="N148"/>
      <c r="O148"/>
      <c r="P148"/>
      <c r="Q148"/>
      <c r="R148"/>
      <c r="S148"/>
      <c r="T148"/>
      <c r="U148"/>
      <c r="V148"/>
      <c r="W148"/>
      <c r="X148"/>
      <c r="Y148"/>
      <c r="Z148"/>
      <c r="AA148"/>
      <c r="AB148"/>
    </row>
    <row r="149" spans="1:28" s="749" customFormat="1" ht="24.95" customHeight="1" x14ac:dyDescent="0.35">
      <c r="A149" s="968">
        <v>45662</v>
      </c>
      <c r="B149" s="930" t="s">
        <v>683</v>
      </c>
      <c r="C149" s="925"/>
      <c r="D149" s="964" t="s">
        <v>92</v>
      </c>
      <c r="E149" s="964"/>
      <c r="F149" s="964"/>
      <c r="G149" s="964"/>
      <c r="H149" s="964" t="s">
        <v>720</v>
      </c>
      <c r="I149" s="965">
        <v>3500</v>
      </c>
      <c r="J149"/>
      <c r="K149"/>
      <c r="L149"/>
      <c r="M149"/>
      <c r="N149"/>
      <c r="O149"/>
      <c r="P149"/>
      <c r="Q149"/>
      <c r="R149"/>
      <c r="S149"/>
      <c r="T149"/>
      <c r="U149"/>
      <c r="V149"/>
      <c r="W149"/>
      <c r="X149"/>
      <c r="Y149"/>
      <c r="Z149"/>
      <c r="AA149"/>
      <c r="AB149"/>
    </row>
    <row r="150" spans="1:28" s="749" customFormat="1" ht="24.95" customHeight="1" x14ac:dyDescent="0.35">
      <c r="A150" s="968">
        <v>46041</v>
      </c>
      <c r="B150" s="930" t="s">
        <v>417</v>
      </c>
      <c r="C150" s="925"/>
      <c r="D150" s="964" t="s">
        <v>90</v>
      </c>
      <c r="E150" s="964"/>
      <c r="F150" s="964"/>
      <c r="G150" s="964"/>
      <c r="H150" s="964" t="s">
        <v>724</v>
      </c>
      <c r="I150" s="965" t="s">
        <v>419</v>
      </c>
      <c r="J150"/>
      <c r="K150"/>
      <c r="L150"/>
      <c r="M150"/>
      <c r="N150"/>
      <c r="O150"/>
      <c r="P150"/>
      <c r="Q150"/>
      <c r="R150"/>
      <c r="S150"/>
      <c r="T150"/>
      <c r="U150"/>
      <c r="V150"/>
      <c r="W150"/>
      <c r="X150"/>
      <c r="Y150"/>
      <c r="Z150"/>
      <c r="AA150"/>
      <c r="AB150"/>
    </row>
    <row r="151" spans="1:28" s="749" customFormat="1" ht="24.95" customHeight="1" x14ac:dyDescent="0.35">
      <c r="A151" s="968">
        <v>46042</v>
      </c>
      <c r="B151" s="930" t="s">
        <v>730</v>
      </c>
      <c r="C151" s="925"/>
      <c r="D151" s="964" t="s">
        <v>90</v>
      </c>
      <c r="E151" s="964"/>
      <c r="F151" s="964"/>
      <c r="G151" s="964"/>
      <c r="H151" s="964" t="s">
        <v>731</v>
      </c>
      <c r="I151" s="965" t="s">
        <v>419</v>
      </c>
      <c r="J151"/>
      <c r="K151"/>
      <c r="L151"/>
      <c r="M151"/>
      <c r="N151"/>
      <c r="O151"/>
      <c r="P151"/>
      <c r="Q151"/>
      <c r="R151"/>
      <c r="S151"/>
      <c r="T151"/>
      <c r="U151"/>
      <c r="V151"/>
      <c r="W151"/>
      <c r="X151"/>
      <c r="Y151"/>
      <c r="Z151"/>
      <c r="AA151"/>
      <c r="AB151"/>
    </row>
    <row r="152" spans="1:28" s="749" customFormat="1" ht="24.95" customHeight="1" x14ac:dyDescent="0.35">
      <c r="A152" s="968">
        <v>46048</v>
      </c>
      <c r="B152" s="930" t="s">
        <v>155</v>
      </c>
      <c r="C152" s="925"/>
      <c r="D152" s="964" t="s">
        <v>94</v>
      </c>
      <c r="E152" s="964"/>
      <c r="F152" s="964"/>
      <c r="G152" s="964"/>
      <c r="H152" s="964" t="s">
        <v>736</v>
      </c>
      <c r="I152" s="965">
        <v>922260</v>
      </c>
      <c r="J152"/>
      <c r="K152"/>
      <c r="L152"/>
      <c r="M152"/>
      <c r="N152"/>
      <c r="O152"/>
      <c r="P152"/>
      <c r="Q152"/>
      <c r="R152"/>
      <c r="S152"/>
      <c r="T152"/>
      <c r="U152"/>
      <c r="V152"/>
      <c r="W152"/>
      <c r="X152"/>
      <c r="Y152"/>
      <c r="Z152"/>
      <c r="AA152"/>
      <c r="AB152"/>
    </row>
    <row r="153" spans="1:28" s="749" customFormat="1" ht="24.95" customHeight="1" x14ac:dyDescent="0.35">
      <c r="A153" s="968">
        <v>46051</v>
      </c>
      <c r="B153" s="930" t="s">
        <v>741</v>
      </c>
      <c r="C153" s="925"/>
      <c r="D153" s="964" t="s">
        <v>92</v>
      </c>
      <c r="E153" s="964"/>
      <c r="F153" s="964"/>
      <c r="G153" s="964"/>
      <c r="H153" s="964" t="s">
        <v>742</v>
      </c>
      <c r="I153" s="965" t="s">
        <v>419</v>
      </c>
      <c r="J153"/>
      <c r="K153"/>
      <c r="L153"/>
      <c r="M153"/>
      <c r="N153"/>
      <c r="O153"/>
      <c r="P153"/>
      <c r="Q153"/>
      <c r="R153"/>
      <c r="S153"/>
      <c r="T153"/>
      <c r="U153"/>
      <c r="V153"/>
      <c r="W153"/>
      <c r="X153"/>
      <c r="Y153"/>
      <c r="Z153"/>
      <c r="AA153"/>
      <c r="AB153"/>
    </row>
    <row r="154" spans="1:28" s="749" customFormat="1" ht="24.95" customHeight="1" x14ac:dyDescent="0.35">
      <c r="A154" s="968">
        <v>46051</v>
      </c>
      <c r="B154" s="930" t="s">
        <v>741</v>
      </c>
      <c r="C154" s="925"/>
      <c r="D154" s="964" t="s">
        <v>92</v>
      </c>
      <c r="E154" s="964"/>
      <c r="F154" s="964"/>
      <c r="G154" s="964"/>
      <c r="H154" s="964" t="s">
        <v>743</v>
      </c>
      <c r="I154" s="965" t="s">
        <v>419</v>
      </c>
      <c r="J154"/>
      <c r="K154"/>
      <c r="L154"/>
      <c r="M154"/>
      <c r="N154"/>
      <c r="O154"/>
      <c r="P154"/>
      <c r="Q154"/>
      <c r="R154"/>
      <c r="S154"/>
      <c r="T154"/>
      <c r="U154"/>
      <c r="V154"/>
      <c r="W154"/>
      <c r="X154"/>
      <c r="Y154"/>
      <c r="Z154"/>
      <c r="AA154"/>
      <c r="AB154"/>
    </row>
    <row r="155" spans="1:28" s="749" customFormat="1" ht="24.95" customHeight="1" x14ac:dyDescent="0.35">
      <c r="A155" s="968">
        <v>46051</v>
      </c>
      <c r="B155" s="930" t="s">
        <v>446</v>
      </c>
      <c r="C155" s="925"/>
      <c r="D155" s="964" t="s">
        <v>90</v>
      </c>
      <c r="E155" s="964"/>
      <c r="F155" s="964"/>
      <c r="G155" s="964"/>
      <c r="H155" s="964" t="s">
        <v>747</v>
      </c>
      <c r="I155" s="965">
        <v>830000</v>
      </c>
      <c r="J155"/>
      <c r="K155"/>
      <c r="L155"/>
      <c r="M155"/>
      <c r="N155"/>
      <c r="O155"/>
      <c r="P155"/>
      <c r="Q155"/>
      <c r="R155"/>
      <c r="S155"/>
      <c r="T155"/>
      <c r="U155"/>
      <c r="V155"/>
      <c r="W155"/>
      <c r="X155"/>
      <c r="Y155"/>
      <c r="Z155"/>
      <c r="AA155"/>
      <c r="AB155"/>
    </row>
    <row r="156" spans="1:28" s="889" customFormat="1" ht="24.95" customHeight="1" x14ac:dyDescent="0.35">
      <c r="A156" s="939"/>
      <c r="B156" s="984" t="s">
        <v>7</v>
      </c>
      <c r="C156" s="700"/>
      <c r="D156" s="612" t="s">
        <v>140</v>
      </c>
      <c r="E156" s="612"/>
      <c r="F156" s="700"/>
      <c r="G156" s="700"/>
      <c r="H156" s="614"/>
      <c r="I156" s="891">
        <f>SUM(I7:I154)</f>
        <v>30172719.090000004</v>
      </c>
      <c r="J156"/>
      <c r="K156"/>
      <c r="L156"/>
      <c r="M156"/>
      <c r="N156"/>
      <c r="O156"/>
      <c r="P156"/>
      <c r="Q156"/>
      <c r="R156"/>
      <c r="S156"/>
      <c r="T156"/>
      <c r="U156"/>
      <c r="V156"/>
      <c r="W156"/>
      <c r="X156"/>
      <c r="Y156"/>
      <c r="Z156"/>
      <c r="AA156"/>
      <c r="AB156"/>
    </row>
    <row r="157" spans="1:28" ht="24.95" customHeight="1" x14ac:dyDescent="0.35">
      <c r="A157" s="940" t="s">
        <v>64</v>
      </c>
      <c r="G157" s="658" t="s">
        <v>64</v>
      </c>
    </row>
    <row r="158" spans="1:28" ht="24.95" customHeight="1" x14ac:dyDescent="0.35"/>
    <row r="159" spans="1:28" ht="24.95" customHeight="1" x14ac:dyDescent="0.35">
      <c r="F159" s="524" t="s">
        <v>486</v>
      </c>
    </row>
    <row r="160" spans="1:28" ht="24.95" customHeight="1" x14ac:dyDescent="0.35">
      <c r="G160" s="658" t="s">
        <v>64</v>
      </c>
    </row>
    <row r="161" spans="4:9" ht="23.25" customHeight="1" x14ac:dyDescent="0.35">
      <c r="D161" s="524"/>
      <c r="E161" s="524"/>
      <c r="H161" s="524"/>
      <c r="I161" s="524"/>
    </row>
    <row r="162" spans="4:9" ht="24.95" customHeight="1" x14ac:dyDescent="0.35"/>
    <row r="163" spans="4:9" ht="24.95" customHeight="1" x14ac:dyDescent="0.35"/>
    <row r="164" spans="4:9" ht="24.95" customHeight="1" x14ac:dyDescent="0.35"/>
    <row r="165" spans="4:9" ht="24.95" customHeight="1" x14ac:dyDescent="0.35"/>
    <row r="166" spans="4:9" ht="24.95" customHeight="1" x14ac:dyDescent="0.35"/>
    <row r="167" spans="4:9" ht="24.95" customHeight="1" x14ac:dyDescent="0.35"/>
    <row r="168" spans="4:9" ht="24.95" customHeight="1" x14ac:dyDescent="0.35"/>
    <row r="169" spans="4:9" ht="24.95" customHeight="1" x14ac:dyDescent="0.35"/>
    <row r="170" spans="4:9" ht="24.95" customHeight="1" x14ac:dyDescent="0.35"/>
    <row r="171" spans="4:9" ht="24.95" customHeight="1" x14ac:dyDescent="0.35"/>
    <row r="172" spans="4:9" ht="24.95" customHeight="1" x14ac:dyDescent="0.35"/>
    <row r="173" spans="4:9" ht="24.95" customHeight="1" x14ac:dyDescent="0.35"/>
    <row r="174" spans="4:9" ht="24.95" customHeight="1" x14ac:dyDescent="0.35"/>
  </sheetData>
  <autoFilter ref="A6:I157"/>
  <pageMargins left="0.70866141732283472" right="0.70866141732283472" top="0.74803149606299213" bottom="0.74803149606299213" header="0.31496062992125984" footer="0.31496062992125984"/>
  <pageSetup paperSize="9" scale="60" fitToWidth="0"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3"/>
  <sheetViews>
    <sheetView workbookViewId="0">
      <selection activeCell="A5" sqref="A5"/>
    </sheetView>
  </sheetViews>
  <sheetFormatPr defaultColWidth="23.85546875" defaultRowHeight="23.25" x14ac:dyDescent="0.35"/>
  <cols>
    <col min="1" max="1" width="23.85546875" style="940"/>
    <col min="2" max="2" width="56.28515625" style="657" customWidth="1"/>
    <col min="3" max="3" width="20.14062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805</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739</v>
      </c>
      <c r="D6" s="547" t="s">
        <v>89</v>
      </c>
      <c r="E6" s="547" t="s">
        <v>104</v>
      </c>
      <c r="F6" s="546" t="s">
        <v>646</v>
      </c>
      <c r="G6" s="546" t="s">
        <v>3</v>
      </c>
      <c r="H6" s="546" t="s">
        <v>4</v>
      </c>
      <c r="I6" s="550" t="s">
        <v>11</v>
      </c>
      <c r="J6"/>
      <c r="K6"/>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c r="K7"/>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c r="K8"/>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c r="K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c r="K10"/>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c r="K11"/>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c r="K12"/>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c r="K13"/>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c r="K14"/>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c r="K15"/>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c r="K16"/>
      <c r="L16"/>
      <c r="M16"/>
      <c r="N16"/>
      <c r="O16"/>
      <c r="P16"/>
      <c r="Q16"/>
      <c r="R16"/>
      <c r="S16"/>
      <c r="T16"/>
      <c r="U16"/>
      <c r="V16"/>
      <c r="W16"/>
      <c r="X16"/>
      <c r="Y16"/>
      <c r="Z16"/>
      <c r="AA16"/>
      <c r="AB16"/>
    </row>
    <row r="17" spans="1:28" s="775" customFormat="1" ht="24.95" customHeight="1" x14ac:dyDescent="0.35">
      <c r="A17" s="968">
        <v>45875</v>
      </c>
      <c r="B17" s="930" t="s">
        <v>43</v>
      </c>
      <c r="C17" s="925"/>
      <c r="D17" s="964" t="s">
        <v>90</v>
      </c>
      <c r="E17" s="964"/>
      <c r="F17" s="964"/>
      <c r="G17" s="925"/>
      <c r="H17" s="964" t="s">
        <v>586</v>
      </c>
      <c r="I17" s="965" t="s">
        <v>419</v>
      </c>
      <c r="J17"/>
      <c r="K17"/>
      <c r="L17"/>
      <c r="M17"/>
      <c r="N17"/>
      <c r="O17"/>
      <c r="P17"/>
      <c r="Q17"/>
      <c r="R17"/>
      <c r="S17"/>
      <c r="T17"/>
      <c r="U17"/>
      <c r="V17"/>
      <c r="W17"/>
      <c r="X17"/>
      <c r="Y17"/>
      <c r="Z17"/>
      <c r="AA17"/>
      <c r="AB17"/>
    </row>
    <row r="18" spans="1:28" s="775" customFormat="1" ht="24.95" customHeight="1" x14ac:dyDescent="0.35">
      <c r="A18" s="968" t="s">
        <v>421</v>
      </c>
      <c r="B18" s="930" t="s">
        <v>43</v>
      </c>
      <c r="C18" s="925"/>
      <c r="D18" s="964" t="s">
        <v>90</v>
      </c>
      <c r="E18" s="964"/>
      <c r="F18" s="964"/>
      <c r="G18" s="925"/>
      <c r="H18" s="964" t="s">
        <v>600</v>
      </c>
      <c r="I18" s="965">
        <v>250952.38</v>
      </c>
      <c r="J18"/>
      <c r="K18"/>
      <c r="L18"/>
      <c r="M18"/>
      <c r="N18"/>
      <c r="O18"/>
      <c r="P18"/>
      <c r="Q18"/>
      <c r="R18"/>
      <c r="S18"/>
      <c r="T18"/>
      <c r="U18"/>
      <c r="V18"/>
      <c r="W18"/>
      <c r="X18"/>
      <c r="Y18"/>
      <c r="Z18"/>
      <c r="AA18"/>
      <c r="AB18"/>
    </row>
    <row r="19" spans="1:28" s="775" customFormat="1" ht="24.95" customHeight="1" x14ac:dyDescent="0.35">
      <c r="A19" s="968">
        <v>46076</v>
      </c>
      <c r="B19" s="930" t="s">
        <v>43</v>
      </c>
      <c r="C19" s="925"/>
      <c r="D19" s="964" t="s">
        <v>90</v>
      </c>
      <c r="E19" s="964"/>
      <c r="F19" s="964"/>
      <c r="G19" s="925"/>
      <c r="H19" s="964" t="s">
        <v>792</v>
      </c>
      <c r="I19" s="965" t="s">
        <v>419</v>
      </c>
      <c r="J19"/>
      <c r="K19"/>
      <c r="L19"/>
      <c r="M19"/>
      <c r="N19"/>
      <c r="O19"/>
      <c r="P19"/>
      <c r="Q19"/>
      <c r="R19"/>
      <c r="S19"/>
      <c r="T19"/>
      <c r="U19"/>
      <c r="V19"/>
      <c r="W19"/>
      <c r="X19"/>
      <c r="Y19"/>
      <c r="Z19"/>
      <c r="AA19"/>
      <c r="AB19"/>
    </row>
    <row r="20" spans="1:28" s="782" customFormat="1" ht="24.95" customHeight="1" x14ac:dyDescent="0.35">
      <c r="A20" s="968">
        <v>44589</v>
      </c>
      <c r="B20" s="930" t="s">
        <v>125</v>
      </c>
      <c r="C20" s="925"/>
      <c r="D20" s="925" t="s">
        <v>90</v>
      </c>
      <c r="E20" s="925"/>
      <c r="F20" s="964"/>
      <c r="G20" s="964"/>
      <c r="H20" s="964">
        <v>4880</v>
      </c>
      <c r="I20" s="965">
        <v>37000</v>
      </c>
      <c r="J20"/>
      <c r="K20"/>
      <c r="L20"/>
      <c r="M20"/>
      <c r="N20"/>
      <c r="O20"/>
      <c r="P20"/>
      <c r="Q20"/>
      <c r="R20"/>
      <c r="S20"/>
      <c r="T20"/>
      <c r="U20"/>
      <c r="V20"/>
      <c r="W20"/>
      <c r="X20"/>
      <c r="Y20"/>
      <c r="Z20"/>
      <c r="AA20"/>
      <c r="AB20"/>
    </row>
    <row r="21" spans="1:28" s="782" customFormat="1" ht="24.95" customHeight="1" x14ac:dyDescent="0.35">
      <c r="A21" s="968">
        <v>44607</v>
      </c>
      <c r="B21" s="930" t="s">
        <v>649</v>
      </c>
      <c r="C21" s="925"/>
      <c r="D21" s="925" t="s">
        <v>90</v>
      </c>
      <c r="E21" s="925">
        <v>736</v>
      </c>
      <c r="F21" s="964"/>
      <c r="G21" s="964"/>
      <c r="H21" s="964" t="s">
        <v>131</v>
      </c>
      <c r="I21" s="965">
        <v>16076.04</v>
      </c>
      <c r="J21"/>
      <c r="K21"/>
      <c r="L21"/>
      <c r="M21"/>
      <c r="N21"/>
      <c r="O21"/>
      <c r="P21"/>
      <c r="Q21"/>
      <c r="R21"/>
      <c r="S21"/>
      <c r="T21"/>
      <c r="U21"/>
      <c r="V21"/>
      <c r="W21"/>
      <c r="X21"/>
      <c r="Y21"/>
      <c r="Z21"/>
      <c r="AA21"/>
      <c r="AB21"/>
    </row>
    <row r="22" spans="1:28" s="749" customFormat="1" ht="24.95" customHeight="1" x14ac:dyDescent="0.35">
      <c r="A22" s="968">
        <v>44609</v>
      </c>
      <c r="B22" s="930" t="s">
        <v>649</v>
      </c>
      <c r="C22" s="925"/>
      <c r="D22" s="964" t="s">
        <v>90</v>
      </c>
      <c r="E22" s="964">
        <v>734</v>
      </c>
      <c r="F22" s="964"/>
      <c r="G22" s="964"/>
      <c r="H22" s="964" t="s">
        <v>118</v>
      </c>
      <c r="I22" s="965">
        <v>7186.99</v>
      </c>
      <c r="J22"/>
      <c r="K22"/>
      <c r="L22"/>
      <c r="M22"/>
      <c r="N22"/>
      <c r="O22"/>
      <c r="P22"/>
      <c r="Q22"/>
      <c r="R22"/>
      <c r="S22"/>
      <c r="T22"/>
      <c r="U22"/>
      <c r="V22"/>
      <c r="W22"/>
      <c r="X22"/>
      <c r="Y22"/>
      <c r="Z22"/>
      <c r="AA22"/>
      <c r="AB22"/>
    </row>
    <row r="23" spans="1:28" s="749" customFormat="1" ht="24.95" customHeight="1" x14ac:dyDescent="0.35">
      <c r="A23" s="968">
        <v>44714</v>
      </c>
      <c r="B23" s="930" t="s">
        <v>649</v>
      </c>
      <c r="C23" s="925"/>
      <c r="D23" s="964" t="s">
        <v>90</v>
      </c>
      <c r="E23" s="964"/>
      <c r="F23" s="964"/>
      <c r="G23" s="964">
        <v>2062</v>
      </c>
      <c r="H23" s="964" t="s">
        <v>118</v>
      </c>
      <c r="I23" s="965">
        <v>77456</v>
      </c>
      <c r="J23"/>
      <c r="K23"/>
      <c r="L23"/>
      <c r="M23"/>
      <c r="N23"/>
      <c r="O23"/>
      <c r="P23"/>
      <c r="Q23"/>
      <c r="R23"/>
      <c r="S23"/>
      <c r="T23"/>
      <c r="U23"/>
      <c r="V23"/>
      <c r="W23"/>
      <c r="X23"/>
      <c r="Y23"/>
      <c r="Z23"/>
      <c r="AA23"/>
      <c r="AB23"/>
    </row>
    <row r="24" spans="1:28" s="749" customFormat="1" ht="24.95" customHeight="1" x14ac:dyDescent="0.35">
      <c r="A24" s="968">
        <v>44734</v>
      </c>
      <c r="B24" s="930" t="s">
        <v>649</v>
      </c>
      <c r="C24" s="925"/>
      <c r="D24" s="964" t="s">
        <v>90</v>
      </c>
      <c r="E24" s="964">
        <v>743</v>
      </c>
      <c r="F24" s="964"/>
      <c r="G24" s="964"/>
      <c r="H24" s="964" t="s">
        <v>118</v>
      </c>
      <c r="I24" s="965">
        <v>72499.08</v>
      </c>
      <c r="J24"/>
      <c r="K24"/>
      <c r="L24"/>
      <c r="M24"/>
      <c r="N24"/>
      <c r="O24"/>
      <c r="P24"/>
      <c r="Q24"/>
      <c r="R24"/>
      <c r="S24"/>
      <c r="T24"/>
      <c r="U24"/>
      <c r="V24"/>
      <c r="W24"/>
      <c r="X24"/>
      <c r="Y24"/>
      <c r="Z24"/>
      <c r="AA24"/>
      <c r="AB24"/>
    </row>
    <row r="25" spans="1:28" s="749" customFormat="1" ht="24.95" customHeight="1" x14ac:dyDescent="0.35">
      <c r="A25" s="968">
        <v>44741</v>
      </c>
      <c r="B25" s="930" t="s">
        <v>649</v>
      </c>
      <c r="C25" s="925"/>
      <c r="D25" s="964" t="s">
        <v>90</v>
      </c>
      <c r="E25" s="964">
        <v>757</v>
      </c>
      <c r="F25" s="964"/>
      <c r="G25" s="964"/>
      <c r="H25" s="964">
        <v>5908</v>
      </c>
      <c r="I25" s="965">
        <v>510</v>
      </c>
      <c r="J25"/>
      <c r="K25"/>
      <c r="L25"/>
      <c r="M25"/>
      <c r="N25"/>
      <c r="O25"/>
      <c r="P25"/>
      <c r="Q25"/>
      <c r="R25"/>
      <c r="S25"/>
      <c r="T25"/>
      <c r="U25"/>
      <c r="V25"/>
      <c r="W25"/>
      <c r="X25"/>
      <c r="Y25"/>
      <c r="Z25"/>
      <c r="AA25"/>
      <c r="AB25"/>
    </row>
    <row r="26" spans="1:28" s="749" customFormat="1" ht="24.95" customHeight="1" x14ac:dyDescent="0.35">
      <c r="A26" s="968">
        <v>44855</v>
      </c>
      <c r="B26" s="930" t="s">
        <v>649</v>
      </c>
      <c r="C26" s="925"/>
      <c r="D26" s="964" t="s">
        <v>90</v>
      </c>
      <c r="E26" s="964">
        <v>755</v>
      </c>
      <c r="F26" s="964"/>
      <c r="G26" s="964"/>
      <c r="H26" s="964">
        <v>5739</v>
      </c>
      <c r="I26" s="965">
        <v>6650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758</v>
      </c>
      <c r="F27" s="964"/>
      <c r="G27" s="964"/>
      <c r="H27" s="964" t="s">
        <v>118</v>
      </c>
      <c r="I27" s="965">
        <v>3000</v>
      </c>
      <c r="J27"/>
      <c r="K27"/>
      <c r="L27"/>
      <c r="M27"/>
      <c r="N27"/>
      <c r="O27"/>
      <c r="P27"/>
      <c r="Q27"/>
      <c r="R27"/>
      <c r="S27"/>
      <c r="T27"/>
      <c r="U27"/>
      <c r="V27"/>
      <c r="W27"/>
      <c r="X27"/>
      <c r="Y27"/>
      <c r="Z27"/>
      <c r="AA27"/>
      <c r="AB27"/>
    </row>
    <row r="28" spans="1:28" s="749" customFormat="1" ht="24.95" customHeight="1" x14ac:dyDescent="0.35">
      <c r="A28" s="968">
        <v>44916</v>
      </c>
      <c r="B28" s="930" t="s">
        <v>649</v>
      </c>
      <c r="C28" s="925"/>
      <c r="D28" s="964" t="s">
        <v>90</v>
      </c>
      <c r="E28" s="964"/>
      <c r="F28" s="964"/>
      <c r="G28" s="964">
        <v>2176</v>
      </c>
      <c r="H28" s="964" t="s">
        <v>118</v>
      </c>
      <c r="I28" s="965">
        <v>186146</v>
      </c>
      <c r="J28"/>
      <c r="K28"/>
      <c r="L28"/>
      <c r="M28"/>
      <c r="N28"/>
      <c r="O28"/>
      <c r="P28"/>
      <c r="Q28"/>
      <c r="R28"/>
      <c r="S28"/>
      <c r="T28"/>
      <c r="U28"/>
      <c r="V28"/>
      <c r="W28"/>
      <c r="X28"/>
      <c r="Y28"/>
      <c r="Z28"/>
      <c r="AA28"/>
      <c r="AB28"/>
    </row>
    <row r="29" spans="1:28" s="749" customFormat="1" ht="24.95" customHeight="1" x14ac:dyDescent="0.35">
      <c r="A29" s="968">
        <v>45343</v>
      </c>
      <c r="B29" s="930" t="s">
        <v>649</v>
      </c>
      <c r="C29" s="925"/>
      <c r="D29" s="964" t="s">
        <v>90</v>
      </c>
      <c r="E29" s="964">
        <v>826</v>
      </c>
      <c r="F29" s="964"/>
      <c r="G29" s="964"/>
      <c r="H29" s="964" t="s">
        <v>118</v>
      </c>
      <c r="I29" s="965">
        <v>22500</v>
      </c>
      <c r="J29"/>
      <c r="K29"/>
      <c r="L29"/>
      <c r="M29"/>
      <c r="N29"/>
      <c r="O29"/>
      <c r="P29"/>
      <c r="Q29"/>
      <c r="R29"/>
      <c r="S29"/>
      <c r="T29"/>
      <c r="U29"/>
      <c r="V29"/>
      <c r="W29"/>
      <c r="X29"/>
      <c r="Y29"/>
      <c r="Z29"/>
      <c r="AA29"/>
      <c r="AB29"/>
    </row>
    <row r="30" spans="1:28" s="782" customFormat="1" ht="27.75" customHeight="1" x14ac:dyDescent="0.35">
      <c r="A30" s="968">
        <v>44614</v>
      </c>
      <c r="B30" s="930" t="s">
        <v>650</v>
      </c>
      <c r="C30" s="925"/>
      <c r="D30" s="925" t="s">
        <v>92</v>
      </c>
      <c r="E30" s="925"/>
      <c r="F30" s="964"/>
      <c r="G30" s="964"/>
      <c r="H30" s="964" t="s">
        <v>376</v>
      </c>
      <c r="I30" s="965">
        <v>526625</v>
      </c>
      <c r="J30"/>
      <c r="K30"/>
      <c r="L30"/>
      <c r="M30"/>
      <c r="N30"/>
      <c r="O30"/>
      <c r="P30"/>
      <c r="Q30"/>
      <c r="R30"/>
      <c r="S30"/>
      <c r="T30"/>
      <c r="U30"/>
      <c r="V30"/>
      <c r="W30"/>
      <c r="X30"/>
      <c r="Y30"/>
      <c r="Z30"/>
      <c r="AA30"/>
      <c r="AB30"/>
    </row>
    <row r="31" spans="1:28" s="782" customFormat="1" ht="24.95" customHeight="1" x14ac:dyDescent="0.35">
      <c r="A31" s="968">
        <v>44631</v>
      </c>
      <c r="B31" s="930" t="s">
        <v>650</v>
      </c>
      <c r="C31" s="925"/>
      <c r="D31" s="925" t="s">
        <v>92</v>
      </c>
      <c r="E31" s="925"/>
      <c r="F31" s="964"/>
      <c r="G31" s="964"/>
      <c r="H31" s="964">
        <v>4943</v>
      </c>
      <c r="I31" s="965">
        <v>5975</v>
      </c>
      <c r="J31"/>
      <c r="K31"/>
      <c r="L31"/>
      <c r="M31"/>
      <c r="N31"/>
      <c r="O31"/>
      <c r="P31"/>
      <c r="Q31"/>
      <c r="R31"/>
      <c r="S31"/>
      <c r="T31"/>
      <c r="U31"/>
      <c r="V31"/>
      <c r="W31"/>
      <c r="X31"/>
      <c r="Y31"/>
      <c r="Z31"/>
      <c r="AA31"/>
      <c r="AB31"/>
    </row>
    <row r="32" spans="1:28" s="800" customFormat="1" ht="24.95" customHeight="1" x14ac:dyDescent="0.35">
      <c r="A32" s="968">
        <v>44638</v>
      </c>
      <c r="B32" s="930" t="s">
        <v>650</v>
      </c>
      <c r="C32" s="925"/>
      <c r="D32" s="925" t="s">
        <v>92</v>
      </c>
      <c r="E32" s="925"/>
      <c r="F32" s="964"/>
      <c r="G32" s="964"/>
      <c r="H32" s="964">
        <v>4953</v>
      </c>
      <c r="I32" s="965">
        <v>4950</v>
      </c>
      <c r="J32"/>
      <c r="K32"/>
      <c r="L32"/>
      <c r="M32"/>
      <c r="N32"/>
      <c r="O32"/>
      <c r="P32"/>
      <c r="Q32"/>
      <c r="R32"/>
      <c r="S32"/>
      <c r="T32"/>
      <c r="U32"/>
      <c r="V32"/>
      <c r="W32"/>
      <c r="X32"/>
      <c r="Y32"/>
      <c r="Z32"/>
      <c r="AA32"/>
      <c r="AB32"/>
    </row>
    <row r="33" spans="1:28" s="800" customFormat="1" ht="24.95" customHeight="1" x14ac:dyDescent="0.35">
      <c r="A33" s="968">
        <v>44711</v>
      </c>
      <c r="B33" s="930" t="s">
        <v>153</v>
      </c>
      <c r="C33" s="925"/>
      <c r="D33" s="925" t="s">
        <v>92</v>
      </c>
      <c r="E33" s="925"/>
      <c r="F33" s="964"/>
      <c r="G33" s="964"/>
      <c r="H33" s="964" t="s">
        <v>181</v>
      </c>
      <c r="I33" s="965">
        <v>164667</v>
      </c>
      <c r="J33"/>
      <c r="K33"/>
      <c r="L33"/>
      <c r="M33"/>
      <c r="N33"/>
      <c r="O33"/>
      <c r="P33"/>
      <c r="Q33"/>
      <c r="R33"/>
      <c r="S33"/>
      <c r="T33"/>
      <c r="U33"/>
      <c r="V33"/>
      <c r="W33"/>
      <c r="X33"/>
      <c r="Y33"/>
      <c r="Z33"/>
      <c r="AA33"/>
      <c r="AB33"/>
    </row>
    <row r="34" spans="1:28" s="800" customFormat="1" ht="24.95" customHeight="1" x14ac:dyDescent="0.35">
      <c r="A34" s="968">
        <v>44768</v>
      </c>
      <c r="B34" s="930" t="s">
        <v>651</v>
      </c>
      <c r="C34" s="925"/>
      <c r="D34" s="925" t="s">
        <v>90</v>
      </c>
      <c r="E34" s="925"/>
      <c r="F34" s="964"/>
      <c r="G34" s="964"/>
      <c r="H34" s="964" t="s">
        <v>151</v>
      </c>
      <c r="I34" s="965">
        <v>847950.4</v>
      </c>
      <c r="J34"/>
      <c r="K34"/>
      <c r="L34"/>
      <c r="M34"/>
      <c r="N34"/>
      <c r="O34"/>
      <c r="P34"/>
      <c r="Q34"/>
      <c r="R34"/>
      <c r="S34"/>
      <c r="T34"/>
      <c r="U34"/>
      <c r="V34"/>
      <c r="W34"/>
      <c r="X34"/>
      <c r="Y34"/>
      <c r="Z34"/>
      <c r="AA34"/>
      <c r="AB34"/>
    </row>
    <row r="35" spans="1:28" s="800" customFormat="1" ht="24.95" customHeight="1" x14ac:dyDescent="0.35">
      <c r="A35" s="968">
        <v>45946</v>
      </c>
      <c r="B35" s="930" t="s">
        <v>651</v>
      </c>
      <c r="C35" s="925"/>
      <c r="D35" s="925" t="s">
        <v>90</v>
      </c>
      <c r="E35" s="925"/>
      <c r="F35" s="964"/>
      <c r="G35" s="964"/>
      <c r="H35" s="964" t="s">
        <v>641</v>
      </c>
      <c r="I35" s="965" t="s">
        <v>419</v>
      </c>
      <c r="J35"/>
      <c r="K35"/>
      <c r="L35"/>
      <c r="M35"/>
      <c r="N35"/>
      <c r="O35"/>
      <c r="P35"/>
      <c r="Q35"/>
      <c r="R35"/>
      <c r="S35"/>
      <c r="T35"/>
      <c r="U35"/>
      <c r="V35"/>
      <c r="W35"/>
      <c r="X35"/>
      <c r="Y35"/>
      <c r="Z35"/>
      <c r="AA35"/>
      <c r="AB35"/>
    </row>
    <row r="36" spans="1:28" s="800" customFormat="1" ht="24.95" customHeight="1" x14ac:dyDescent="0.35">
      <c r="A36" s="968">
        <v>44786</v>
      </c>
      <c r="B36" s="930" t="s">
        <v>652</v>
      </c>
      <c r="C36" s="925"/>
      <c r="D36" s="925" t="s">
        <v>94</v>
      </c>
      <c r="E36" s="925"/>
      <c r="F36" s="964"/>
      <c r="G36" s="964">
        <v>2136</v>
      </c>
      <c r="H36" s="964" t="s">
        <v>170</v>
      </c>
      <c r="I36" s="965">
        <v>193400</v>
      </c>
      <c r="J36"/>
      <c r="K36"/>
      <c r="L36"/>
      <c r="M36"/>
      <c r="N36"/>
      <c r="O36"/>
      <c r="P36"/>
      <c r="Q36"/>
      <c r="R36"/>
      <c r="S36"/>
      <c r="T36"/>
      <c r="U36"/>
      <c r="V36"/>
      <c r="W36"/>
      <c r="X36"/>
      <c r="Y36"/>
      <c r="Z36"/>
      <c r="AA36"/>
      <c r="AB36"/>
    </row>
    <row r="37" spans="1:28" s="800" customFormat="1" ht="24.95" customHeight="1" x14ac:dyDescent="0.35">
      <c r="A37" s="968">
        <v>44954</v>
      </c>
      <c r="B37" s="930" t="s">
        <v>480</v>
      </c>
      <c r="C37" s="925"/>
      <c r="D37" s="925" t="s">
        <v>92</v>
      </c>
      <c r="E37" s="925">
        <v>832</v>
      </c>
      <c r="F37" s="964"/>
      <c r="G37" s="964"/>
      <c r="H37" s="964">
        <v>5373</v>
      </c>
      <c r="I37" s="965">
        <v>666000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833</v>
      </c>
      <c r="F38" s="964"/>
      <c r="G38" s="964"/>
      <c r="H38" s="964">
        <v>5374</v>
      </c>
      <c r="I38" s="965">
        <v>657658.5</v>
      </c>
      <c r="J38"/>
      <c r="K38"/>
      <c r="L38"/>
      <c r="M38"/>
      <c r="N38"/>
      <c r="O38"/>
      <c r="P38"/>
      <c r="Q38"/>
      <c r="R38"/>
      <c r="S38"/>
      <c r="T38"/>
      <c r="U38"/>
      <c r="V38"/>
      <c r="W38"/>
      <c r="X38"/>
      <c r="Y38"/>
      <c r="Z38"/>
      <c r="AA38"/>
      <c r="AB38"/>
    </row>
    <row r="39" spans="1:28" s="800" customFormat="1" ht="24.95" customHeight="1" x14ac:dyDescent="0.35">
      <c r="A39" s="968">
        <v>45017</v>
      </c>
      <c r="B39" s="930" t="s">
        <v>480</v>
      </c>
      <c r="C39" s="925"/>
      <c r="D39" s="925" t="s">
        <v>92</v>
      </c>
      <c r="E39" s="925"/>
      <c r="F39" s="964"/>
      <c r="G39" s="964"/>
      <c r="H39" s="964">
        <v>5460</v>
      </c>
      <c r="I39" s="965">
        <v>413995.98</v>
      </c>
      <c r="J39"/>
      <c r="K39"/>
      <c r="L39"/>
      <c r="M39"/>
      <c r="N39"/>
      <c r="O39"/>
      <c r="P39"/>
      <c r="Q39"/>
      <c r="R39"/>
      <c r="S39"/>
      <c r="T39"/>
      <c r="U39"/>
      <c r="V39"/>
      <c r="W39"/>
      <c r="X39"/>
      <c r="Y39"/>
      <c r="Z39"/>
      <c r="AA39"/>
      <c r="AB39"/>
    </row>
    <row r="40" spans="1:28" s="800" customFormat="1" ht="24.95" customHeight="1" x14ac:dyDescent="0.35">
      <c r="A40" s="968">
        <v>45181</v>
      </c>
      <c r="B40" s="930" t="s">
        <v>480</v>
      </c>
      <c r="C40" s="925"/>
      <c r="D40" s="925" t="s">
        <v>92</v>
      </c>
      <c r="E40" s="925"/>
      <c r="F40" s="964" t="s">
        <v>654</v>
      </c>
      <c r="G40" s="964"/>
      <c r="H40" s="964">
        <v>5606</v>
      </c>
      <c r="I40" s="965">
        <v>676930.8</v>
      </c>
      <c r="J40"/>
      <c r="K40"/>
      <c r="L40"/>
      <c r="M40"/>
      <c r="N40"/>
      <c r="O40"/>
      <c r="P40"/>
      <c r="Q40"/>
      <c r="R40"/>
      <c r="S40"/>
      <c r="T40"/>
      <c r="U40"/>
      <c r="V40"/>
      <c r="W40"/>
      <c r="X40"/>
      <c r="Y40"/>
      <c r="Z40"/>
      <c r="AA40"/>
      <c r="AB40"/>
    </row>
    <row r="41" spans="1:28" s="800" customFormat="1" ht="24.95" customHeight="1" x14ac:dyDescent="0.35">
      <c r="A41" s="968">
        <v>45313</v>
      </c>
      <c r="B41" s="930" t="s">
        <v>480</v>
      </c>
      <c r="C41" s="925"/>
      <c r="D41" s="925" t="s">
        <v>90</v>
      </c>
      <c r="E41" s="925">
        <v>825</v>
      </c>
      <c r="F41" s="964"/>
      <c r="G41" s="964"/>
      <c r="H41" s="964">
        <v>5714</v>
      </c>
      <c r="I41" s="965">
        <v>150000</v>
      </c>
      <c r="J41"/>
      <c r="K41"/>
      <c r="L41"/>
      <c r="M41"/>
      <c r="N41"/>
      <c r="O41"/>
      <c r="P41"/>
      <c r="Q41"/>
      <c r="R41"/>
      <c r="S41"/>
      <c r="T41"/>
      <c r="U41"/>
      <c r="V41"/>
      <c r="W41"/>
      <c r="X41"/>
      <c r="Y41"/>
      <c r="Z41"/>
      <c r="AA41"/>
      <c r="AB41"/>
    </row>
    <row r="42" spans="1:28" s="800" customFormat="1" ht="24.95" customHeight="1" x14ac:dyDescent="0.35">
      <c r="A42" s="968">
        <v>45386</v>
      </c>
      <c r="B42" s="930" t="s">
        <v>480</v>
      </c>
      <c r="C42" s="925"/>
      <c r="D42" s="925" t="s">
        <v>90</v>
      </c>
      <c r="E42" s="925"/>
      <c r="F42" s="964"/>
      <c r="G42" s="964"/>
      <c r="H42" s="964">
        <v>5776</v>
      </c>
      <c r="I42" s="965">
        <v>455997.92</v>
      </c>
      <c r="J42"/>
      <c r="K42"/>
      <c r="L42"/>
      <c r="M42"/>
      <c r="N42"/>
      <c r="O42"/>
      <c r="P42"/>
      <c r="Q42"/>
      <c r="R42"/>
      <c r="S42"/>
      <c r="T42"/>
      <c r="U42"/>
      <c r="V42"/>
      <c r="W42"/>
      <c r="X42"/>
      <c r="Y42"/>
      <c r="Z42"/>
      <c r="AA42"/>
      <c r="AB42"/>
    </row>
    <row r="43" spans="1:28" s="800" customFormat="1" ht="24.95" customHeight="1" x14ac:dyDescent="0.35">
      <c r="A43" s="968">
        <v>45601</v>
      </c>
      <c r="B43" s="930" t="s">
        <v>480</v>
      </c>
      <c r="C43" s="925"/>
      <c r="D43" s="925" t="s">
        <v>90</v>
      </c>
      <c r="E43" s="925"/>
      <c r="F43" s="964"/>
      <c r="G43" s="964"/>
      <c r="H43" s="964">
        <v>5920</v>
      </c>
      <c r="I43" s="965">
        <v>310000</v>
      </c>
      <c r="J43"/>
      <c r="K43"/>
      <c r="L43"/>
      <c r="M43"/>
      <c r="N43"/>
      <c r="O43"/>
      <c r="P43"/>
      <c r="Q43"/>
      <c r="R43"/>
      <c r="S43"/>
      <c r="T43"/>
      <c r="U43"/>
      <c r="V43"/>
      <c r="W43"/>
      <c r="X43"/>
      <c r="Y43"/>
      <c r="Z43"/>
      <c r="AA43"/>
      <c r="AB43"/>
    </row>
    <row r="44" spans="1:28" s="800" customFormat="1" ht="24.95" customHeight="1" x14ac:dyDescent="0.35">
      <c r="A44" s="968">
        <v>45680</v>
      </c>
      <c r="B44" s="930" t="s">
        <v>480</v>
      </c>
      <c r="C44" s="925"/>
      <c r="D44" s="925" t="s">
        <v>90</v>
      </c>
      <c r="E44" s="925"/>
      <c r="F44" s="964"/>
      <c r="G44" s="964">
        <v>2343</v>
      </c>
      <c r="H44" s="964">
        <v>5979</v>
      </c>
      <c r="I44" s="965">
        <v>45000</v>
      </c>
      <c r="J44"/>
      <c r="K44"/>
      <c r="L44"/>
      <c r="M44"/>
      <c r="N44"/>
      <c r="O44"/>
      <c r="P44"/>
      <c r="Q44"/>
      <c r="R44"/>
      <c r="S44"/>
      <c r="T44"/>
      <c r="U44"/>
      <c r="V44"/>
      <c r="W44"/>
      <c r="X44"/>
      <c r="Y44"/>
      <c r="Z44"/>
      <c r="AA44"/>
      <c r="AB44"/>
    </row>
    <row r="45" spans="1:28" s="800" customFormat="1" ht="24.95" customHeight="1" x14ac:dyDescent="0.35">
      <c r="A45" s="968">
        <v>45731</v>
      </c>
      <c r="B45" s="930" t="s">
        <v>480</v>
      </c>
      <c r="C45" s="925"/>
      <c r="D45" s="925" t="s">
        <v>90</v>
      </c>
      <c r="E45" s="925"/>
      <c r="F45" s="964"/>
      <c r="G45" s="964"/>
      <c r="H45" s="964" t="s">
        <v>481</v>
      </c>
      <c r="I45" s="965" t="s">
        <v>419</v>
      </c>
      <c r="J45"/>
      <c r="K45"/>
      <c r="L45"/>
      <c r="M45"/>
      <c r="N45"/>
      <c r="O45"/>
      <c r="P45"/>
      <c r="Q45"/>
      <c r="R45"/>
      <c r="S45"/>
      <c r="T45"/>
      <c r="U45"/>
      <c r="V45"/>
      <c r="W45"/>
      <c r="X45"/>
      <c r="Y45"/>
      <c r="Z45"/>
      <c r="AA45"/>
      <c r="AB45"/>
    </row>
    <row r="46" spans="1:28" s="800" customFormat="1" ht="24.95" customHeight="1" x14ac:dyDescent="0.35">
      <c r="A46" s="968">
        <v>44977</v>
      </c>
      <c r="B46" s="930" t="s">
        <v>110</v>
      </c>
      <c r="C46" s="925"/>
      <c r="D46" s="925" t="s">
        <v>92</v>
      </c>
      <c r="E46" s="925"/>
      <c r="F46" s="964"/>
      <c r="G46" s="964"/>
      <c r="H46" s="964">
        <v>5407</v>
      </c>
      <c r="I46" s="965">
        <v>54500</v>
      </c>
      <c r="J46" t="s">
        <v>478</v>
      </c>
      <c r="K46"/>
      <c r="L46"/>
      <c r="M46"/>
      <c r="N46"/>
      <c r="O46"/>
      <c r="P46"/>
      <c r="Q46"/>
      <c r="R46"/>
      <c r="S46"/>
      <c r="T46"/>
      <c r="U46"/>
      <c r="V46"/>
      <c r="W46"/>
      <c r="X46"/>
      <c r="Y46"/>
      <c r="Z46"/>
      <c r="AA46"/>
      <c r="AB46"/>
    </row>
    <row r="47" spans="1:28" s="800" customFormat="1" ht="24.95" customHeight="1" x14ac:dyDescent="0.35">
      <c r="A47" s="968">
        <v>2023</v>
      </c>
      <c r="B47" s="930" t="s">
        <v>191</v>
      </c>
      <c r="C47" s="925"/>
      <c r="D47" s="925" t="s">
        <v>92</v>
      </c>
      <c r="E47" s="925"/>
      <c r="F47" s="964"/>
      <c r="G47" s="964"/>
      <c r="H47" s="964" t="s">
        <v>118</v>
      </c>
      <c r="I47" s="965">
        <v>67000</v>
      </c>
      <c r="J47"/>
      <c r="K47"/>
      <c r="L47"/>
      <c r="M47"/>
      <c r="N47"/>
      <c r="O47"/>
      <c r="P47"/>
      <c r="Q47"/>
      <c r="R47"/>
      <c r="S47"/>
      <c r="T47"/>
      <c r="U47"/>
      <c r="V47"/>
      <c r="W47"/>
      <c r="X47"/>
      <c r="Y47"/>
      <c r="Z47"/>
      <c r="AA47"/>
      <c r="AB47"/>
    </row>
    <row r="48" spans="1:28" s="782" customFormat="1" ht="24.95" customHeight="1" x14ac:dyDescent="0.35">
      <c r="A48" s="968">
        <v>45147</v>
      </c>
      <c r="B48" s="930" t="s">
        <v>653</v>
      </c>
      <c r="C48" s="925"/>
      <c r="D48" s="925" t="s">
        <v>92</v>
      </c>
      <c r="E48" s="925"/>
      <c r="F48" s="964"/>
      <c r="G48" s="964"/>
      <c r="H48" s="964">
        <v>5568</v>
      </c>
      <c r="I48" s="965">
        <v>10000</v>
      </c>
      <c r="J48"/>
      <c r="K48"/>
      <c r="L48"/>
      <c r="M48"/>
      <c r="N48"/>
      <c r="O48"/>
      <c r="P48"/>
      <c r="Q48"/>
      <c r="R48"/>
      <c r="S48"/>
      <c r="T48"/>
      <c r="U48"/>
      <c r="V48"/>
      <c r="W48"/>
      <c r="X48"/>
      <c r="Y48"/>
      <c r="Z48"/>
      <c r="AA48"/>
      <c r="AB48"/>
    </row>
    <row r="49" spans="1:28" s="782" customFormat="1" ht="24.95" customHeight="1" x14ac:dyDescent="0.35">
      <c r="A49" s="968">
        <v>45195</v>
      </c>
      <c r="B49" s="930" t="s">
        <v>271</v>
      </c>
      <c r="C49" s="925"/>
      <c r="D49" s="925" t="s">
        <v>92</v>
      </c>
      <c r="E49" s="925"/>
      <c r="F49" s="964"/>
      <c r="G49" s="964"/>
      <c r="H49" s="964" t="s">
        <v>272</v>
      </c>
      <c r="I49" s="965">
        <v>2339.29</v>
      </c>
      <c r="J49"/>
      <c r="K49"/>
      <c r="L49"/>
      <c r="M49"/>
      <c r="N49"/>
      <c r="O49"/>
      <c r="P49"/>
      <c r="Q49"/>
      <c r="R49"/>
      <c r="S49"/>
      <c r="T49"/>
      <c r="U49"/>
      <c r="V49"/>
      <c r="W49"/>
      <c r="X49"/>
      <c r="Y49"/>
      <c r="Z49"/>
      <c r="AA49"/>
      <c r="AB49"/>
    </row>
    <row r="50" spans="1:28" s="782" customFormat="1" ht="24.95" customHeight="1" x14ac:dyDescent="0.35">
      <c r="A50" s="968">
        <v>45859</v>
      </c>
      <c r="B50" s="930" t="s">
        <v>271</v>
      </c>
      <c r="C50" s="925"/>
      <c r="D50" s="925" t="s">
        <v>282</v>
      </c>
      <c r="E50" s="925"/>
      <c r="F50" s="964"/>
      <c r="G50" s="964"/>
      <c r="H50" s="964" t="s">
        <v>572</v>
      </c>
      <c r="I50" s="965">
        <v>9850</v>
      </c>
      <c r="J50"/>
      <c r="K50"/>
      <c r="L50"/>
      <c r="M50"/>
      <c r="N50"/>
      <c r="O50"/>
      <c r="P50"/>
      <c r="Q50"/>
      <c r="R50"/>
      <c r="S50"/>
      <c r="T50"/>
      <c r="U50"/>
      <c r="V50"/>
      <c r="W50"/>
      <c r="X50"/>
      <c r="Y50"/>
      <c r="Z50"/>
      <c r="AA50"/>
      <c r="AB50"/>
    </row>
    <row r="51" spans="1:28" s="782" customFormat="1" ht="24.95" customHeight="1" x14ac:dyDescent="0.35">
      <c r="A51" s="968">
        <v>45300</v>
      </c>
      <c r="B51" s="930" t="s">
        <v>417</v>
      </c>
      <c r="C51" s="925"/>
      <c r="D51" s="925" t="s">
        <v>90</v>
      </c>
      <c r="E51" s="925"/>
      <c r="F51" s="964"/>
      <c r="G51" s="964"/>
      <c r="H51" s="964" t="s">
        <v>327</v>
      </c>
      <c r="I51" s="965">
        <v>16550</v>
      </c>
      <c r="J51"/>
      <c r="K51"/>
      <c r="L51"/>
      <c r="M51"/>
      <c r="N51"/>
      <c r="O51"/>
      <c r="P51"/>
      <c r="Q51"/>
      <c r="R51"/>
      <c r="S51"/>
      <c r="T51"/>
      <c r="U51"/>
      <c r="V51"/>
      <c r="W51"/>
      <c r="X51"/>
      <c r="Y51"/>
      <c r="Z51"/>
      <c r="AA51"/>
      <c r="AB51"/>
    </row>
    <row r="52" spans="1:28" s="782" customFormat="1" ht="24.95" customHeight="1" x14ac:dyDescent="0.35">
      <c r="A52" s="968">
        <v>45582</v>
      </c>
      <c r="B52" s="930" t="s">
        <v>417</v>
      </c>
      <c r="C52" s="925"/>
      <c r="D52" s="925" t="s">
        <v>90</v>
      </c>
      <c r="E52" s="925"/>
      <c r="F52" s="964"/>
      <c r="G52" s="964"/>
      <c r="H52" s="964" t="s">
        <v>656</v>
      </c>
      <c r="I52" s="965">
        <v>73520</v>
      </c>
      <c r="J52"/>
      <c r="K52"/>
      <c r="L52"/>
      <c r="M52"/>
      <c r="N52"/>
      <c r="O52"/>
      <c r="P52"/>
      <c r="Q52"/>
      <c r="R52"/>
      <c r="S52"/>
      <c r="T52"/>
      <c r="U52"/>
      <c r="V52"/>
      <c r="W52"/>
      <c r="X52"/>
      <c r="Y52"/>
      <c r="Z52"/>
      <c r="AA52"/>
      <c r="AB52"/>
    </row>
    <row r="53" spans="1:28" s="782" customFormat="1" ht="24.95" customHeight="1" x14ac:dyDescent="0.35">
      <c r="A53" s="968" t="s">
        <v>421</v>
      </c>
      <c r="B53" s="930" t="s">
        <v>417</v>
      </c>
      <c r="C53" s="925"/>
      <c r="D53" s="925" t="s">
        <v>90</v>
      </c>
      <c r="E53" s="925"/>
      <c r="F53" s="964"/>
      <c r="G53" s="964"/>
      <c r="H53" s="964" t="s">
        <v>456</v>
      </c>
      <c r="I53" s="965" t="s">
        <v>419</v>
      </c>
      <c r="J53"/>
      <c r="K53"/>
      <c r="L53"/>
      <c r="M53"/>
      <c r="N53"/>
      <c r="O53"/>
      <c r="P53"/>
      <c r="Q53"/>
      <c r="R53"/>
      <c r="S53"/>
      <c r="T53"/>
      <c r="U53"/>
      <c r="V53"/>
      <c r="W53"/>
      <c r="X53"/>
      <c r="Y53"/>
      <c r="Z53"/>
      <c r="AA53"/>
      <c r="AB53"/>
    </row>
    <row r="54" spans="1:28" s="782" customFormat="1" ht="24.95" customHeight="1" x14ac:dyDescent="0.35">
      <c r="A54" s="968">
        <v>45897</v>
      </c>
      <c r="B54" s="930" t="s">
        <v>417</v>
      </c>
      <c r="C54" s="925"/>
      <c r="D54" s="925" t="s">
        <v>90</v>
      </c>
      <c r="E54" s="925"/>
      <c r="F54" s="964"/>
      <c r="G54" s="964"/>
      <c r="H54" s="964" t="s">
        <v>609</v>
      </c>
      <c r="I54" s="965" t="s">
        <v>419</v>
      </c>
      <c r="J54"/>
      <c r="K54"/>
      <c r="L54"/>
      <c r="M54"/>
      <c r="N54"/>
      <c r="O54"/>
      <c r="P54"/>
      <c r="Q54"/>
      <c r="R54"/>
      <c r="S54"/>
      <c r="T54"/>
      <c r="U54"/>
      <c r="V54"/>
      <c r="W54"/>
      <c r="X54"/>
      <c r="Y54"/>
      <c r="Z54"/>
      <c r="AA54"/>
      <c r="AB54"/>
    </row>
    <row r="55" spans="1:28" s="782" customFormat="1" ht="24.95" customHeight="1" x14ac:dyDescent="0.35">
      <c r="A55" s="968">
        <v>45985</v>
      </c>
      <c r="B55" s="930" t="s">
        <v>417</v>
      </c>
      <c r="C55" s="925"/>
      <c r="D55" s="925" t="s">
        <v>90</v>
      </c>
      <c r="E55" s="925"/>
      <c r="F55" s="964"/>
      <c r="G55" s="964"/>
      <c r="H55" s="964" t="s">
        <v>688</v>
      </c>
      <c r="I55" s="965" t="s">
        <v>419</v>
      </c>
      <c r="J55"/>
      <c r="K55"/>
      <c r="L55"/>
      <c r="M55"/>
      <c r="N55"/>
      <c r="O55"/>
      <c r="P55"/>
      <c r="Q55"/>
      <c r="R55"/>
      <c r="S55"/>
      <c r="T55"/>
      <c r="U55"/>
      <c r="V55"/>
      <c r="W55"/>
      <c r="X55"/>
      <c r="Y55"/>
      <c r="Z55"/>
      <c r="AA55"/>
      <c r="AB55"/>
    </row>
    <row r="56" spans="1:28" s="782" customFormat="1" ht="24.95" customHeight="1" x14ac:dyDescent="0.35">
      <c r="A56" s="968">
        <v>45313</v>
      </c>
      <c r="B56" s="930" t="s">
        <v>230</v>
      </c>
      <c r="C56" s="925"/>
      <c r="D56" s="925" t="s">
        <v>92</v>
      </c>
      <c r="E56" s="925"/>
      <c r="F56" s="964"/>
      <c r="G56" s="964"/>
      <c r="H56" s="964">
        <v>5715</v>
      </c>
      <c r="I56" s="965">
        <v>78</v>
      </c>
      <c r="J56"/>
      <c r="K56"/>
      <c r="L56"/>
      <c r="M56"/>
      <c r="N56"/>
      <c r="O56"/>
      <c r="P56"/>
      <c r="Q56"/>
      <c r="R56"/>
      <c r="S56"/>
      <c r="T56"/>
      <c r="U56"/>
      <c r="V56"/>
      <c r="W56"/>
      <c r="X56"/>
      <c r="Y56"/>
      <c r="Z56"/>
      <c r="AA56"/>
      <c r="AB56"/>
    </row>
    <row r="57" spans="1:28" s="782" customFormat="1" ht="24.95" customHeight="1" x14ac:dyDescent="0.35">
      <c r="A57" s="968">
        <v>45371</v>
      </c>
      <c r="B57" s="930" t="s">
        <v>655</v>
      </c>
      <c r="C57" s="925"/>
      <c r="D57" s="925" t="s">
        <v>221</v>
      </c>
      <c r="E57" s="925"/>
      <c r="F57" s="964"/>
      <c r="G57" s="964"/>
      <c r="H57" s="964">
        <v>5769</v>
      </c>
      <c r="I57" s="965">
        <v>250</v>
      </c>
      <c r="J57"/>
      <c r="K57"/>
      <c r="L57"/>
      <c r="M57"/>
      <c r="N57"/>
      <c r="O57"/>
      <c r="P57"/>
      <c r="Q57"/>
      <c r="R57"/>
      <c r="S57"/>
      <c r="T57"/>
      <c r="U57"/>
      <c r="V57"/>
      <c r="W57"/>
      <c r="X57"/>
      <c r="Y57"/>
      <c r="Z57"/>
      <c r="AA57"/>
      <c r="AB57"/>
    </row>
    <row r="58" spans="1:28" s="782" customFormat="1" ht="24.95" customHeight="1" x14ac:dyDescent="0.35">
      <c r="A58" s="968">
        <v>45512</v>
      </c>
      <c r="B58" s="930" t="s">
        <v>545</v>
      </c>
      <c r="C58" s="925"/>
      <c r="D58" s="925" t="s">
        <v>90</v>
      </c>
      <c r="E58" s="925"/>
      <c r="F58" s="964"/>
      <c r="G58" s="964"/>
      <c r="H58" s="964">
        <v>5860</v>
      </c>
      <c r="I58" s="965">
        <v>194000</v>
      </c>
      <c r="J58"/>
      <c r="K58"/>
      <c r="L58"/>
      <c r="M58"/>
      <c r="N58"/>
      <c r="O58"/>
      <c r="P58"/>
      <c r="Q58"/>
      <c r="R58"/>
      <c r="S58"/>
      <c r="T58"/>
      <c r="U58"/>
      <c r="V58"/>
      <c r="W58"/>
      <c r="X58"/>
      <c r="Y58"/>
      <c r="Z58"/>
      <c r="AA58"/>
      <c r="AB58"/>
    </row>
    <row r="59" spans="1:28" s="813" customFormat="1" ht="24.95" customHeight="1" x14ac:dyDescent="0.35">
      <c r="A59" s="968">
        <v>45539</v>
      </c>
      <c r="B59" s="930" t="s">
        <v>545</v>
      </c>
      <c r="C59" s="925"/>
      <c r="D59" s="925" t="s">
        <v>90</v>
      </c>
      <c r="E59" s="925"/>
      <c r="F59" s="964"/>
      <c r="G59" s="964"/>
      <c r="H59" s="964">
        <v>5881</v>
      </c>
      <c r="I59" s="965" t="s">
        <v>419</v>
      </c>
      <c r="J59"/>
      <c r="K59"/>
      <c r="L59"/>
      <c r="M59"/>
      <c r="N59"/>
      <c r="O59"/>
      <c r="P59"/>
      <c r="Q59"/>
      <c r="R59"/>
      <c r="S59"/>
      <c r="T59"/>
      <c r="U59"/>
      <c r="V59"/>
      <c r="W59"/>
      <c r="X59"/>
      <c r="Y59"/>
      <c r="Z59"/>
      <c r="AA59"/>
      <c r="AB59"/>
    </row>
    <row r="60" spans="1:28" s="813" customFormat="1" ht="24.95" customHeight="1" x14ac:dyDescent="0.35">
      <c r="A60" s="968" t="s">
        <v>421</v>
      </c>
      <c r="B60" s="930" t="s">
        <v>545</v>
      </c>
      <c r="C60" s="925"/>
      <c r="D60" s="925" t="s">
        <v>90</v>
      </c>
      <c r="E60" s="925"/>
      <c r="F60" s="964"/>
      <c r="G60" s="964"/>
      <c r="H60" s="964">
        <v>5984</v>
      </c>
      <c r="I60" s="965">
        <v>685000</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v>5985</v>
      </c>
      <c r="I61" s="965">
        <v>695000</v>
      </c>
      <c r="J61"/>
      <c r="K61"/>
      <c r="L61"/>
      <c r="M61"/>
      <c r="N61"/>
      <c r="O61"/>
      <c r="P61"/>
      <c r="Q61"/>
      <c r="R61"/>
      <c r="S61"/>
      <c r="T61"/>
      <c r="U61"/>
      <c r="V61"/>
      <c r="W61"/>
      <c r="X61"/>
      <c r="Y61"/>
      <c r="Z61"/>
      <c r="AA61"/>
      <c r="AB61"/>
    </row>
    <row r="62" spans="1:28" s="813" customFormat="1" ht="24.95" customHeight="1" x14ac:dyDescent="0.35">
      <c r="A62" s="968" t="s">
        <v>421</v>
      </c>
      <c r="B62" s="930" t="s">
        <v>545</v>
      </c>
      <c r="C62" s="925"/>
      <c r="D62" s="925" t="s">
        <v>90</v>
      </c>
      <c r="E62" s="925"/>
      <c r="F62" s="964"/>
      <c r="G62" s="964"/>
      <c r="H62" s="964">
        <v>5992</v>
      </c>
      <c r="I62" s="965">
        <v>55000</v>
      </c>
      <c r="J62"/>
      <c r="K62"/>
      <c r="L62"/>
      <c r="M62"/>
      <c r="N62"/>
      <c r="O62"/>
      <c r="P62"/>
      <c r="Q62"/>
      <c r="R62"/>
      <c r="S62"/>
      <c r="T62"/>
      <c r="U62"/>
      <c r="V62"/>
      <c r="W62"/>
      <c r="X62"/>
      <c r="Y62"/>
      <c r="Z62"/>
      <c r="AA62"/>
      <c r="AB62"/>
    </row>
    <row r="63" spans="1:28" s="813" customFormat="1" ht="24.95" customHeight="1" x14ac:dyDescent="0.35">
      <c r="A63" s="968" t="s">
        <v>658</v>
      </c>
      <c r="B63" s="930" t="s">
        <v>545</v>
      </c>
      <c r="C63" s="925"/>
      <c r="D63" s="925" t="s">
        <v>90</v>
      </c>
      <c r="E63" s="925"/>
      <c r="F63" s="964"/>
      <c r="G63" s="964"/>
      <c r="H63" s="964" t="s">
        <v>498</v>
      </c>
      <c r="I63" s="965">
        <v>167500</v>
      </c>
      <c r="J63"/>
      <c r="K63"/>
      <c r="L63"/>
      <c r="M63"/>
      <c r="N63"/>
      <c r="O63"/>
      <c r="P63"/>
      <c r="Q63"/>
      <c r="R63"/>
      <c r="S63"/>
      <c r="T63"/>
      <c r="U63"/>
      <c r="V63"/>
      <c r="W63"/>
      <c r="X63"/>
      <c r="Y63"/>
      <c r="Z63"/>
      <c r="AA63"/>
      <c r="AB63"/>
    </row>
    <row r="64" spans="1:28" s="813" customFormat="1" ht="24.95" customHeight="1" x14ac:dyDescent="0.35">
      <c r="A64" s="968" t="s">
        <v>421</v>
      </c>
      <c r="B64" s="930" t="s">
        <v>545</v>
      </c>
      <c r="C64" s="925"/>
      <c r="D64" s="925" t="s">
        <v>90</v>
      </c>
      <c r="E64" s="925"/>
      <c r="F64" s="964"/>
      <c r="G64" s="964"/>
      <c r="H64" s="964" t="s">
        <v>503</v>
      </c>
      <c r="I64" s="965" t="s">
        <v>419</v>
      </c>
      <c r="J64"/>
      <c r="K64"/>
      <c r="L64"/>
      <c r="M64"/>
      <c r="N64"/>
      <c r="O64"/>
      <c r="P64"/>
      <c r="Q64"/>
      <c r="R64"/>
      <c r="S64"/>
      <c r="T64"/>
      <c r="U64"/>
      <c r="V64"/>
      <c r="W64"/>
      <c r="X64"/>
      <c r="Y64"/>
      <c r="Z64"/>
      <c r="AA64"/>
      <c r="AB64"/>
    </row>
    <row r="65" spans="1:28" s="813" customFormat="1" ht="24.95" customHeight="1" x14ac:dyDescent="0.35">
      <c r="A65" s="968" t="s">
        <v>421</v>
      </c>
      <c r="B65" s="930" t="s">
        <v>545</v>
      </c>
      <c r="C65" s="925"/>
      <c r="D65" s="925" t="s">
        <v>90</v>
      </c>
      <c r="E65" s="925"/>
      <c r="F65" s="964"/>
      <c r="G65" s="964"/>
      <c r="H65" s="964" t="s">
        <v>550</v>
      </c>
      <c r="I65" s="965">
        <v>174800</v>
      </c>
      <c r="J65"/>
      <c r="K65"/>
      <c r="L65"/>
      <c r="M65"/>
      <c r="N65"/>
      <c r="O65"/>
      <c r="P65"/>
      <c r="Q65"/>
      <c r="R65"/>
      <c r="S65"/>
      <c r="T65"/>
      <c r="U65"/>
      <c r="V65"/>
      <c r="W65"/>
      <c r="X65"/>
      <c r="Y65"/>
      <c r="Z65"/>
      <c r="AA65"/>
      <c r="AB65"/>
    </row>
    <row r="66" spans="1:28" s="813" customFormat="1" ht="24.95" customHeight="1" x14ac:dyDescent="0.35">
      <c r="A66" s="968" t="s">
        <v>421</v>
      </c>
      <c r="B66" s="930" t="s">
        <v>545</v>
      </c>
      <c r="C66" s="925"/>
      <c r="D66" s="925" t="s">
        <v>90</v>
      </c>
      <c r="E66" s="925"/>
      <c r="F66" s="964"/>
      <c r="G66" s="964"/>
      <c r="H66" s="964" t="s">
        <v>582</v>
      </c>
      <c r="I66" s="965">
        <v>948000</v>
      </c>
      <c r="J66"/>
      <c r="K66"/>
      <c r="L66"/>
      <c r="M66"/>
      <c r="N66"/>
      <c r="O66"/>
      <c r="P66"/>
      <c r="Q66"/>
      <c r="R66"/>
      <c r="S66"/>
      <c r="T66"/>
      <c r="U66"/>
      <c r="V66"/>
      <c r="W66"/>
      <c r="X66"/>
      <c r="Y66"/>
      <c r="Z66"/>
      <c r="AA66"/>
      <c r="AB66"/>
    </row>
    <row r="67" spans="1:28" s="813" customFormat="1" ht="24.95" customHeight="1" x14ac:dyDescent="0.35">
      <c r="A67" s="968" t="s">
        <v>421</v>
      </c>
      <c r="B67" s="930" t="s">
        <v>545</v>
      </c>
      <c r="C67" s="925"/>
      <c r="D67" s="925" t="s">
        <v>90</v>
      </c>
      <c r="E67" s="925"/>
      <c r="F67" s="964"/>
      <c r="G67" s="964"/>
      <c r="H67" s="964" t="s">
        <v>583</v>
      </c>
      <c r="I67" s="965">
        <v>280000</v>
      </c>
      <c r="J67"/>
      <c r="K67"/>
      <c r="L67"/>
      <c r="M67"/>
      <c r="N67"/>
      <c r="O67"/>
      <c r="P67"/>
      <c r="Q67"/>
      <c r="R67"/>
      <c r="S67"/>
      <c r="T67"/>
      <c r="U67"/>
      <c r="V67"/>
      <c r="W67"/>
      <c r="X67"/>
      <c r="Y67"/>
      <c r="Z67"/>
      <c r="AA67"/>
      <c r="AB67"/>
    </row>
    <row r="68" spans="1:28" s="813" customFormat="1" ht="24.95" customHeight="1" x14ac:dyDescent="0.35">
      <c r="A68" s="968" t="s">
        <v>421</v>
      </c>
      <c r="B68" s="930" t="s">
        <v>545</v>
      </c>
      <c r="C68" s="925"/>
      <c r="D68" s="925" t="s">
        <v>90</v>
      </c>
      <c r="E68" s="925"/>
      <c r="F68" s="964" t="s">
        <v>676</v>
      </c>
      <c r="G68" s="964"/>
      <c r="H68" s="964" t="s">
        <v>603</v>
      </c>
      <c r="I68" s="965">
        <v>685000</v>
      </c>
      <c r="J68"/>
      <c r="K68"/>
      <c r="L68"/>
      <c r="M68"/>
      <c r="N68"/>
      <c r="O68"/>
      <c r="P68"/>
      <c r="Q68"/>
      <c r="R68"/>
      <c r="S68"/>
      <c r="T68"/>
      <c r="U68"/>
      <c r="V68"/>
      <c r="W68"/>
      <c r="X68"/>
      <c r="Y68"/>
      <c r="Z68"/>
      <c r="AA68"/>
      <c r="AB68"/>
    </row>
    <row r="69" spans="1:28" s="813" customFormat="1" ht="24.95" customHeight="1" x14ac:dyDescent="0.35">
      <c r="A69" s="968">
        <v>45952</v>
      </c>
      <c r="B69" s="930" t="s">
        <v>545</v>
      </c>
      <c r="C69" s="925"/>
      <c r="D69" s="925" t="s">
        <v>90</v>
      </c>
      <c r="E69" s="925"/>
      <c r="F69" s="964"/>
      <c r="G69" s="964"/>
      <c r="H69" s="964" t="s">
        <v>645</v>
      </c>
      <c r="I69" s="965" t="s">
        <v>419</v>
      </c>
      <c r="J69"/>
      <c r="K69"/>
      <c r="L69"/>
      <c r="M69"/>
      <c r="N69"/>
      <c r="O69"/>
      <c r="P69"/>
      <c r="Q69"/>
      <c r="R69"/>
      <c r="S69"/>
      <c r="T69"/>
      <c r="U69"/>
      <c r="V69"/>
      <c r="W69"/>
      <c r="X69"/>
      <c r="Y69"/>
      <c r="Z69"/>
      <c r="AA69"/>
      <c r="AB69"/>
    </row>
    <row r="70" spans="1:28" s="813" customFormat="1" ht="24.95" customHeight="1" x14ac:dyDescent="0.35">
      <c r="A70" s="968">
        <v>45985</v>
      </c>
      <c r="B70" s="930" t="s">
        <v>545</v>
      </c>
      <c r="C70" s="925"/>
      <c r="D70" s="925" t="s">
        <v>90</v>
      </c>
      <c r="E70" s="925"/>
      <c r="F70" s="964"/>
      <c r="G70" s="964"/>
      <c r="H70" s="964" t="s">
        <v>471</v>
      </c>
      <c r="I70" s="965" t="s">
        <v>419</v>
      </c>
      <c r="J70"/>
      <c r="K70"/>
      <c r="L70"/>
      <c r="M70"/>
      <c r="N70"/>
      <c r="O70"/>
      <c r="P70"/>
      <c r="Q70"/>
      <c r="R70"/>
      <c r="S70"/>
      <c r="T70"/>
      <c r="U70"/>
      <c r="V70"/>
      <c r="W70"/>
      <c r="X70"/>
      <c r="Y70"/>
      <c r="Z70"/>
      <c r="AA70"/>
      <c r="AB70"/>
    </row>
    <row r="71" spans="1:28" s="813" customFormat="1" ht="24.95" customHeight="1" x14ac:dyDescent="0.35">
      <c r="A71" s="968">
        <v>45986</v>
      </c>
      <c r="B71" s="930" t="s">
        <v>545</v>
      </c>
      <c r="C71" s="925"/>
      <c r="D71" s="925" t="s">
        <v>90</v>
      </c>
      <c r="E71" s="925"/>
      <c r="F71" s="964"/>
      <c r="G71" s="964"/>
      <c r="H71" s="964" t="s">
        <v>689</v>
      </c>
      <c r="I71" s="965" t="s">
        <v>419</v>
      </c>
      <c r="J71"/>
      <c r="K71"/>
      <c r="L71"/>
      <c r="M71"/>
      <c r="N71"/>
      <c r="O71"/>
      <c r="P71"/>
      <c r="Q71"/>
      <c r="R71"/>
      <c r="S71"/>
      <c r="T71"/>
      <c r="U71"/>
      <c r="V71"/>
      <c r="W71"/>
      <c r="X71"/>
      <c r="Y71"/>
      <c r="Z71"/>
      <c r="AA71"/>
      <c r="AB71"/>
    </row>
    <row r="72" spans="1:28" s="813" customFormat="1" ht="24.95" customHeight="1" x14ac:dyDescent="0.35">
      <c r="A72" s="968">
        <v>46042</v>
      </c>
      <c r="B72" s="930" t="s">
        <v>545</v>
      </c>
      <c r="C72" s="925"/>
      <c r="D72" s="925" t="s">
        <v>90</v>
      </c>
      <c r="E72" s="925"/>
      <c r="F72" s="964"/>
      <c r="G72" s="964"/>
      <c r="H72" s="964" t="s">
        <v>728</v>
      </c>
      <c r="I72" s="965" t="s">
        <v>419</v>
      </c>
      <c r="J72"/>
      <c r="K72"/>
      <c r="L72"/>
      <c r="M72"/>
      <c r="N72"/>
      <c r="O72"/>
      <c r="P72"/>
      <c r="Q72"/>
      <c r="R72"/>
      <c r="S72"/>
      <c r="T72"/>
      <c r="U72"/>
      <c r="V72"/>
      <c r="W72"/>
      <c r="X72"/>
      <c r="Y72"/>
      <c r="Z72"/>
      <c r="AA72"/>
      <c r="AB72"/>
    </row>
    <row r="73" spans="1:28" s="813" customFormat="1" ht="24.95" customHeight="1" x14ac:dyDescent="0.35">
      <c r="A73" s="968">
        <v>46042</v>
      </c>
      <c r="B73" s="930" t="s">
        <v>545</v>
      </c>
      <c r="C73" s="925"/>
      <c r="D73" s="925" t="s">
        <v>90</v>
      </c>
      <c r="E73" s="925"/>
      <c r="F73" s="964"/>
      <c r="G73" s="964"/>
      <c r="H73" s="964" t="s">
        <v>729</v>
      </c>
      <c r="I73" s="965" t="s">
        <v>419</v>
      </c>
      <c r="J73"/>
      <c r="K73"/>
      <c r="L73"/>
      <c r="M73"/>
      <c r="N73"/>
      <c r="O73"/>
      <c r="P73"/>
      <c r="Q73"/>
      <c r="R73"/>
      <c r="S73"/>
      <c r="T73"/>
      <c r="U73"/>
      <c r="V73"/>
      <c r="W73"/>
      <c r="X73"/>
      <c r="Y73"/>
      <c r="Z73"/>
      <c r="AA73"/>
      <c r="AB73"/>
    </row>
    <row r="74" spans="1:28" s="813" customFormat="1" ht="24.95" customHeight="1" x14ac:dyDescent="0.35">
      <c r="A74" s="968">
        <v>46057</v>
      </c>
      <c r="B74" s="930" t="s">
        <v>545</v>
      </c>
      <c r="C74" s="925"/>
      <c r="D74" s="925" t="s">
        <v>90</v>
      </c>
      <c r="E74" s="925"/>
      <c r="F74" s="964"/>
      <c r="G74" s="964"/>
      <c r="H74" s="964" t="s">
        <v>768</v>
      </c>
      <c r="I74" s="965" t="s">
        <v>419</v>
      </c>
      <c r="J74"/>
      <c r="K74"/>
      <c r="L74"/>
      <c r="M74"/>
      <c r="N74"/>
      <c r="O74"/>
      <c r="P74"/>
      <c r="Q74"/>
      <c r="R74"/>
      <c r="S74"/>
      <c r="T74"/>
      <c r="U74"/>
      <c r="V74"/>
      <c r="W74"/>
      <c r="X74"/>
      <c r="Y74"/>
      <c r="Z74"/>
      <c r="AA74"/>
      <c r="AB74"/>
    </row>
    <row r="75" spans="1:28" s="813" customFormat="1" ht="24.95" customHeight="1" x14ac:dyDescent="0.35">
      <c r="A75" s="968"/>
      <c r="B75" s="930" t="s">
        <v>545</v>
      </c>
      <c r="C75" s="925"/>
      <c r="D75" s="925" t="s">
        <v>90</v>
      </c>
      <c r="E75" s="925"/>
      <c r="F75" s="964"/>
      <c r="G75" s="964"/>
      <c r="H75" s="964" t="s">
        <v>780</v>
      </c>
      <c r="I75" s="965" t="s">
        <v>419</v>
      </c>
      <c r="J75"/>
      <c r="K75"/>
      <c r="L75"/>
      <c r="M75"/>
      <c r="N75"/>
      <c r="O75"/>
      <c r="P75"/>
      <c r="Q75"/>
      <c r="R75"/>
      <c r="S75"/>
      <c r="T75"/>
      <c r="U75"/>
      <c r="V75"/>
      <c r="W75"/>
      <c r="X75"/>
      <c r="Y75"/>
      <c r="Z75"/>
      <c r="AA75"/>
      <c r="AB75"/>
    </row>
    <row r="76" spans="1:28" s="813" customFormat="1" ht="24.95" customHeight="1" x14ac:dyDescent="0.35">
      <c r="A76" s="968"/>
      <c r="B76" s="930" t="s">
        <v>545</v>
      </c>
      <c r="C76" s="925"/>
      <c r="D76" s="925" t="s">
        <v>90</v>
      </c>
      <c r="E76" s="925"/>
      <c r="F76" s="964"/>
      <c r="G76" s="964"/>
      <c r="H76" s="964" t="s">
        <v>781</v>
      </c>
      <c r="I76" s="965" t="s">
        <v>419</v>
      </c>
      <c r="J76"/>
      <c r="K76"/>
      <c r="L76"/>
      <c r="M76"/>
      <c r="N76"/>
      <c r="O76"/>
      <c r="P76"/>
      <c r="Q76"/>
      <c r="R76"/>
      <c r="S76"/>
      <c r="T76"/>
      <c r="U76"/>
      <c r="V76"/>
      <c r="W76"/>
      <c r="X76"/>
      <c r="Y76"/>
      <c r="Z76"/>
      <c r="AA76"/>
      <c r="AB76"/>
    </row>
    <row r="77" spans="1:28" s="813" customFormat="1" ht="24.95" customHeight="1" x14ac:dyDescent="0.35">
      <c r="A77" s="968">
        <v>45630</v>
      </c>
      <c r="B77" s="930" t="s">
        <v>466</v>
      </c>
      <c r="C77" s="925"/>
      <c r="D77" s="925" t="s">
        <v>92</v>
      </c>
      <c r="E77" s="925"/>
      <c r="F77" s="964"/>
      <c r="G77" s="964"/>
      <c r="H77" s="964">
        <v>5939</v>
      </c>
      <c r="I77" s="965">
        <v>297900</v>
      </c>
      <c r="J77"/>
      <c r="K77"/>
      <c r="L77"/>
      <c r="M77"/>
      <c r="N77"/>
      <c r="O77"/>
      <c r="P77"/>
      <c r="Q77"/>
      <c r="R77"/>
      <c r="S77"/>
      <c r="T77"/>
      <c r="U77"/>
      <c r="V77"/>
      <c r="W77"/>
      <c r="X77"/>
      <c r="Y77"/>
      <c r="Z77"/>
      <c r="AA77"/>
      <c r="AB77"/>
    </row>
    <row r="78" spans="1:28" s="813" customFormat="1" ht="24.95" customHeight="1" x14ac:dyDescent="0.35">
      <c r="A78" s="968">
        <v>45749</v>
      </c>
      <c r="B78" s="930" t="s">
        <v>657</v>
      </c>
      <c r="C78" s="925"/>
      <c r="D78" s="925" t="s">
        <v>92</v>
      </c>
      <c r="E78" s="925"/>
      <c r="F78" s="964"/>
      <c r="G78" s="964"/>
      <c r="H78" s="964" t="s">
        <v>493</v>
      </c>
      <c r="I78" s="965">
        <v>1000</v>
      </c>
      <c r="J78"/>
      <c r="K78"/>
      <c r="L78"/>
      <c r="M78"/>
      <c r="N78"/>
      <c r="O78"/>
      <c r="P78"/>
      <c r="Q78"/>
      <c r="R78"/>
      <c r="S78"/>
      <c r="T78"/>
      <c r="U78"/>
      <c r="V78"/>
      <c r="W78"/>
      <c r="X78"/>
      <c r="Y78"/>
      <c r="Z78"/>
      <c r="AA78"/>
      <c r="AB78"/>
    </row>
    <row r="79" spans="1:28" s="813" customFormat="1" ht="24.95" customHeight="1" x14ac:dyDescent="0.35">
      <c r="A79" s="968">
        <v>45749</v>
      </c>
      <c r="B79" s="930" t="s">
        <v>657</v>
      </c>
      <c r="C79" s="925"/>
      <c r="D79" s="925" t="s">
        <v>92</v>
      </c>
      <c r="E79" s="925"/>
      <c r="F79" s="964"/>
      <c r="G79" s="964"/>
      <c r="H79" s="964" t="s">
        <v>494</v>
      </c>
      <c r="I79" s="965">
        <v>7500</v>
      </c>
      <c r="J79"/>
      <c r="K79"/>
      <c r="L79"/>
      <c r="M79"/>
      <c r="N79"/>
      <c r="O79"/>
      <c r="P79"/>
      <c r="Q79"/>
      <c r="R79"/>
      <c r="S79"/>
      <c r="T79"/>
      <c r="U79"/>
      <c r="V79"/>
      <c r="W79"/>
      <c r="X79"/>
      <c r="Y79"/>
      <c r="Z79"/>
      <c r="AA79"/>
      <c r="AB79"/>
    </row>
    <row r="80" spans="1:28" s="813" customFormat="1" ht="24.95" customHeight="1" x14ac:dyDescent="0.35">
      <c r="A80" s="968" t="s">
        <v>421</v>
      </c>
      <c r="B80" s="930" t="s">
        <v>270</v>
      </c>
      <c r="C80" s="925"/>
      <c r="D80" s="925" t="s">
        <v>90</v>
      </c>
      <c r="E80" s="925"/>
      <c r="F80" s="964"/>
      <c r="G80" s="964"/>
      <c r="H80" s="964">
        <v>5950</v>
      </c>
      <c r="I80" s="965" t="s">
        <v>419</v>
      </c>
      <c r="J80"/>
      <c r="K80"/>
      <c r="L80"/>
      <c r="M80"/>
      <c r="N80"/>
      <c r="O80"/>
      <c r="P80"/>
      <c r="Q80"/>
      <c r="R80"/>
      <c r="S80"/>
      <c r="T80"/>
      <c r="U80"/>
      <c r="V80"/>
      <c r="W80"/>
      <c r="X80"/>
      <c r="Y80"/>
      <c r="Z80"/>
      <c r="AA80"/>
      <c r="AB80"/>
    </row>
    <row r="81" spans="1:28" s="813" customFormat="1" ht="24.95" customHeight="1" x14ac:dyDescent="0.35">
      <c r="A81" s="968">
        <v>45700</v>
      </c>
      <c r="B81" s="930" t="s">
        <v>270</v>
      </c>
      <c r="C81" s="925"/>
      <c r="D81" s="925" t="s">
        <v>90</v>
      </c>
      <c r="E81" s="925"/>
      <c r="F81" s="964"/>
      <c r="G81" s="964"/>
      <c r="H81" s="964"/>
      <c r="I81" s="965">
        <v>1200</v>
      </c>
      <c r="J81"/>
      <c r="K81"/>
      <c r="L81"/>
      <c r="M81"/>
      <c r="N81"/>
      <c r="O81"/>
      <c r="P81"/>
      <c r="Q81"/>
      <c r="R81"/>
      <c r="S81"/>
      <c r="T81"/>
      <c r="U81"/>
      <c r="V81"/>
      <c r="W81"/>
      <c r="X81"/>
      <c r="Y81"/>
      <c r="Z81"/>
      <c r="AA81"/>
      <c r="AB81"/>
    </row>
    <row r="82" spans="1:28" s="813" customFormat="1" ht="24.95" customHeight="1" x14ac:dyDescent="0.35">
      <c r="A82" s="968">
        <v>45896</v>
      </c>
      <c r="B82" s="930" t="s">
        <v>270</v>
      </c>
      <c r="C82" s="925"/>
      <c r="D82" s="925" t="s">
        <v>90</v>
      </c>
      <c r="E82" s="925"/>
      <c r="F82" s="964"/>
      <c r="G82" s="964"/>
      <c r="H82" s="964" t="s">
        <v>601</v>
      </c>
      <c r="I82" s="965" t="s">
        <v>419</v>
      </c>
      <c r="J82"/>
      <c r="K82"/>
      <c r="L82"/>
      <c r="M82"/>
      <c r="N82"/>
      <c r="O82"/>
      <c r="P82"/>
      <c r="Q82"/>
      <c r="R82"/>
      <c r="S82"/>
      <c r="T82"/>
      <c r="U82"/>
      <c r="V82"/>
      <c r="W82"/>
      <c r="X82"/>
      <c r="Y82"/>
      <c r="Z82"/>
      <c r="AA82"/>
      <c r="AB82"/>
    </row>
    <row r="83" spans="1:28" s="813" customFormat="1" ht="24.95" customHeight="1" x14ac:dyDescent="0.35">
      <c r="A83" s="968">
        <v>45908</v>
      </c>
      <c r="B83" s="930" t="s">
        <v>270</v>
      </c>
      <c r="C83" s="925"/>
      <c r="D83" s="925" t="s">
        <v>90</v>
      </c>
      <c r="E83" s="925"/>
      <c r="F83" s="964"/>
      <c r="G83" s="964"/>
      <c r="H83" s="964" t="s">
        <v>613</v>
      </c>
      <c r="I83" s="965">
        <v>240350</v>
      </c>
      <c r="J83"/>
      <c r="K83"/>
      <c r="L83"/>
      <c r="M83"/>
      <c r="N83"/>
      <c r="O83"/>
      <c r="P83"/>
      <c r="Q83"/>
      <c r="R83"/>
      <c r="S83"/>
      <c r="T83"/>
      <c r="U83"/>
      <c r="V83"/>
      <c r="W83"/>
      <c r="X83"/>
      <c r="Y83"/>
      <c r="Z83"/>
      <c r="AA83"/>
      <c r="AB83"/>
    </row>
    <row r="84" spans="1:28" s="813" customFormat="1" ht="24.95" customHeight="1" x14ac:dyDescent="0.35">
      <c r="A84" s="968">
        <v>45933</v>
      </c>
      <c r="B84" s="930" t="s">
        <v>270</v>
      </c>
      <c r="C84" s="925"/>
      <c r="D84" s="925" t="s">
        <v>90</v>
      </c>
      <c r="E84" s="925"/>
      <c r="F84" s="964"/>
      <c r="G84" s="964"/>
      <c r="H84" s="964" t="s">
        <v>671</v>
      </c>
      <c r="I84" s="965">
        <v>274513</v>
      </c>
      <c r="J84"/>
      <c r="K84"/>
      <c r="L84"/>
      <c r="M84"/>
      <c r="N84"/>
      <c r="O84"/>
      <c r="P84"/>
      <c r="Q84"/>
      <c r="R84"/>
      <c r="S84"/>
      <c r="T84"/>
      <c r="U84"/>
      <c r="V84"/>
      <c r="W84"/>
      <c r="X84"/>
      <c r="Y84"/>
      <c r="Z84"/>
      <c r="AA84"/>
      <c r="AB84"/>
    </row>
    <row r="85" spans="1:28" s="813" customFormat="1" ht="24.95" customHeight="1" x14ac:dyDescent="0.35">
      <c r="A85" s="968">
        <v>45944</v>
      </c>
      <c r="B85" s="930" t="s">
        <v>270</v>
      </c>
      <c r="C85" s="925"/>
      <c r="D85" s="925" t="s">
        <v>90</v>
      </c>
      <c r="E85" s="925"/>
      <c r="F85" s="964"/>
      <c r="G85" s="964"/>
      <c r="H85" s="964" t="s">
        <v>635</v>
      </c>
      <c r="I85" s="965">
        <v>58000</v>
      </c>
      <c r="J85"/>
      <c r="K85"/>
      <c r="L85"/>
      <c r="M85"/>
      <c r="N85"/>
      <c r="O85"/>
      <c r="P85"/>
      <c r="Q85"/>
      <c r="R85"/>
      <c r="S85"/>
      <c r="T85"/>
      <c r="U85"/>
      <c r="V85"/>
      <c r="W85"/>
      <c r="X85"/>
      <c r="Y85"/>
      <c r="Z85"/>
      <c r="AA85"/>
      <c r="AB85"/>
    </row>
    <row r="86" spans="1:28" s="813" customFormat="1" ht="24.95" customHeight="1" x14ac:dyDescent="0.35">
      <c r="A86" s="968">
        <v>45946</v>
      </c>
      <c r="B86" s="930" t="s">
        <v>270</v>
      </c>
      <c r="C86" s="925"/>
      <c r="D86" s="925" t="s">
        <v>90</v>
      </c>
      <c r="E86" s="925"/>
      <c r="F86" s="964"/>
      <c r="G86" s="964"/>
      <c r="H86" s="964" t="s">
        <v>638</v>
      </c>
      <c r="I86" s="965">
        <v>100000</v>
      </c>
      <c r="J86"/>
      <c r="K86"/>
      <c r="L86"/>
      <c r="M86"/>
      <c r="N86"/>
      <c r="O86"/>
      <c r="P86"/>
      <c r="Q86"/>
      <c r="R86"/>
      <c r="S86"/>
      <c r="T86"/>
      <c r="U86"/>
      <c r="V86"/>
      <c r="W86"/>
      <c r="X86"/>
      <c r="Y86"/>
      <c r="Z86"/>
      <c r="AA86"/>
      <c r="AB86"/>
    </row>
    <row r="87" spans="1:28" s="813" customFormat="1" ht="24.95" customHeight="1" x14ac:dyDescent="0.35">
      <c r="A87" s="968">
        <v>45946</v>
      </c>
      <c r="B87" s="930" t="s">
        <v>270</v>
      </c>
      <c r="C87" s="925"/>
      <c r="D87" s="925" t="s">
        <v>90</v>
      </c>
      <c r="E87" s="925"/>
      <c r="F87" s="964"/>
      <c r="G87" s="964"/>
      <c r="H87" s="964" t="s">
        <v>639</v>
      </c>
      <c r="I87" s="965">
        <v>89000</v>
      </c>
      <c r="J87"/>
      <c r="K87"/>
      <c r="L87"/>
      <c r="M87"/>
      <c r="N87"/>
      <c r="O87"/>
      <c r="P87"/>
      <c r="Q87"/>
      <c r="R87"/>
      <c r="S87"/>
      <c r="T87"/>
      <c r="U87"/>
      <c r="V87"/>
      <c r="W87"/>
      <c r="X87"/>
      <c r="Y87"/>
      <c r="Z87"/>
      <c r="AA87"/>
      <c r="AB87"/>
    </row>
    <row r="88" spans="1:28" s="813" customFormat="1" ht="24.95" customHeight="1" x14ac:dyDescent="0.35">
      <c r="A88" s="968">
        <v>45946</v>
      </c>
      <c r="B88" s="930" t="s">
        <v>270</v>
      </c>
      <c r="C88" s="925"/>
      <c r="D88" s="925" t="s">
        <v>90</v>
      </c>
      <c r="E88" s="925"/>
      <c r="F88" s="964"/>
      <c r="G88" s="964"/>
      <c r="H88" s="964" t="s">
        <v>640</v>
      </c>
      <c r="I88" s="965">
        <v>105000</v>
      </c>
      <c r="J88"/>
      <c r="K88"/>
      <c r="L88"/>
      <c r="M88"/>
      <c r="N88"/>
      <c r="O88"/>
      <c r="P88"/>
      <c r="Q88"/>
      <c r="R88"/>
      <c r="S88"/>
      <c r="T88"/>
      <c r="U88"/>
      <c r="V88"/>
      <c r="W88"/>
      <c r="X88"/>
      <c r="Y88"/>
      <c r="Z88"/>
      <c r="AA88"/>
      <c r="AB88"/>
    </row>
    <row r="89" spans="1:28" s="813" customFormat="1" ht="24.95" customHeight="1" x14ac:dyDescent="0.35">
      <c r="A89" s="968">
        <v>45817</v>
      </c>
      <c r="B89" s="983" t="s">
        <v>560</v>
      </c>
      <c r="C89" s="925"/>
      <c r="D89" s="964" t="s">
        <v>90</v>
      </c>
      <c r="E89" s="964"/>
      <c r="F89" s="964"/>
      <c r="G89" s="964"/>
      <c r="H89" s="964" t="s">
        <v>556</v>
      </c>
      <c r="I89" s="965" t="s">
        <v>419</v>
      </c>
      <c r="J89"/>
      <c r="K89"/>
      <c r="L89"/>
      <c r="M89"/>
      <c r="N89"/>
      <c r="O89"/>
      <c r="P89"/>
      <c r="Q89"/>
      <c r="R89"/>
      <c r="S89"/>
      <c r="T89"/>
      <c r="U89"/>
      <c r="V89"/>
      <c r="W89"/>
      <c r="X89"/>
      <c r="Y89"/>
      <c r="Z89"/>
      <c r="AA89"/>
      <c r="AB89"/>
    </row>
    <row r="90" spans="1:28" s="813" customFormat="1" ht="24.95" customHeight="1" x14ac:dyDescent="0.35">
      <c r="A90" s="968">
        <v>45854</v>
      </c>
      <c r="B90" s="983" t="s">
        <v>560</v>
      </c>
      <c r="C90" s="925"/>
      <c r="D90" s="964" t="s">
        <v>90</v>
      </c>
      <c r="E90" s="964"/>
      <c r="F90" s="964"/>
      <c r="G90" s="964"/>
      <c r="H90" s="964" t="s">
        <v>562</v>
      </c>
      <c r="I90" s="965" t="s">
        <v>419</v>
      </c>
      <c r="J90"/>
      <c r="K90"/>
      <c r="L90"/>
      <c r="M90"/>
      <c r="N90"/>
      <c r="O90"/>
      <c r="P90"/>
      <c r="Q90"/>
      <c r="R90"/>
      <c r="S90"/>
      <c r="T90"/>
      <c r="U90"/>
      <c r="V90"/>
      <c r="W90"/>
      <c r="X90"/>
      <c r="Y90"/>
      <c r="Z90"/>
      <c r="AA90"/>
      <c r="AB90"/>
    </row>
    <row r="91" spans="1:28" s="813" customFormat="1" ht="24.95" customHeight="1" x14ac:dyDescent="0.35">
      <c r="A91" s="968">
        <v>45973</v>
      </c>
      <c r="B91" s="983" t="s">
        <v>560</v>
      </c>
      <c r="C91" s="925"/>
      <c r="D91" s="964" t="s">
        <v>90</v>
      </c>
      <c r="E91" s="964"/>
      <c r="F91" s="964"/>
      <c r="G91" s="964"/>
      <c r="H91" s="964" t="s">
        <v>801</v>
      </c>
      <c r="I91" s="965" t="s">
        <v>419</v>
      </c>
      <c r="J91"/>
      <c r="K91"/>
      <c r="L91"/>
      <c r="M91"/>
      <c r="N91"/>
      <c r="O91"/>
      <c r="P91"/>
      <c r="Q91"/>
      <c r="R91"/>
      <c r="S91"/>
      <c r="T91"/>
      <c r="U91"/>
      <c r="V91"/>
      <c r="W91"/>
      <c r="X91"/>
      <c r="Y91"/>
      <c r="Z91"/>
      <c r="AA91"/>
      <c r="AB91"/>
    </row>
    <row r="92" spans="1:28" s="813" customFormat="1" ht="24.95" customHeight="1" x14ac:dyDescent="0.35">
      <c r="A92" s="968">
        <v>45993</v>
      </c>
      <c r="B92" s="983" t="s">
        <v>432</v>
      </c>
      <c r="C92" s="925"/>
      <c r="D92" s="964" t="s">
        <v>90</v>
      </c>
      <c r="E92" s="964"/>
      <c r="F92" s="964"/>
      <c r="G92" s="964"/>
      <c r="H92" s="964" t="s">
        <v>692</v>
      </c>
      <c r="I92" s="965" t="s">
        <v>419</v>
      </c>
      <c r="J92"/>
      <c r="K92"/>
      <c r="L92"/>
      <c r="M92"/>
      <c r="N92"/>
      <c r="O92"/>
      <c r="P92"/>
      <c r="Q92"/>
      <c r="R92"/>
      <c r="S92"/>
      <c r="T92"/>
      <c r="U92"/>
      <c r="V92"/>
      <c r="W92"/>
      <c r="X92"/>
      <c r="Y92"/>
      <c r="Z92"/>
      <c r="AA92"/>
      <c r="AB92"/>
    </row>
    <row r="93" spans="1:28" s="813" customFormat="1" ht="24.95" customHeight="1" x14ac:dyDescent="0.35">
      <c r="A93" s="968">
        <v>46000</v>
      </c>
      <c r="B93" s="983" t="s">
        <v>432</v>
      </c>
      <c r="C93" s="925"/>
      <c r="D93" s="964" t="s">
        <v>90</v>
      </c>
      <c r="E93" s="964"/>
      <c r="F93" s="964"/>
      <c r="G93" s="964"/>
      <c r="H93" s="964" t="s">
        <v>702</v>
      </c>
      <c r="I93" s="965">
        <v>254250</v>
      </c>
      <c r="J93" t="s">
        <v>478</v>
      </c>
      <c r="K93"/>
      <c r="L93"/>
      <c r="M93"/>
      <c r="N93"/>
      <c r="O93"/>
      <c r="P93"/>
      <c r="Q93"/>
      <c r="R93"/>
      <c r="S93"/>
      <c r="T93"/>
      <c r="U93"/>
      <c r="V93"/>
      <c r="W93"/>
      <c r="X93"/>
      <c r="Y93"/>
      <c r="Z93"/>
      <c r="AA93"/>
      <c r="AB93"/>
    </row>
    <row r="94" spans="1:28" s="813" customFormat="1" ht="24.95" customHeight="1" x14ac:dyDescent="0.35">
      <c r="A94" s="968">
        <v>46032</v>
      </c>
      <c r="B94" s="983" t="s">
        <v>432</v>
      </c>
      <c r="C94" s="925"/>
      <c r="D94" s="964" t="s">
        <v>90</v>
      </c>
      <c r="E94" s="964"/>
      <c r="F94" s="964"/>
      <c r="G94" s="964"/>
      <c r="H94" s="964" t="s">
        <v>803</v>
      </c>
      <c r="I94" s="965">
        <v>415000</v>
      </c>
      <c r="J94"/>
      <c r="K94"/>
      <c r="L94"/>
      <c r="M94"/>
      <c r="N94"/>
      <c r="O94"/>
      <c r="P94"/>
      <c r="Q94"/>
      <c r="R94"/>
      <c r="S94"/>
      <c r="T94"/>
      <c r="U94"/>
      <c r="V94"/>
      <c r="W94"/>
      <c r="X94"/>
      <c r="Y94"/>
      <c r="Z94"/>
      <c r="AA94"/>
      <c r="AB94"/>
    </row>
    <row r="95" spans="1:28" s="813" customFormat="1" ht="24.95" customHeight="1" x14ac:dyDescent="0.35">
      <c r="A95" s="968">
        <v>46083</v>
      </c>
      <c r="B95" s="983" t="s">
        <v>560</v>
      </c>
      <c r="C95" s="925"/>
      <c r="D95" s="964" t="s">
        <v>90</v>
      </c>
      <c r="E95" s="964"/>
      <c r="F95" s="964"/>
      <c r="G95" s="964"/>
      <c r="H95" s="964" t="s">
        <v>802</v>
      </c>
      <c r="I95" s="965" t="s">
        <v>419</v>
      </c>
      <c r="J95"/>
      <c r="K95"/>
      <c r="L95"/>
      <c r="M95"/>
      <c r="N95"/>
      <c r="O95"/>
      <c r="P95"/>
      <c r="Q95"/>
      <c r="R95"/>
      <c r="S95"/>
      <c r="T95"/>
      <c r="U95"/>
      <c r="V95"/>
      <c r="W95"/>
      <c r="X95"/>
      <c r="Y95"/>
      <c r="Z95"/>
      <c r="AA95"/>
      <c r="AB95"/>
    </row>
    <row r="96" spans="1:28" s="813" customFormat="1" ht="24.95" customHeight="1" x14ac:dyDescent="0.35">
      <c r="A96" s="968">
        <v>45708</v>
      </c>
      <c r="B96" s="930" t="s">
        <v>436</v>
      </c>
      <c r="C96" s="925"/>
      <c r="D96" s="964" t="s">
        <v>92</v>
      </c>
      <c r="E96" s="964"/>
      <c r="F96" s="964"/>
      <c r="G96" s="964"/>
      <c r="H96" s="964" t="s">
        <v>443</v>
      </c>
      <c r="I96" s="965"/>
      <c r="J96"/>
      <c r="K96"/>
      <c r="L96"/>
      <c r="M96"/>
      <c r="N96"/>
      <c r="O96"/>
      <c r="P96"/>
      <c r="Q96"/>
      <c r="R96"/>
      <c r="S96"/>
      <c r="T96"/>
      <c r="U96"/>
      <c r="V96"/>
      <c r="W96"/>
      <c r="X96"/>
      <c r="Y96"/>
      <c r="Z96"/>
      <c r="AA96"/>
      <c r="AB96"/>
    </row>
    <row r="97" spans="1:28" s="813" customFormat="1" ht="24.95" customHeight="1" x14ac:dyDescent="0.35">
      <c r="A97" s="968" t="s">
        <v>421</v>
      </c>
      <c r="B97" s="930" t="s">
        <v>434</v>
      </c>
      <c r="C97" s="925"/>
      <c r="D97" s="964" t="s">
        <v>90</v>
      </c>
      <c r="E97" s="964"/>
      <c r="F97" s="964"/>
      <c r="G97" s="964"/>
      <c r="H97" s="964" t="s">
        <v>665</v>
      </c>
      <c r="I97" s="965">
        <v>2977500</v>
      </c>
      <c r="J97"/>
      <c r="K97"/>
      <c r="L97"/>
      <c r="M97"/>
      <c r="N97"/>
      <c r="O97"/>
      <c r="P97"/>
      <c r="Q97"/>
      <c r="R97"/>
      <c r="S97"/>
      <c r="T97"/>
      <c r="U97"/>
      <c r="V97"/>
      <c r="W97"/>
      <c r="X97"/>
      <c r="Y97"/>
      <c r="Z97"/>
      <c r="AA97"/>
      <c r="AB97"/>
    </row>
    <row r="98" spans="1:28" s="813" customFormat="1" ht="24.95" customHeight="1" x14ac:dyDescent="0.35">
      <c r="A98" s="968">
        <v>45965</v>
      </c>
      <c r="B98" s="930" t="s">
        <v>434</v>
      </c>
      <c r="C98" s="925"/>
      <c r="D98" s="964" t="s">
        <v>90</v>
      </c>
      <c r="E98" s="964"/>
      <c r="F98" s="964"/>
      <c r="G98" s="964"/>
      <c r="H98" s="964" t="s">
        <v>672</v>
      </c>
      <c r="I98" s="965">
        <v>592500</v>
      </c>
      <c r="J98" t="s">
        <v>478</v>
      </c>
      <c r="K98"/>
      <c r="L98"/>
      <c r="M98"/>
      <c r="N98"/>
      <c r="O98"/>
      <c r="P98"/>
      <c r="Q98"/>
      <c r="R98"/>
      <c r="S98"/>
      <c r="T98"/>
      <c r="U98"/>
      <c r="V98"/>
      <c r="W98"/>
      <c r="X98"/>
      <c r="Y98"/>
      <c r="Z98"/>
      <c r="AA98"/>
      <c r="AB98"/>
    </row>
    <row r="99" spans="1:28" s="813" customFormat="1" ht="24.95" customHeight="1" x14ac:dyDescent="0.35">
      <c r="A99" s="968">
        <v>45723</v>
      </c>
      <c r="B99" s="930" t="s">
        <v>428</v>
      </c>
      <c r="C99" s="925"/>
      <c r="D99" s="964" t="s">
        <v>92</v>
      </c>
      <c r="E99" s="964"/>
      <c r="F99" s="964"/>
      <c r="G99" s="964"/>
      <c r="H99" s="964" t="s">
        <v>501</v>
      </c>
      <c r="I99" s="965">
        <v>8000</v>
      </c>
      <c r="J99"/>
      <c r="K99"/>
      <c r="L99"/>
      <c r="M99"/>
      <c r="N99"/>
      <c r="O99"/>
      <c r="P99"/>
      <c r="Q99"/>
      <c r="R99"/>
      <c r="S99"/>
      <c r="T99"/>
      <c r="U99"/>
      <c r="V99"/>
      <c r="W99"/>
      <c r="X99"/>
      <c r="Y99"/>
      <c r="Z99"/>
      <c r="AA99"/>
      <c r="AB99"/>
    </row>
    <row r="100" spans="1:28" s="813" customFormat="1" ht="24.95" customHeight="1" x14ac:dyDescent="0.35">
      <c r="A100" s="968">
        <v>45828</v>
      </c>
      <c r="B100" s="930" t="s">
        <v>428</v>
      </c>
      <c r="C100" s="925"/>
      <c r="D100" s="964" t="s">
        <v>92</v>
      </c>
      <c r="E100" s="964"/>
      <c r="F100" s="964"/>
      <c r="G100" s="964"/>
      <c r="H100" s="964" t="s">
        <v>559</v>
      </c>
      <c r="I100" s="965" t="s">
        <v>419</v>
      </c>
      <c r="J100"/>
      <c r="K100"/>
      <c r="L100"/>
      <c r="M100"/>
      <c r="N100"/>
      <c r="O100"/>
      <c r="P100"/>
      <c r="Q100"/>
      <c r="R100"/>
      <c r="S100"/>
      <c r="T100"/>
      <c r="U100"/>
      <c r="V100"/>
      <c r="W100"/>
      <c r="X100"/>
      <c r="Y100"/>
      <c r="Z100"/>
      <c r="AA100"/>
      <c r="AB100"/>
    </row>
    <row r="101" spans="1:28" s="813" customFormat="1" ht="24.95" customHeight="1" x14ac:dyDescent="0.35">
      <c r="A101" s="968">
        <v>46053</v>
      </c>
      <c r="B101" s="930" t="s">
        <v>428</v>
      </c>
      <c r="C101" s="925"/>
      <c r="D101" s="964" t="s">
        <v>92</v>
      </c>
      <c r="E101" s="964"/>
      <c r="F101" s="964"/>
      <c r="G101" s="964"/>
      <c r="H101" s="964" t="s">
        <v>746</v>
      </c>
      <c r="I101" s="965" t="s">
        <v>419</v>
      </c>
      <c r="J101"/>
      <c r="K101"/>
      <c r="L101"/>
      <c r="M101"/>
      <c r="N101"/>
      <c r="O101"/>
      <c r="P101"/>
      <c r="Q101"/>
      <c r="R101"/>
      <c r="S101"/>
      <c r="T101"/>
      <c r="U101"/>
      <c r="V101"/>
      <c r="W101"/>
      <c r="X101"/>
      <c r="Y101"/>
      <c r="Z101"/>
      <c r="AA101"/>
      <c r="AB101"/>
    </row>
    <row r="102" spans="1:28" s="813" customFormat="1" ht="24.95" customHeight="1" x14ac:dyDescent="0.35">
      <c r="A102" s="968">
        <v>46057</v>
      </c>
      <c r="B102" s="930" t="s">
        <v>428</v>
      </c>
      <c r="C102" s="925"/>
      <c r="D102" s="964" t="s">
        <v>92</v>
      </c>
      <c r="E102" s="964"/>
      <c r="F102" s="964"/>
      <c r="G102" s="964"/>
      <c r="H102" s="964" t="s">
        <v>769</v>
      </c>
      <c r="I102" s="965" t="s">
        <v>419</v>
      </c>
      <c r="J102"/>
      <c r="K102"/>
      <c r="L102"/>
      <c r="M102"/>
      <c r="N102"/>
      <c r="O102"/>
      <c r="P102"/>
      <c r="Q102"/>
      <c r="R102"/>
      <c r="S102"/>
      <c r="T102"/>
      <c r="U102"/>
      <c r="V102"/>
      <c r="W102"/>
      <c r="X102"/>
      <c r="Y102"/>
      <c r="Z102"/>
      <c r="AA102"/>
      <c r="AB102"/>
    </row>
    <row r="103" spans="1:28" s="813" customFormat="1" ht="24.95" customHeight="1" x14ac:dyDescent="0.35">
      <c r="A103" s="968">
        <v>46077</v>
      </c>
      <c r="B103" s="930" t="s">
        <v>428</v>
      </c>
      <c r="C103" s="925"/>
      <c r="D103" s="964" t="s">
        <v>92</v>
      </c>
      <c r="E103" s="964"/>
      <c r="F103" s="964"/>
      <c r="G103" s="964"/>
      <c r="H103" s="964" t="s">
        <v>791</v>
      </c>
      <c r="I103" s="965" t="s">
        <v>419</v>
      </c>
      <c r="J103"/>
      <c r="K103"/>
      <c r="L103"/>
      <c r="M103"/>
      <c r="N103"/>
      <c r="O103"/>
      <c r="P103"/>
      <c r="Q103"/>
      <c r="R103"/>
      <c r="S103"/>
      <c r="T103"/>
      <c r="U103"/>
      <c r="V103"/>
      <c r="W103"/>
      <c r="X103"/>
      <c r="Y103"/>
      <c r="Z103"/>
      <c r="AA103"/>
      <c r="AB103"/>
    </row>
    <row r="104" spans="1:28" s="813" customFormat="1" ht="24.95" customHeight="1" x14ac:dyDescent="0.35">
      <c r="A104" s="968">
        <v>45748</v>
      </c>
      <c r="B104" s="930" t="s">
        <v>115</v>
      </c>
      <c r="C104" s="925"/>
      <c r="D104" s="964" t="s">
        <v>90</v>
      </c>
      <c r="E104" s="964"/>
      <c r="F104" s="964"/>
      <c r="G104" s="964"/>
      <c r="H104" s="964" t="s">
        <v>587</v>
      </c>
      <c r="I104" s="965">
        <v>244995</v>
      </c>
      <c r="J104"/>
      <c r="K104"/>
      <c r="L104"/>
      <c r="M104"/>
      <c r="N104"/>
      <c r="O104"/>
      <c r="P104"/>
      <c r="Q104"/>
      <c r="R104"/>
      <c r="S104"/>
      <c r="T104"/>
      <c r="U104"/>
      <c r="V104"/>
      <c r="W104"/>
      <c r="X104"/>
      <c r="Y104"/>
      <c r="Z104"/>
      <c r="AA104"/>
      <c r="AB104"/>
    </row>
    <row r="105" spans="1:28" s="782" customFormat="1" ht="24.95" customHeight="1" x14ac:dyDescent="0.35">
      <c r="A105" s="968">
        <v>45750</v>
      </c>
      <c r="B105" s="930" t="s">
        <v>438</v>
      </c>
      <c r="C105" s="925"/>
      <c r="D105" s="964" t="s">
        <v>90</v>
      </c>
      <c r="E105" s="964"/>
      <c r="F105" s="964"/>
      <c r="G105" s="964"/>
      <c r="H105" s="964" t="s">
        <v>496</v>
      </c>
      <c r="I105" s="965">
        <v>339500</v>
      </c>
      <c r="J105"/>
      <c r="K105"/>
      <c r="L105"/>
      <c r="M105"/>
      <c r="N105"/>
      <c r="O105"/>
      <c r="P105"/>
      <c r="Q105"/>
      <c r="R105"/>
      <c r="S105"/>
      <c r="T105"/>
      <c r="U105"/>
      <c r="V105"/>
      <c r="W105"/>
      <c r="X105"/>
      <c r="Y105"/>
      <c r="Z105"/>
      <c r="AA105"/>
      <c r="AB105"/>
    </row>
    <row r="106" spans="1:28" s="782" customFormat="1" ht="24.95" customHeight="1" x14ac:dyDescent="0.35">
      <c r="A106" s="968">
        <v>46045</v>
      </c>
      <c r="B106" s="930" t="s">
        <v>438</v>
      </c>
      <c r="C106" s="925" t="s">
        <v>740</v>
      </c>
      <c r="D106" s="964" t="s">
        <v>90</v>
      </c>
      <c r="E106" s="964"/>
      <c r="F106" s="964"/>
      <c r="G106" s="964"/>
      <c r="H106" s="964" t="s">
        <v>738</v>
      </c>
      <c r="I106" s="965" t="s">
        <v>419</v>
      </c>
      <c r="J106"/>
      <c r="K106"/>
      <c r="L106"/>
      <c r="M106"/>
      <c r="N106"/>
      <c r="O106"/>
      <c r="P106"/>
      <c r="Q106"/>
      <c r="R106"/>
      <c r="S106"/>
      <c r="T106"/>
      <c r="U106"/>
      <c r="V106"/>
      <c r="W106"/>
      <c r="X106"/>
      <c r="Y106"/>
      <c r="Z106"/>
      <c r="AA106"/>
      <c r="AB106"/>
    </row>
    <row r="107" spans="1:28" s="749" customFormat="1" ht="24.95" customHeight="1" x14ac:dyDescent="0.35">
      <c r="A107" s="968">
        <v>46051</v>
      </c>
      <c r="B107" s="930" t="s">
        <v>446</v>
      </c>
      <c r="C107" s="925" t="s">
        <v>740</v>
      </c>
      <c r="D107" s="964" t="s">
        <v>90</v>
      </c>
      <c r="E107" s="964"/>
      <c r="F107" s="964"/>
      <c r="G107" s="964"/>
      <c r="H107" s="964" t="s">
        <v>747</v>
      </c>
      <c r="I107" s="965">
        <v>830000</v>
      </c>
      <c r="J107"/>
      <c r="K107"/>
      <c r="L107"/>
      <c r="M107"/>
      <c r="N107"/>
      <c r="O107"/>
      <c r="P107"/>
      <c r="Q107"/>
      <c r="R107"/>
      <c r="S107"/>
      <c r="T107"/>
      <c r="U107"/>
      <c r="V107"/>
      <c r="W107"/>
      <c r="X107"/>
      <c r="Y107"/>
      <c r="Z107"/>
      <c r="AA107"/>
      <c r="AB107"/>
    </row>
    <row r="108" spans="1:28" s="749" customFormat="1" ht="24.95" customHeight="1" x14ac:dyDescent="0.35">
      <c r="A108" s="968"/>
      <c r="B108" s="930" t="s">
        <v>446</v>
      </c>
      <c r="C108" s="925"/>
      <c r="D108" s="964" t="s">
        <v>90</v>
      </c>
      <c r="E108" s="964"/>
      <c r="F108" s="964"/>
      <c r="G108" s="964"/>
      <c r="H108" s="964" t="s">
        <v>774</v>
      </c>
      <c r="I108" s="965">
        <v>260000</v>
      </c>
      <c r="J108"/>
      <c r="K108"/>
      <c r="L108"/>
      <c r="M108"/>
      <c r="N108"/>
      <c r="O108"/>
      <c r="P108"/>
      <c r="Q108"/>
      <c r="R108"/>
      <c r="S108"/>
      <c r="T108"/>
      <c r="U108"/>
      <c r="V108"/>
      <c r="W108"/>
      <c r="X108"/>
      <c r="Y108"/>
      <c r="Z108"/>
      <c r="AA108"/>
      <c r="AB108"/>
    </row>
    <row r="109" spans="1:28" s="749" customFormat="1" ht="24.95" customHeight="1" x14ac:dyDescent="0.35">
      <c r="A109" s="968" t="s">
        <v>421</v>
      </c>
      <c r="B109" s="930" t="s">
        <v>299</v>
      </c>
      <c r="C109" s="925"/>
      <c r="D109" s="925" t="s">
        <v>92</v>
      </c>
      <c r="E109" s="925"/>
      <c r="F109" s="964"/>
      <c r="G109" s="964"/>
      <c r="H109" s="964" t="s">
        <v>506</v>
      </c>
      <c r="I109" s="965">
        <v>77261.850000000006</v>
      </c>
      <c r="J109"/>
      <c r="K109"/>
      <c r="L109"/>
      <c r="M109"/>
      <c r="N109"/>
      <c r="O109"/>
      <c r="P109"/>
      <c r="Q109"/>
      <c r="R109"/>
      <c r="S109"/>
      <c r="T109"/>
      <c r="U109"/>
      <c r="V109"/>
      <c r="W109"/>
      <c r="X109"/>
      <c r="Y109"/>
      <c r="Z109"/>
      <c r="AA109"/>
      <c r="AB109"/>
    </row>
    <row r="110" spans="1:28" s="749" customFormat="1" ht="24.95" customHeight="1" x14ac:dyDescent="0.35">
      <c r="A110" s="968" t="s">
        <v>421</v>
      </c>
      <c r="B110" s="930" t="s">
        <v>299</v>
      </c>
      <c r="C110" s="925"/>
      <c r="D110" s="925" t="s">
        <v>92</v>
      </c>
      <c r="E110" s="925"/>
      <c r="F110" s="964"/>
      <c r="G110" s="964"/>
      <c r="H110" s="964" t="s">
        <v>525</v>
      </c>
      <c r="I110" s="965">
        <v>86950</v>
      </c>
      <c r="J110"/>
      <c r="K110"/>
      <c r="L110"/>
      <c r="M110"/>
      <c r="N110"/>
      <c r="O110"/>
      <c r="P110"/>
      <c r="Q110"/>
      <c r="R110"/>
      <c r="S110"/>
      <c r="T110"/>
      <c r="U110"/>
      <c r="V110"/>
      <c r="W110"/>
      <c r="X110"/>
      <c r="Y110"/>
      <c r="Z110"/>
      <c r="AA110"/>
      <c r="AB110"/>
    </row>
    <row r="111" spans="1:28" s="782" customFormat="1" ht="24.95" customHeight="1" x14ac:dyDescent="0.35">
      <c r="A111" s="968">
        <v>45790</v>
      </c>
      <c r="B111" s="930" t="s">
        <v>660</v>
      </c>
      <c r="C111" s="925"/>
      <c r="D111" s="925" t="s">
        <v>90</v>
      </c>
      <c r="E111" s="925"/>
      <c r="F111" s="964"/>
      <c r="G111" s="964"/>
      <c r="H111" s="964" t="s">
        <v>520</v>
      </c>
      <c r="I111" s="965">
        <v>487467.5</v>
      </c>
      <c r="J111"/>
      <c r="K111"/>
      <c r="L111"/>
      <c r="M111"/>
      <c r="N111"/>
      <c r="O111"/>
      <c r="P111"/>
      <c r="Q111"/>
      <c r="R111"/>
      <c r="S111"/>
      <c r="T111"/>
      <c r="U111"/>
      <c r="V111"/>
      <c r="W111"/>
      <c r="X111"/>
      <c r="Y111"/>
      <c r="Z111"/>
      <c r="AA111"/>
      <c r="AB111"/>
    </row>
    <row r="112" spans="1:28" s="782" customFormat="1" ht="24.95" customHeight="1" x14ac:dyDescent="0.35">
      <c r="A112" s="968">
        <v>45897</v>
      </c>
      <c r="B112" s="930" t="s">
        <v>660</v>
      </c>
      <c r="C112" s="925"/>
      <c r="D112" s="925" t="s">
        <v>90</v>
      </c>
      <c r="E112" s="925"/>
      <c r="F112" s="964"/>
      <c r="G112" s="964"/>
      <c r="H112" s="964" t="s">
        <v>606</v>
      </c>
      <c r="I112" s="965">
        <v>476000</v>
      </c>
      <c r="J112"/>
      <c r="K112"/>
      <c r="L112"/>
      <c r="M112"/>
      <c r="N112"/>
      <c r="O112"/>
      <c r="P112"/>
      <c r="Q112"/>
      <c r="R112"/>
      <c r="S112"/>
      <c r="T112"/>
      <c r="U112"/>
      <c r="V112"/>
      <c r="W112"/>
      <c r="X112"/>
      <c r="Y112"/>
      <c r="Z112"/>
      <c r="AA112"/>
      <c r="AB112"/>
    </row>
    <row r="113" spans="1:28" s="782" customFormat="1" ht="24.95" customHeight="1" x14ac:dyDescent="0.35">
      <c r="A113" s="968">
        <v>45973</v>
      </c>
      <c r="B113" s="930" t="s">
        <v>660</v>
      </c>
      <c r="C113" s="925"/>
      <c r="D113" s="925" t="s">
        <v>90</v>
      </c>
      <c r="E113" s="925"/>
      <c r="F113" s="964"/>
      <c r="G113" s="964"/>
      <c r="H113" s="964" t="s">
        <v>677</v>
      </c>
      <c r="I113" s="965">
        <v>39180</v>
      </c>
      <c r="J113"/>
      <c r="K113"/>
      <c r="L113"/>
      <c r="M113"/>
      <c r="N113"/>
      <c r="O113"/>
      <c r="P113"/>
      <c r="Q113"/>
      <c r="R113"/>
      <c r="S113"/>
      <c r="T113"/>
      <c r="U113"/>
      <c r="V113"/>
      <c r="W113"/>
      <c r="X113"/>
      <c r="Y113"/>
      <c r="Z113"/>
      <c r="AA113"/>
      <c r="AB113"/>
    </row>
    <row r="114" spans="1:28" s="782" customFormat="1" ht="24.95" customHeight="1" x14ac:dyDescent="0.35">
      <c r="A114" s="968">
        <v>46052</v>
      </c>
      <c r="B114" s="930" t="s">
        <v>660</v>
      </c>
      <c r="C114" s="925"/>
      <c r="D114" s="925" t="s">
        <v>90</v>
      </c>
      <c r="E114" s="925"/>
      <c r="F114" s="964" t="s">
        <v>749</v>
      </c>
      <c r="G114" s="964"/>
      <c r="H114" s="964" t="s">
        <v>748</v>
      </c>
      <c r="I114" s="965">
        <v>1700300</v>
      </c>
      <c r="J114"/>
      <c r="K114"/>
      <c r="L114"/>
      <c r="M114"/>
      <c r="N114"/>
      <c r="O114"/>
      <c r="P114"/>
      <c r="Q114"/>
      <c r="R114"/>
      <c r="S114"/>
      <c r="T114"/>
      <c r="U114"/>
      <c r="V114"/>
      <c r="W114"/>
      <c r="X114"/>
      <c r="Y114"/>
      <c r="Z114"/>
      <c r="AA114"/>
      <c r="AB114"/>
    </row>
    <row r="115" spans="1:28" s="782" customFormat="1" ht="24.95" customHeight="1" x14ac:dyDescent="0.35">
      <c r="A115" s="968">
        <v>45804</v>
      </c>
      <c r="B115" s="930" t="s">
        <v>533</v>
      </c>
      <c r="C115" s="925"/>
      <c r="D115" s="925" t="s">
        <v>92</v>
      </c>
      <c r="E115" s="925"/>
      <c r="F115" s="964"/>
      <c r="G115" s="964"/>
      <c r="H115" s="964" t="s">
        <v>534</v>
      </c>
      <c r="I115" s="965" t="s">
        <v>419</v>
      </c>
      <c r="J115"/>
      <c r="K115"/>
      <c r="L115"/>
      <c r="M115"/>
      <c r="N115"/>
      <c r="O115"/>
      <c r="P115"/>
      <c r="Q115"/>
      <c r="R115"/>
      <c r="S115"/>
      <c r="T115"/>
      <c r="U115"/>
      <c r="V115"/>
      <c r="W115"/>
      <c r="X115"/>
      <c r="Y115"/>
      <c r="Z115"/>
      <c r="AA115"/>
      <c r="AB115"/>
    </row>
    <row r="116" spans="1:28" s="782" customFormat="1" ht="24.95" customHeight="1" x14ac:dyDescent="0.35">
      <c r="A116" s="968" t="s">
        <v>557</v>
      </c>
      <c r="B116" s="930" t="s">
        <v>662</v>
      </c>
      <c r="C116" s="925"/>
      <c r="D116" s="964" t="s">
        <v>92</v>
      </c>
      <c r="E116" s="964"/>
      <c r="F116" s="964"/>
      <c r="G116" s="964"/>
      <c r="H116" s="964" t="s">
        <v>564</v>
      </c>
      <c r="I116" s="965">
        <v>115000</v>
      </c>
      <c r="J116"/>
      <c r="K116"/>
      <c r="L116"/>
      <c r="M116"/>
      <c r="N116"/>
      <c r="O116"/>
      <c r="P116"/>
      <c r="Q116"/>
      <c r="R116"/>
      <c r="S116"/>
      <c r="T116"/>
      <c r="U116"/>
      <c r="V116"/>
      <c r="W116"/>
      <c r="X116"/>
      <c r="Y116"/>
      <c r="Z116"/>
      <c r="AA116"/>
      <c r="AB116"/>
    </row>
    <row r="117" spans="1:28" s="782" customFormat="1" ht="24.95" customHeight="1" x14ac:dyDescent="0.35">
      <c r="A117" s="968" t="s">
        <v>421</v>
      </c>
      <c r="B117" s="930" t="s">
        <v>662</v>
      </c>
      <c r="C117" s="925"/>
      <c r="D117" s="964" t="s">
        <v>92</v>
      </c>
      <c r="E117" s="964"/>
      <c r="F117" s="964"/>
      <c r="G117" s="964"/>
      <c r="H117" s="964" t="s">
        <v>565</v>
      </c>
      <c r="I117" s="965">
        <v>25895</v>
      </c>
      <c r="J117"/>
      <c r="K117"/>
      <c r="L117"/>
      <c r="M117"/>
      <c r="N117"/>
      <c r="O117"/>
      <c r="P117"/>
      <c r="Q117"/>
      <c r="R117"/>
      <c r="S117"/>
      <c r="T117"/>
      <c r="U117"/>
      <c r="V117"/>
      <c r="W117"/>
      <c r="X117"/>
      <c r="Y117"/>
      <c r="Z117"/>
      <c r="AA117"/>
      <c r="AB117"/>
    </row>
    <row r="118" spans="1:28" s="782" customFormat="1" ht="24.95" customHeight="1" x14ac:dyDescent="0.35">
      <c r="A118" s="968" t="s">
        <v>421</v>
      </c>
      <c r="B118" s="930" t="s">
        <v>663</v>
      </c>
      <c r="C118" s="925"/>
      <c r="D118" s="964" t="s">
        <v>90</v>
      </c>
      <c r="E118" s="964"/>
      <c r="F118" s="964"/>
      <c r="G118" s="964"/>
      <c r="H118" s="964" t="s">
        <v>571</v>
      </c>
      <c r="I118" s="965">
        <v>45000</v>
      </c>
      <c r="J118"/>
      <c r="K118"/>
      <c r="L118"/>
      <c r="M118"/>
      <c r="N118"/>
      <c r="O118"/>
      <c r="P118"/>
      <c r="Q118"/>
      <c r="R118"/>
      <c r="S118"/>
      <c r="T118"/>
      <c r="U118"/>
      <c r="V118"/>
      <c r="W118"/>
      <c r="X118"/>
      <c r="Y118"/>
      <c r="Z118"/>
      <c r="AA118"/>
      <c r="AB118"/>
    </row>
    <row r="119" spans="1:28" s="782" customFormat="1" ht="24.95" customHeight="1" x14ac:dyDescent="0.35">
      <c r="A119" s="968">
        <v>45883</v>
      </c>
      <c r="B119" s="930" t="s">
        <v>663</v>
      </c>
      <c r="C119" s="925"/>
      <c r="D119" s="964" t="s">
        <v>90</v>
      </c>
      <c r="E119" s="964"/>
      <c r="F119" s="964"/>
      <c r="G119" s="964"/>
      <c r="H119" s="964" t="s">
        <v>595</v>
      </c>
      <c r="I119" s="965">
        <v>152000</v>
      </c>
      <c r="J119"/>
      <c r="K119"/>
      <c r="L119"/>
      <c r="M119"/>
      <c r="N119"/>
      <c r="O119"/>
      <c r="P119"/>
      <c r="Q119"/>
      <c r="R119"/>
      <c r="S119"/>
      <c r="T119"/>
      <c r="U119"/>
      <c r="V119"/>
      <c r="W119"/>
      <c r="X119"/>
      <c r="Y119"/>
      <c r="Z119"/>
      <c r="AA119"/>
      <c r="AB119"/>
    </row>
    <row r="120" spans="1:28" s="782" customFormat="1" ht="24.95" customHeight="1" x14ac:dyDescent="0.35">
      <c r="A120" s="968">
        <v>46042</v>
      </c>
      <c r="B120" s="930" t="s">
        <v>663</v>
      </c>
      <c r="C120" s="925"/>
      <c r="D120" s="964" t="s">
        <v>90</v>
      </c>
      <c r="E120" s="964"/>
      <c r="F120" s="964"/>
      <c r="G120" s="964"/>
      <c r="H120" s="964" t="s">
        <v>726</v>
      </c>
      <c r="I120" s="965" t="s">
        <v>419</v>
      </c>
      <c r="J120"/>
      <c r="K120"/>
      <c r="L120"/>
      <c r="M120"/>
      <c r="N120"/>
      <c r="O120"/>
      <c r="P120"/>
      <c r="Q120"/>
      <c r="R120"/>
      <c r="S120"/>
      <c r="T120"/>
      <c r="U120"/>
      <c r="V120"/>
      <c r="W120"/>
      <c r="X120"/>
      <c r="Y120"/>
      <c r="Z120"/>
      <c r="AA120"/>
      <c r="AB120"/>
    </row>
    <row r="121" spans="1:28" s="782" customFormat="1" ht="24.95" customHeight="1" x14ac:dyDescent="0.35">
      <c r="A121" s="968">
        <v>46042</v>
      </c>
      <c r="B121" s="930" t="s">
        <v>663</v>
      </c>
      <c r="C121" s="925"/>
      <c r="D121" s="964" t="s">
        <v>90</v>
      </c>
      <c r="E121" s="964"/>
      <c r="F121" s="964"/>
      <c r="G121" s="964"/>
      <c r="H121" s="964" t="s">
        <v>727</v>
      </c>
      <c r="I121" s="965" t="s">
        <v>419</v>
      </c>
      <c r="J121"/>
      <c r="K121"/>
      <c r="L121"/>
      <c r="M121"/>
      <c r="N121"/>
      <c r="O121"/>
      <c r="P121"/>
      <c r="Q121"/>
      <c r="R121"/>
      <c r="S121"/>
      <c r="T121"/>
      <c r="U121"/>
      <c r="V121"/>
      <c r="W121"/>
      <c r="X121"/>
      <c r="Y121"/>
      <c r="Z121"/>
      <c r="AA121"/>
      <c r="AB121"/>
    </row>
    <row r="122" spans="1:28" s="941" customFormat="1" ht="24.95" customHeight="1" x14ac:dyDescent="0.35">
      <c r="A122" s="968">
        <v>45874</v>
      </c>
      <c r="B122" s="930" t="s">
        <v>664</v>
      </c>
      <c r="C122" s="925"/>
      <c r="D122" s="964" t="s">
        <v>92</v>
      </c>
      <c r="E122" s="964"/>
      <c r="F122" s="964"/>
      <c r="G122" s="964"/>
      <c r="H122" s="964" t="s">
        <v>585</v>
      </c>
      <c r="I122" s="965">
        <v>105000</v>
      </c>
      <c r="J122"/>
      <c r="K122"/>
      <c r="L122"/>
      <c r="M122"/>
      <c r="N122"/>
      <c r="O122"/>
      <c r="P122"/>
      <c r="Q122"/>
      <c r="R122"/>
      <c r="S122"/>
      <c r="T122"/>
      <c r="U122"/>
      <c r="V122"/>
      <c r="W122"/>
      <c r="X122"/>
      <c r="Y122"/>
      <c r="Z122"/>
      <c r="AA122"/>
      <c r="AB122"/>
    </row>
    <row r="123" spans="1:28" s="941" customFormat="1" ht="24.95" customHeight="1" x14ac:dyDescent="0.35">
      <c r="A123" s="968">
        <v>45993</v>
      </c>
      <c r="B123" s="930" t="s">
        <v>664</v>
      </c>
      <c r="C123" s="925"/>
      <c r="D123" s="964" t="s">
        <v>92</v>
      </c>
      <c r="E123" s="964"/>
      <c r="F123" s="964"/>
      <c r="G123" s="964"/>
      <c r="H123" s="964" t="s">
        <v>694</v>
      </c>
      <c r="I123" s="965">
        <v>221000</v>
      </c>
      <c r="J123"/>
      <c r="K123"/>
      <c r="L123"/>
      <c r="M123"/>
      <c r="N123"/>
      <c r="O123"/>
      <c r="P123"/>
      <c r="Q123"/>
      <c r="R123"/>
      <c r="S123"/>
      <c r="T123"/>
      <c r="U123"/>
      <c r="V123"/>
      <c r="W123"/>
      <c r="X123"/>
      <c r="Y123"/>
      <c r="Z123"/>
      <c r="AA123"/>
      <c r="AB123"/>
    </row>
    <row r="124" spans="1:28" s="941" customFormat="1" ht="24.95" customHeight="1" x14ac:dyDescent="0.35">
      <c r="A124" s="968">
        <v>46003</v>
      </c>
      <c r="B124" s="930" t="s">
        <v>664</v>
      </c>
      <c r="C124" s="925"/>
      <c r="D124" s="964" t="s">
        <v>92</v>
      </c>
      <c r="E124" s="964"/>
      <c r="F124" s="964"/>
      <c r="G124" s="964"/>
      <c r="H124" s="964" t="s">
        <v>704</v>
      </c>
      <c r="I124" s="965">
        <v>29000</v>
      </c>
      <c r="J124"/>
      <c r="K124"/>
      <c r="L124"/>
      <c r="M124"/>
      <c r="N124"/>
      <c r="O124"/>
      <c r="P124"/>
      <c r="Q124"/>
      <c r="R124"/>
      <c r="S124"/>
      <c r="T124"/>
      <c r="U124"/>
      <c r="V124"/>
      <c r="W124"/>
      <c r="X124"/>
      <c r="Y124"/>
      <c r="Z124"/>
      <c r="AA124"/>
      <c r="AB124"/>
    </row>
    <row r="125" spans="1:28" s="749" customFormat="1" ht="24.95" customHeight="1" x14ac:dyDescent="0.35">
      <c r="A125" s="968">
        <v>46000</v>
      </c>
      <c r="B125" s="930" t="s">
        <v>281</v>
      </c>
      <c r="C125" s="925"/>
      <c r="D125" s="964" t="s">
        <v>282</v>
      </c>
      <c r="E125" s="964"/>
      <c r="F125" s="964"/>
      <c r="G125" s="964"/>
      <c r="H125" s="964" t="s">
        <v>701</v>
      </c>
      <c r="I125" s="965">
        <v>306438.21999999997</v>
      </c>
      <c r="J125"/>
      <c r="K125"/>
      <c r="L125"/>
      <c r="M125"/>
      <c r="N125"/>
      <c r="O125"/>
      <c r="P125"/>
      <c r="Q125"/>
      <c r="R125"/>
      <c r="S125"/>
      <c r="T125"/>
      <c r="U125"/>
      <c r="V125"/>
      <c r="W125"/>
      <c r="X125"/>
      <c r="Y125"/>
      <c r="Z125"/>
      <c r="AA125"/>
      <c r="AB125"/>
    </row>
    <row r="126" spans="1:28" s="749" customFormat="1" ht="24.95" customHeight="1" x14ac:dyDescent="0.35">
      <c r="A126" s="968">
        <v>46008</v>
      </c>
      <c r="B126" s="930" t="s">
        <v>281</v>
      </c>
      <c r="C126" s="925"/>
      <c r="D126" s="964" t="s">
        <v>282</v>
      </c>
      <c r="E126" s="964"/>
      <c r="F126" s="964"/>
      <c r="G126" s="964"/>
      <c r="H126" s="964" t="s">
        <v>707</v>
      </c>
      <c r="I126" s="965" t="s">
        <v>419</v>
      </c>
      <c r="J126"/>
      <c r="K126"/>
      <c r="L126"/>
      <c r="M126"/>
      <c r="N126"/>
      <c r="O126"/>
      <c r="P126"/>
      <c r="Q126"/>
      <c r="R126"/>
      <c r="S126"/>
      <c r="T126"/>
      <c r="U126"/>
      <c r="V126"/>
      <c r="W126"/>
      <c r="X126"/>
      <c r="Y126"/>
      <c r="Z126"/>
      <c r="AA126"/>
      <c r="AB126"/>
    </row>
    <row r="127" spans="1:28" s="749" customFormat="1" ht="24.95" customHeight="1" x14ac:dyDescent="0.35">
      <c r="A127" s="968">
        <v>46045</v>
      </c>
      <c r="B127" s="930" t="s">
        <v>281</v>
      </c>
      <c r="C127" s="925"/>
      <c r="D127" s="964" t="s">
        <v>282</v>
      </c>
      <c r="E127" s="964"/>
      <c r="F127" s="964"/>
      <c r="G127" s="964"/>
      <c r="H127" s="964" t="s">
        <v>737</v>
      </c>
      <c r="I127" s="965">
        <v>402859.71</v>
      </c>
      <c r="J127"/>
      <c r="K127"/>
      <c r="L127"/>
      <c r="M127"/>
      <c r="N127"/>
      <c r="O127"/>
      <c r="P127"/>
      <c r="Q127"/>
      <c r="R127"/>
      <c r="S127"/>
      <c r="T127"/>
      <c r="U127"/>
      <c r="V127"/>
      <c r="W127"/>
      <c r="X127"/>
      <c r="Y127"/>
      <c r="Z127"/>
      <c r="AA127"/>
      <c r="AB127"/>
    </row>
    <row r="128" spans="1:28" s="749" customFormat="1" ht="24.95" customHeight="1" x14ac:dyDescent="0.35">
      <c r="A128" s="968">
        <v>46058</v>
      </c>
      <c r="B128" s="930" t="s">
        <v>281</v>
      </c>
      <c r="C128" s="925"/>
      <c r="D128" s="964" t="s">
        <v>282</v>
      </c>
      <c r="E128" s="964"/>
      <c r="F128" s="964"/>
      <c r="G128" s="964"/>
      <c r="H128" s="964" t="s">
        <v>750</v>
      </c>
      <c r="I128" s="965" t="s">
        <v>419</v>
      </c>
      <c r="J128"/>
      <c r="K128"/>
      <c r="L128"/>
      <c r="M128"/>
      <c r="N128"/>
      <c r="O128"/>
      <c r="P128"/>
      <c r="Q128"/>
      <c r="R128"/>
      <c r="S128"/>
      <c r="T128"/>
      <c r="U128"/>
      <c r="V128"/>
      <c r="W128"/>
      <c r="X128"/>
      <c r="Y128"/>
      <c r="Z128"/>
      <c r="AA128"/>
      <c r="AB128"/>
    </row>
    <row r="129" spans="1:28" s="749" customFormat="1" ht="24.95" customHeight="1" x14ac:dyDescent="0.35">
      <c r="A129" s="968">
        <v>46062</v>
      </c>
      <c r="B129" s="930" t="s">
        <v>281</v>
      </c>
      <c r="C129" s="925"/>
      <c r="D129" s="964" t="s">
        <v>282</v>
      </c>
      <c r="E129" s="964"/>
      <c r="F129" s="964"/>
      <c r="G129" s="964"/>
      <c r="H129" s="964" t="s">
        <v>751</v>
      </c>
      <c r="I129" s="965">
        <v>55111</v>
      </c>
      <c r="J129"/>
      <c r="K129"/>
      <c r="L129"/>
      <c r="M129"/>
      <c r="N129"/>
      <c r="O129"/>
      <c r="P129"/>
      <c r="Q129"/>
      <c r="R129"/>
      <c r="S129"/>
      <c r="T129"/>
      <c r="U129"/>
      <c r="V129"/>
      <c r="W129"/>
      <c r="X129"/>
      <c r="Y129"/>
      <c r="Z129"/>
      <c r="AA129"/>
      <c r="AB129"/>
    </row>
    <row r="130" spans="1:28" s="749" customFormat="1" ht="24.95" customHeight="1" x14ac:dyDescent="0.35">
      <c r="A130" s="968">
        <v>46066</v>
      </c>
      <c r="B130" s="930" t="s">
        <v>281</v>
      </c>
      <c r="C130" s="925"/>
      <c r="D130" s="964" t="s">
        <v>282</v>
      </c>
      <c r="E130" s="964"/>
      <c r="F130" s="964"/>
      <c r="G130" s="964"/>
      <c r="H130" s="964" t="s">
        <v>786</v>
      </c>
      <c r="I130" s="965" t="s">
        <v>419</v>
      </c>
      <c r="J130"/>
      <c r="K130"/>
      <c r="L130"/>
      <c r="M130"/>
      <c r="N130"/>
      <c r="O130"/>
      <c r="P130"/>
      <c r="Q130"/>
      <c r="R130"/>
      <c r="S130"/>
      <c r="T130"/>
      <c r="U130"/>
      <c r="V130"/>
      <c r="W130"/>
      <c r="X130"/>
      <c r="Y130"/>
      <c r="Z130"/>
      <c r="AA130"/>
      <c r="AB130"/>
    </row>
    <row r="131" spans="1:28" s="749" customFormat="1" ht="24.95" customHeight="1" x14ac:dyDescent="0.35">
      <c r="A131" s="968">
        <v>45772</v>
      </c>
      <c r="B131" s="930" t="s">
        <v>596</v>
      </c>
      <c r="C131" s="925"/>
      <c r="D131" s="964" t="s">
        <v>92</v>
      </c>
      <c r="E131" s="964"/>
      <c r="F131" s="964"/>
      <c r="G131" s="964"/>
      <c r="H131" s="964" t="s">
        <v>597</v>
      </c>
      <c r="I131" s="965">
        <v>142240</v>
      </c>
      <c r="J131"/>
      <c r="K131"/>
      <c r="L131"/>
      <c r="M131"/>
      <c r="N131"/>
      <c r="O131"/>
      <c r="P131"/>
      <c r="Q131"/>
      <c r="R131"/>
      <c r="S131"/>
      <c r="T131"/>
      <c r="U131"/>
      <c r="V131"/>
      <c r="W131"/>
      <c r="X131"/>
      <c r="Y131"/>
      <c r="Z131"/>
      <c r="AA131"/>
      <c r="AB131"/>
    </row>
    <row r="132" spans="1:28" s="749" customFormat="1" ht="24.95" customHeight="1" x14ac:dyDescent="0.35">
      <c r="A132" s="968">
        <v>45896</v>
      </c>
      <c r="B132" s="930" t="s">
        <v>619</v>
      </c>
      <c r="C132" s="925"/>
      <c r="D132" s="964" t="s">
        <v>221</v>
      </c>
      <c r="E132" s="964"/>
      <c r="F132" s="964"/>
      <c r="G132" s="964"/>
      <c r="H132" s="964" t="s">
        <v>620</v>
      </c>
      <c r="I132" s="965">
        <v>176994</v>
      </c>
      <c r="J132"/>
      <c r="K132"/>
      <c r="L132"/>
      <c r="M132"/>
      <c r="N132"/>
      <c r="O132"/>
      <c r="P132"/>
      <c r="Q132"/>
      <c r="R132"/>
      <c r="S132"/>
      <c r="T132"/>
      <c r="U132"/>
      <c r="V132"/>
      <c r="W132"/>
      <c r="X132"/>
      <c r="Y132"/>
      <c r="Z132"/>
      <c r="AA132"/>
      <c r="AB132"/>
    </row>
    <row r="133" spans="1:28" s="782" customFormat="1" ht="24.95" customHeight="1" x14ac:dyDescent="0.35">
      <c r="A133" s="968">
        <v>45897</v>
      </c>
      <c r="B133" s="930" t="s">
        <v>666</v>
      </c>
      <c r="C133" s="925"/>
      <c r="D133" s="964" t="s">
        <v>92</v>
      </c>
      <c r="E133" s="964"/>
      <c r="F133" s="964"/>
      <c r="G133" s="964"/>
      <c r="H133" s="964" t="s">
        <v>602</v>
      </c>
      <c r="I133" s="965">
        <v>3500</v>
      </c>
      <c r="J133"/>
      <c r="K133"/>
      <c r="L133"/>
      <c r="M133"/>
      <c r="N133"/>
      <c r="O133"/>
      <c r="P133"/>
      <c r="Q133"/>
      <c r="R133"/>
      <c r="S133"/>
      <c r="T133"/>
      <c r="U133"/>
      <c r="V133"/>
      <c r="W133"/>
      <c r="X133"/>
      <c r="Y133"/>
      <c r="Z133"/>
      <c r="AA133"/>
      <c r="AB133"/>
    </row>
    <row r="134" spans="1:28" s="782" customFormat="1" ht="24.95" customHeight="1" x14ac:dyDescent="0.35">
      <c r="A134" s="968">
        <v>45908</v>
      </c>
      <c r="B134" s="930" t="s">
        <v>614</v>
      </c>
      <c r="C134" s="925"/>
      <c r="D134" s="964" t="s">
        <v>92</v>
      </c>
      <c r="E134" s="964"/>
      <c r="F134" s="964"/>
      <c r="G134" s="964"/>
      <c r="H134" s="964" t="s">
        <v>615</v>
      </c>
      <c r="I134" s="965" t="s">
        <v>419</v>
      </c>
      <c r="J134"/>
      <c r="K134"/>
      <c r="L134"/>
      <c r="M134"/>
      <c r="N134"/>
      <c r="O134"/>
      <c r="P134"/>
      <c r="Q134"/>
      <c r="R134"/>
      <c r="S134"/>
      <c r="T134"/>
      <c r="U134"/>
      <c r="V134"/>
      <c r="W134"/>
      <c r="X134"/>
      <c r="Y134"/>
      <c r="Z134"/>
      <c r="AA134"/>
      <c r="AB134"/>
    </row>
    <row r="135" spans="1:28" s="782" customFormat="1" ht="24.95" customHeight="1" x14ac:dyDescent="0.35">
      <c r="A135" s="968">
        <v>45923</v>
      </c>
      <c r="B135" s="930" t="s">
        <v>614</v>
      </c>
      <c r="C135" s="925"/>
      <c r="D135" s="964" t="s">
        <v>92</v>
      </c>
      <c r="E135" s="964"/>
      <c r="F135" s="964"/>
      <c r="G135" s="964"/>
      <c r="H135" s="964" t="s">
        <v>626</v>
      </c>
      <c r="I135" s="965" t="s">
        <v>419</v>
      </c>
      <c r="J135"/>
      <c r="K135"/>
      <c r="L135"/>
      <c r="M135"/>
      <c r="N135"/>
      <c r="O135"/>
      <c r="P135"/>
      <c r="Q135"/>
      <c r="R135"/>
      <c r="S135"/>
      <c r="T135"/>
      <c r="U135"/>
      <c r="V135"/>
      <c r="W135"/>
      <c r="X135"/>
      <c r="Y135"/>
      <c r="Z135"/>
      <c r="AA135"/>
      <c r="AB135"/>
    </row>
    <row r="136" spans="1:28" s="782" customFormat="1" ht="24.95" customHeight="1" x14ac:dyDescent="0.35">
      <c r="A136" s="968">
        <v>45909</v>
      </c>
      <c r="B136" s="930" t="s">
        <v>617</v>
      </c>
      <c r="C136" s="925"/>
      <c r="D136" s="964" t="s">
        <v>92</v>
      </c>
      <c r="E136" s="964"/>
      <c r="F136" s="964"/>
      <c r="G136" s="964"/>
      <c r="H136" s="964" t="s">
        <v>618</v>
      </c>
      <c r="I136" s="965">
        <v>143995</v>
      </c>
      <c r="J136"/>
      <c r="K136"/>
      <c r="L136"/>
      <c r="M136"/>
      <c r="N136"/>
      <c r="O136"/>
      <c r="P136"/>
      <c r="Q136"/>
      <c r="R136"/>
      <c r="S136"/>
      <c r="T136"/>
      <c r="U136"/>
      <c r="V136"/>
      <c r="W136"/>
      <c r="X136"/>
      <c r="Y136"/>
      <c r="Z136"/>
      <c r="AA136"/>
      <c r="AB136"/>
    </row>
    <row r="137" spans="1:28" s="782" customFormat="1" ht="24.95" customHeight="1" x14ac:dyDescent="0.35">
      <c r="A137" s="968">
        <v>45911</v>
      </c>
      <c r="B137" s="930" t="s">
        <v>617</v>
      </c>
      <c r="C137" s="925"/>
      <c r="D137" s="964" t="s">
        <v>92</v>
      </c>
      <c r="E137" s="964"/>
      <c r="F137" s="964"/>
      <c r="G137" s="964"/>
      <c r="H137" s="964" t="s">
        <v>624</v>
      </c>
      <c r="I137" s="965">
        <v>5400</v>
      </c>
      <c r="J137"/>
      <c r="K137"/>
      <c r="L137"/>
      <c r="M137"/>
      <c r="N137"/>
      <c r="O137"/>
      <c r="P137"/>
      <c r="Q137"/>
      <c r="R137"/>
      <c r="S137"/>
      <c r="T137"/>
      <c r="U137"/>
      <c r="V137"/>
      <c r="W137"/>
      <c r="X137"/>
      <c r="Y137"/>
      <c r="Z137"/>
      <c r="AA137"/>
      <c r="AB137"/>
    </row>
    <row r="138" spans="1:28" s="941" customFormat="1" ht="24.95" customHeight="1" x14ac:dyDescent="0.35">
      <c r="A138" s="968">
        <v>45912</v>
      </c>
      <c r="B138" s="930" t="s">
        <v>617</v>
      </c>
      <c r="C138" s="925"/>
      <c r="D138" s="964" t="s">
        <v>92</v>
      </c>
      <c r="E138" s="964"/>
      <c r="F138" s="964"/>
      <c r="G138" s="964"/>
      <c r="H138" s="964" t="s">
        <v>625</v>
      </c>
      <c r="I138" s="965">
        <v>5400</v>
      </c>
      <c r="J138"/>
      <c r="K138"/>
      <c r="L138"/>
      <c r="M138"/>
      <c r="N138"/>
      <c r="O138"/>
      <c r="P138"/>
      <c r="Q138"/>
      <c r="R138"/>
      <c r="S138"/>
      <c r="T138"/>
      <c r="U138"/>
      <c r="V138"/>
      <c r="W138"/>
      <c r="X138"/>
      <c r="Y138"/>
      <c r="Z138"/>
      <c r="AA138"/>
      <c r="AB138"/>
    </row>
    <row r="139" spans="1:28" s="749" customFormat="1" ht="24.95" customHeight="1" x14ac:dyDescent="0.35">
      <c r="A139" s="968">
        <v>45929</v>
      </c>
      <c r="B139" s="930" t="s">
        <v>617</v>
      </c>
      <c r="C139" s="925"/>
      <c r="D139" s="964" t="s">
        <v>92</v>
      </c>
      <c r="E139" s="964"/>
      <c r="F139" s="964"/>
      <c r="G139" s="964"/>
      <c r="H139" s="964" t="s">
        <v>667</v>
      </c>
      <c r="I139" s="965">
        <v>180000</v>
      </c>
      <c r="J139"/>
      <c r="K139"/>
      <c r="L139"/>
      <c r="M139"/>
      <c r="N139"/>
      <c r="O139"/>
      <c r="P139"/>
      <c r="Q139"/>
      <c r="R139"/>
      <c r="S139"/>
      <c r="T139"/>
      <c r="U139"/>
      <c r="V139"/>
      <c r="W139"/>
      <c r="X139"/>
      <c r="Y139"/>
      <c r="Z139"/>
      <c r="AA139"/>
      <c r="AB139"/>
    </row>
    <row r="140" spans="1:28" s="749" customFormat="1" ht="24.95" customHeight="1" x14ac:dyDescent="0.35">
      <c r="A140" s="968">
        <v>46000</v>
      </c>
      <c r="B140" s="930" t="s">
        <v>617</v>
      </c>
      <c r="C140" s="925"/>
      <c r="D140" s="964" t="s">
        <v>92</v>
      </c>
      <c r="E140" s="964"/>
      <c r="F140" s="964"/>
      <c r="G140" s="964"/>
      <c r="H140" s="964" t="s">
        <v>698</v>
      </c>
      <c r="I140" s="965">
        <v>92000</v>
      </c>
      <c r="J140"/>
      <c r="K140"/>
      <c r="L140"/>
      <c r="M140"/>
      <c r="N140"/>
      <c r="O140"/>
      <c r="P140"/>
      <c r="Q140"/>
      <c r="R140"/>
      <c r="S140"/>
      <c r="T140"/>
      <c r="U140"/>
      <c r="V140"/>
      <c r="W140"/>
      <c r="X140"/>
      <c r="Y140"/>
      <c r="Z140"/>
      <c r="AA140"/>
      <c r="AB140"/>
    </row>
    <row r="141" spans="1:28" s="749" customFormat="1" ht="24.95" customHeight="1" x14ac:dyDescent="0.35">
      <c r="A141" s="968">
        <v>45663</v>
      </c>
      <c r="B141" s="930" t="s">
        <v>717</v>
      </c>
      <c r="C141" s="925"/>
      <c r="D141" s="964" t="s">
        <v>92</v>
      </c>
      <c r="E141" s="964"/>
      <c r="F141" s="964"/>
      <c r="G141" s="964"/>
      <c r="H141" s="964" t="s">
        <v>718</v>
      </c>
      <c r="I141" s="965" t="s">
        <v>419</v>
      </c>
      <c r="J141"/>
      <c r="K141"/>
      <c r="L141"/>
      <c r="M141"/>
      <c r="N141"/>
      <c r="O141"/>
      <c r="P141"/>
      <c r="Q141"/>
      <c r="R141"/>
      <c r="S141"/>
      <c r="T141"/>
      <c r="U141"/>
      <c r="V141"/>
      <c r="W141"/>
      <c r="X141"/>
      <c r="Y141"/>
      <c r="Z141"/>
      <c r="AA141"/>
      <c r="AB141"/>
    </row>
    <row r="142" spans="1:28" s="749" customFormat="1" ht="24.95" customHeight="1" x14ac:dyDescent="0.35">
      <c r="A142" s="968">
        <v>45944</v>
      </c>
      <c r="B142" s="930" t="s">
        <v>636</v>
      </c>
      <c r="C142" s="925"/>
      <c r="D142" s="964" t="s">
        <v>92</v>
      </c>
      <c r="E142" s="964"/>
      <c r="F142" s="964"/>
      <c r="G142" s="964"/>
      <c r="H142" s="964" t="s">
        <v>637</v>
      </c>
      <c r="I142" s="965">
        <v>79500</v>
      </c>
      <c r="J142"/>
      <c r="K142"/>
      <c r="L142"/>
      <c r="M142"/>
      <c r="N142"/>
      <c r="O142"/>
      <c r="P142"/>
      <c r="Q142"/>
      <c r="R142"/>
      <c r="S142"/>
      <c r="T142"/>
      <c r="U142"/>
      <c r="V142"/>
      <c r="W142"/>
      <c r="X142"/>
      <c r="Y142"/>
      <c r="Z142"/>
      <c r="AA142"/>
      <c r="AB142"/>
    </row>
    <row r="143" spans="1:28" s="749" customFormat="1" ht="24.95" customHeight="1" x14ac:dyDescent="0.35">
      <c r="A143" s="968">
        <v>45964</v>
      </c>
      <c r="B143" s="930" t="s">
        <v>669</v>
      </c>
      <c r="C143" s="925"/>
      <c r="D143" s="964" t="s">
        <v>282</v>
      </c>
      <c r="E143" s="964"/>
      <c r="F143" s="964"/>
      <c r="G143" s="964"/>
      <c r="H143" s="964" t="s">
        <v>670</v>
      </c>
      <c r="I143" s="965">
        <v>81575</v>
      </c>
      <c r="J143"/>
      <c r="K143"/>
      <c r="L143"/>
      <c r="M143"/>
      <c r="N143"/>
      <c r="O143"/>
      <c r="P143"/>
      <c r="Q143"/>
      <c r="R143"/>
      <c r="S143"/>
      <c r="T143"/>
      <c r="U143"/>
      <c r="V143"/>
      <c r="W143"/>
      <c r="X143"/>
      <c r="Y143"/>
      <c r="Z143"/>
      <c r="AA143"/>
      <c r="AB143"/>
    </row>
    <row r="144" spans="1:28" s="749" customFormat="1" ht="24.95" customHeight="1" x14ac:dyDescent="0.35">
      <c r="A144" s="968">
        <v>45978</v>
      </c>
      <c r="B144" s="930" t="s">
        <v>669</v>
      </c>
      <c r="C144" s="925"/>
      <c r="D144" s="964" t="s">
        <v>282</v>
      </c>
      <c r="E144" s="964"/>
      <c r="F144" s="964"/>
      <c r="G144" s="964"/>
      <c r="H144" s="964" t="s">
        <v>493</v>
      </c>
      <c r="I144" s="965">
        <v>134000</v>
      </c>
      <c r="J144"/>
      <c r="K144"/>
      <c r="L144"/>
      <c r="M144"/>
      <c r="N144"/>
      <c r="O144"/>
      <c r="P144"/>
      <c r="Q144"/>
      <c r="R144"/>
      <c r="S144"/>
      <c r="T144"/>
      <c r="U144"/>
      <c r="V144"/>
      <c r="W144"/>
      <c r="X144"/>
      <c r="Y144"/>
      <c r="Z144"/>
      <c r="AA144"/>
      <c r="AB144"/>
    </row>
    <row r="145" spans="1:28" s="749" customFormat="1" ht="24.95" customHeight="1" x14ac:dyDescent="0.35">
      <c r="A145" s="968">
        <v>45965</v>
      </c>
      <c r="B145" s="930" t="s">
        <v>673</v>
      </c>
      <c r="C145" s="925"/>
      <c r="D145" s="964" t="s">
        <v>90</v>
      </c>
      <c r="E145" s="964"/>
      <c r="F145" s="964" t="s">
        <v>733</v>
      </c>
      <c r="G145" s="964"/>
      <c r="H145" s="964" t="s">
        <v>685</v>
      </c>
      <c r="I145" s="965">
        <v>596000</v>
      </c>
      <c r="J145"/>
      <c r="K145"/>
      <c r="L145"/>
      <c r="M145"/>
      <c r="N145"/>
      <c r="O145"/>
      <c r="P145"/>
      <c r="Q145"/>
      <c r="R145"/>
      <c r="S145"/>
      <c r="T145"/>
      <c r="U145"/>
      <c r="V145"/>
      <c r="W145"/>
      <c r="X145"/>
      <c r="Y145"/>
      <c r="Z145"/>
      <c r="AA145"/>
      <c r="AB145"/>
    </row>
    <row r="146" spans="1:28" s="749" customFormat="1" ht="24.95" customHeight="1" x14ac:dyDescent="0.35">
      <c r="A146" s="968">
        <v>45981</v>
      </c>
      <c r="B146" s="930" t="s">
        <v>683</v>
      </c>
      <c r="C146" s="925"/>
      <c r="D146" s="964" t="s">
        <v>92</v>
      </c>
      <c r="E146" s="964"/>
      <c r="F146" s="964"/>
      <c r="G146" s="964"/>
      <c r="H146" s="964" t="s">
        <v>684</v>
      </c>
      <c r="I146" s="965">
        <v>72550</v>
      </c>
      <c r="J146"/>
      <c r="K146"/>
      <c r="L146"/>
      <c r="M146"/>
      <c r="N146"/>
      <c r="O146"/>
      <c r="P146"/>
      <c r="Q146"/>
      <c r="R146"/>
      <c r="S146"/>
      <c r="T146"/>
      <c r="U146"/>
      <c r="V146"/>
      <c r="W146"/>
      <c r="X146"/>
      <c r="Y146"/>
      <c r="Z146"/>
      <c r="AA146"/>
      <c r="AB146"/>
    </row>
    <row r="147" spans="1:28" s="749" customFormat="1" ht="24.95" customHeight="1" x14ac:dyDescent="0.35">
      <c r="A147" s="968">
        <v>46006</v>
      </c>
      <c r="B147" s="930" t="s">
        <v>683</v>
      </c>
      <c r="C147" s="925"/>
      <c r="D147" s="964" t="s">
        <v>92</v>
      </c>
      <c r="E147" s="964"/>
      <c r="F147" s="964"/>
      <c r="G147" s="964"/>
      <c r="H147" s="964" t="s">
        <v>709</v>
      </c>
      <c r="I147" s="965">
        <v>72550</v>
      </c>
      <c r="J147"/>
      <c r="K147"/>
      <c r="L147"/>
      <c r="M147"/>
      <c r="N147"/>
      <c r="O147"/>
      <c r="P147"/>
      <c r="Q147"/>
      <c r="R147"/>
      <c r="S147"/>
      <c r="T147"/>
      <c r="U147"/>
      <c r="V147"/>
      <c r="W147"/>
      <c r="X147"/>
      <c r="Y147"/>
      <c r="Z147"/>
      <c r="AA147"/>
      <c r="AB147"/>
    </row>
    <row r="148" spans="1:28" s="749" customFormat="1" ht="24.95" customHeight="1" x14ac:dyDescent="0.35">
      <c r="A148" s="968">
        <v>45985</v>
      </c>
      <c r="B148" s="930" t="s">
        <v>681</v>
      </c>
      <c r="C148" s="925"/>
      <c r="D148" s="964" t="s">
        <v>92</v>
      </c>
      <c r="E148" s="964"/>
      <c r="F148" s="964"/>
      <c r="G148" s="964"/>
      <c r="H148" s="964" t="s">
        <v>682</v>
      </c>
      <c r="I148" s="965">
        <v>1850000</v>
      </c>
      <c r="J148"/>
      <c r="K148"/>
      <c r="L148"/>
      <c r="M148"/>
      <c r="N148"/>
      <c r="O148"/>
      <c r="P148"/>
      <c r="Q148"/>
      <c r="R148"/>
      <c r="S148"/>
      <c r="T148"/>
      <c r="U148"/>
      <c r="V148"/>
      <c r="W148"/>
      <c r="X148"/>
      <c r="Y148"/>
      <c r="Z148"/>
      <c r="AA148"/>
      <c r="AB148"/>
    </row>
    <row r="149" spans="1:28" s="749" customFormat="1" ht="24.95" customHeight="1" x14ac:dyDescent="0.35">
      <c r="A149" s="968">
        <v>45986</v>
      </c>
      <c r="B149" s="930" t="s">
        <v>686</v>
      </c>
      <c r="C149" s="925"/>
      <c r="D149" s="964" t="s">
        <v>90</v>
      </c>
      <c r="E149" s="964"/>
      <c r="F149" s="964" t="s">
        <v>732</v>
      </c>
      <c r="G149" s="964"/>
      <c r="H149" s="964" t="s">
        <v>758</v>
      </c>
      <c r="I149" s="965">
        <v>3694472.23</v>
      </c>
      <c r="J149"/>
      <c r="K149"/>
      <c r="L149"/>
      <c r="M149"/>
      <c r="N149"/>
      <c r="O149"/>
      <c r="P149"/>
      <c r="Q149"/>
      <c r="R149"/>
      <c r="S149"/>
      <c r="T149"/>
      <c r="U149"/>
      <c r="V149"/>
      <c r="W149"/>
      <c r="X149"/>
      <c r="Y149"/>
      <c r="Z149"/>
      <c r="AA149"/>
      <c r="AB149"/>
    </row>
    <row r="150" spans="1:28" s="749" customFormat="1" ht="24.95" customHeight="1" x14ac:dyDescent="0.35">
      <c r="A150" s="968">
        <v>45989</v>
      </c>
      <c r="B150" s="930" t="s">
        <v>690</v>
      </c>
      <c r="C150" s="925"/>
      <c r="D150" s="964" t="s">
        <v>90</v>
      </c>
      <c r="E150" s="964"/>
      <c r="F150" s="964" t="s">
        <v>794</v>
      </c>
      <c r="G150" s="964"/>
      <c r="H150" s="964" t="s">
        <v>691</v>
      </c>
      <c r="I150" s="965">
        <v>5935</v>
      </c>
      <c r="J150"/>
      <c r="K150"/>
      <c r="L150"/>
      <c r="M150"/>
      <c r="N150"/>
      <c r="O150"/>
      <c r="P150"/>
      <c r="Q150"/>
      <c r="R150"/>
      <c r="S150"/>
      <c r="T150"/>
      <c r="U150"/>
      <c r="V150"/>
      <c r="W150"/>
      <c r="X150"/>
      <c r="Y150"/>
      <c r="Z150"/>
      <c r="AA150"/>
      <c r="AB150"/>
    </row>
    <row r="151" spans="1:28" s="749" customFormat="1" ht="24.95" customHeight="1" x14ac:dyDescent="0.35">
      <c r="A151" s="968">
        <v>45965</v>
      </c>
      <c r="B151" s="930" t="s">
        <v>695</v>
      </c>
      <c r="C151" s="925"/>
      <c r="D151" s="964" t="s">
        <v>90</v>
      </c>
      <c r="E151" s="964"/>
      <c r="F151" s="964"/>
      <c r="G151" s="964"/>
      <c r="H151" s="964" t="s">
        <v>696</v>
      </c>
      <c r="I151" s="965" t="s">
        <v>419</v>
      </c>
      <c r="J151"/>
      <c r="K151"/>
      <c r="L151"/>
      <c r="M151"/>
      <c r="N151"/>
      <c r="O151"/>
      <c r="P151"/>
      <c r="Q151"/>
      <c r="R151"/>
      <c r="S151"/>
      <c r="T151"/>
      <c r="U151"/>
      <c r="V151"/>
      <c r="W151"/>
      <c r="X151"/>
      <c r="Y151"/>
      <c r="Z151"/>
      <c r="AA151"/>
      <c r="AB151"/>
    </row>
    <row r="152" spans="1:28" s="749" customFormat="1" ht="24.95" customHeight="1" x14ac:dyDescent="0.35">
      <c r="A152" s="968">
        <v>45995</v>
      </c>
      <c r="B152" s="930" t="s">
        <v>699</v>
      </c>
      <c r="C152" s="925"/>
      <c r="D152" s="964" t="s">
        <v>90</v>
      </c>
      <c r="E152" s="964"/>
      <c r="F152" s="964"/>
      <c r="G152" s="964"/>
      <c r="H152" s="964" t="s">
        <v>700</v>
      </c>
      <c r="I152" s="965" t="s">
        <v>419</v>
      </c>
      <c r="J152"/>
      <c r="K152"/>
      <c r="L152"/>
      <c r="M152"/>
      <c r="N152"/>
      <c r="O152"/>
      <c r="P152"/>
      <c r="Q152"/>
      <c r="R152"/>
      <c r="S152"/>
      <c r="T152"/>
      <c r="U152"/>
      <c r="V152"/>
      <c r="W152"/>
      <c r="X152"/>
      <c r="Y152"/>
      <c r="Z152"/>
      <c r="AA152"/>
      <c r="AB152"/>
    </row>
    <row r="153" spans="1:28" s="749" customFormat="1" ht="24.95" customHeight="1" x14ac:dyDescent="0.35">
      <c r="A153" s="968" t="s">
        <v>705</v>
      </c>
      <c r="B153" s="930" t="s">
        <v>485</v>
      </c>
      <c r="C153" s="925"/>
      <c r="D153" s="964" t="s">
        <v>282</v>
      </c>
      <c r="E153" s="964"/>
      <c r="F153" s="964" t="s">
        <v>734</v>
      </c>
      <c r="G153" s="964"/>
      <c r="H153" s="964" t="s">
        <v>706</v>
      </c>
      <c r="I153" s="965">
        <v>18800</v>
      </c>
      <c r="J153"/>
      <c r="K153"/>
      <c r="L153"/>
      <c r="M153"/>
      <c r="N153"/>
      <c r="O153"/>
      <c r="P153"/>
      <c r="Q153"/>
      <c r="R153"/>
      <c r="S153"/>
      <c r="T153"/>
      <c r="U153"/>
      <c r="V153"/>
      <c r="W153"/>
      <c r="X153"/>
      <c r="Y153"/>
      <c r="Z153"/>
      <c r="AA153"/>
      <c r="AB153"/>
    </row>
    <row r="154" spans="1:28" s="749" customFormat="1" ht="24.95" customHeight="1" x14ac:dyDescent="0.35">
      <c r="A154" s="968">
        <v>46008</v>
      </c>
      <c r="B154" s="930" t="s">
        <v>485</v>
      </c>
      <c r="C154" s="925"/>
      <c r="D154" s="964" t="s">
        <v>282</v>
      </c>
      <c r="E154" s="964"/>
      <c r="F154" s="964" t="s">
        <v>735</v>
      </c>
      <c r="G154" s="964"/>
      <c r="H154" s="964" t="s">
        <v>710</v>
      </c>
      <c r="I154" s="965">
        <v>23868</v>
      </c>
      <c r="J154"/>
      <c r="K154"/>
      <c r="L154"/>
      <c r="M154"/>
      <c r="N154"/>
      <c r="O154"/>
      <c r="P154"/>
      <c r="Q154"/>
      <c r="R154"/>
      <c r="S154"/>
      <c r="T154"/>
      <c r="U154"/>
      <c r="V154"/>
      <c r="W154"/>
      <c r="X154"/>
      <c r="Y154"/>
      <c r="Z154"/>
      <c r="AA154"/>
      <c r="AB154"/>
    </row>
    <row r="155" spans="1:28" s="749" customFormat="1" ht="24.95" customHeight="1" x14ac:dyDescent="0.35">
      <c r="A155" s="968">
        <v>46002</v>
      </c>
      <c r="B155" s="930" t="s">
        <v>753</v>
      </c>
      <c r="C155" s="925"/>
      <c r="D155" s="964" t="s">
        <v>221</v>
      </c>
      <c r="E155" s="964"/>
      <c r="F155" s="964" t="s">
        <v>754</v>
      </c>
      <c r="G155" s="964"/>
      <c r="H155" s="964" t="s">
        <v>755</v>
      </c>
      <c r="I155" s="965">
        <v>294990</v>
      </c>
      <c r="J155"/>
      <c r="K155"/>
      <c r="L155"/>
      <c r="M155"/>
      <c r="N155"/>
      <c r="O155"/>
      <c r="P155"/>
      <c r="Q155"/>
      <c r="R155"/>
      <c r="S155"/>
      <c r="T155"/>
      <c r="U155"/>
      <c r="V155"/>
      <c r="W155"/>
      <c r="X155"/>
      <c r="Y155"/>
      <c r="Z155"/>
      <c r="AA155"/>
      <c r="AB155"/>
    </row>
    <row r="156" spans="1:28" s="749" customFormat="1" ht="24.95" customHeight="1" x14ac:dyDescent="0.35">
      <c r="A156" s="968">
        <v>46002</v>
      </c>
      <c r="B156" s="930" t="s">
        <v>753</v>
      </c>
      <c r="C156" s="925"/>
      <c r="D156" s="964" t="s">
        <v>221</v>
      </c>
      <c r="E156" s="964"/>
      <c r="F156" s="964" t="s">
        <v>756</v>
      </c>
      <c r="G156" s="964"/>
      <c r="H156" s="964" t="s">
        <v>757</v>
      </c>
      <c r="I156" s="965">
        <v>112996</v>
      </c>
      <c r="J156"/>
      <c r="K156"/>
      <c r="L156"/>
      <c r="M156"/>
      <c r="N156"/>
      <c r="O156"/>
      <c r="P156"/>
      <c r="Q156"/>
      <c r="R156"/>
      <c r="S156"/>
      <c r="T156"/>
      <c r="U156"/>
      <c r="V156"/>
      <c r="W156"/>
      <c r="X156"/>
      <c r="Y156"/>
      <c r="Z156"/>
      <c r="AA156"/>
      <c r="AB156"/>
    </row>
    <row r="157" spans="1:28" s="749" customFormat="1" ht="24.95" customHeight="1" x14ac:dyDescent="0.35">
      <c r="A157" s="968">
        <v>46051</v>
      </c>
      <c r="B157" s="930" t="s">
        <v>744</v>
      </c>
      <c r="C157" s="925"/>
      <c r="D157" s="964" t="s">
        <v>282</v>
      </c>
      <c r="E157" s="964"/>
      <c r="F157" s="964" t="s">
        <v>793</v>
      </c>
      <c r="G157" s="964"/>
      <c r="H157" s="964" t="s">
        <v>745</v>
      </c>
      <c r="I157" s="965">
        <v>23868</v>
      </c>
      <c r="J157"/>
      <c r="K157"/>
      <c r="L157"/>
      <c r="M157"/>
      <c r="N157"/>
      <c r="O157"/>
      <c r="P157"/>
      <c r="Q157"/>
      <c r="R157"/>
      <c r="S157"/>
      <c r="T157"/>
      <c r="U157"/>
      <c r="V157"/>
      <c r="W157"/>
      <c r="X157"/>
      <c r="Y157"/>
      <c r="Z157"/>
      <c r="AA157"/>
      <c r="AB157"/>
    </row>
    <row r="158" spans="1:28" s="749" customFormat="1" ht="24.95" customHeight="1" x14ac:dyDescent="0.35">
      <c r="A158" s="968">
        <v>46013</v>
      </c>
      <c r="B158" s="930" t="s">
        <v>713</v>
      </c>
      <c r="C158" s="925"/>
      <c r="D158" s="964" t="s">
        <v>282</v>
      </c>
      <c r="E158" s="964"/>
      <c r="F158" s="964"/>
      <c r="G158" s="964"/>
      <c r="H158" s="964" t="s">
        <v>714</v>
      </c>
      <c r="I158" s="965">
        <v>39420</v>
      </c>
      <c r="J158" t="s">
        <v>478</v>
      </c>
      <c r="K158"/>
      <c r="L158"/>
      <c r="M158"/>
      <c r="N158"/>
      <c r="O158"/>
      <c r="P158"/>
      <c r="Q158"/>
      <c r="R158"/>
      <c r="S158"/>
      <c r="T158"/>
      <c r="U158"/>
      <c r="V158"/>
      <c r="W158"/>
      <c r="X158"/>
      <c r="Y158"/>
      <c r="Z158"/>
      <c r="AA158"/>
      <c r="AB158"/>
    </row>
    <row r="159" spans="1:28" s="749" customFormat="1" ht="24.95" customHeight="1" x14ac:dyDescent="0.35">
      <c r="A159" s="968">
        <v>46010</v>
      </c>
      <c r="B159" s="930" t="s">
        <v>715</v>
      </c>
      <c r="C159" s="925"/>
      <c r="D159" s="964" t="s">
        <v>92</v>
      </c>
      <c r="E159" s="964"/>
      <c r="F159" s="964"/>
      <c r="G159" s="964"/>
      <c r="H159" s="964" t="s">
        <v>716</v>
      </c>
      <c r="I159" s="965">
        <v>36000</v>
      </c>
      <c r="J159" t="s">
        <v>478</v>
      </c>
      <c r="K159"/>
      <c r="L159"/>
      <c r="M159"/>
      <c r="N159"/>
      <c r="O159"/>
      <c r="P159"/>
      <c r="Q159"/>
      <c r="R159"/>
      <c r="S159"/>
      <c r="T159"/>
      <c r="U159"/>
      <c r="V159"/>
      <c r="W159"/>
      <c r="X159"/>
      <c r="Y159"/>
      <c r="Z159"/>
      <c r="AA159"/>
      <c r="AB159"/>
    </row>
    <row r="160" spans="1:28" s="749" customFormat="1" ht="24.95" customHeight="1" x14ac:dyDescent="0.35">
      <c r="A160" s="968">
        <v>45662</v>
      </c>
      <c r="B160" s="930" t="s">
        <v>683</v>
      </c>
      <c r="C160" s="925"/>
      <c r="D160" s="964" t="s">
        <v>92</v>
      </c>
      <c r="E160" s="964"/>
      <c r="F160" s="964"/>
      <c r="G160" s="964"/>
      <c r="H160" s="964" t="s">
        <v>719</v>
      </c>
      <c r="I160" s="965">
        <v>3500</v>
      </c>
      <c r="J160"/>
      <c r="K160"/>
      <c r="L160"/>
      <c r="M160"/>
      <c r="N160"/>
      <c r="O160"/>
      <c r="P160"/>
      <c r="Q160"/>
      <c r="R160"/>
      <c r="S160"/>
      <c r="T160"/>
      <c r="U160"/>
      <c r="V160"/>
      <c r="W160"/>
      <c r="X160"/>
      <c r="Y160"/>
      <c r="Z160"/>
      <c r="AA160"/>
      <c r="AB160"/>
    </row>
    <row r="161" spans="1:28" s="749" customFormat="1" ht="24.95" customHeight="1" x14ac:dyDescent="0.35">
      <c r="A161" s="968">
        <v>45662</v>
      </c>
      <c r="B161" s="930" t="s">
        <v>683</v>
      </c>
      <c r="C161" s="925"/>
      <c r="D161" s="964" t="s">
        <v>92</v>
      </c>
      <c r="E161" s="964"/>
      <c r="F161" s="964"/>
      <c r="G161" s="964"/>
      <c r="H161" s="964" t="s">
        <v>720</v>
      </c>
      <c r="I161" s="965">
        <v>3500</v>
      </c>
      <c r="J161"/>
      <c r="K161"/>
      <c r="L161"/>
      <c r="M161"/>
      <c r="N161"/>
      <c r="O161"/>
      <c r="P161"/>
      <c r="Q161"/>
      <c r="R161"/>
      <c r="S161"/>
      <c r="T161"/>
      <c r="U161"/>
      <c r="V161"/>
      <c r="W161"/>
      <c r="X161"/>
      <c r="Y161"/>
      <c r="Z161"/>
      <c r="AA161"/>
      <c r="AB161"/>
    </row>
    <row r="162" spans="1:28" s="749" customFormat="1" ht="24.95" customHeight="1" x14ac:dyDescent="0.35">
      <c r="A162" s="968">
        <v>46041</v>
      </c>
      <c r="B162" s="930" t="s">
        <v>417</v>
      </c>
      <c r="C162" s="925"/>
      <c r="D162" s="964" t="s">
        <v>90</v>
      </c>
      <c r="E162" s="964"/>
      <c r="F162" s="964"/>
      <c r="G162" s="964"/>
      <c r="H162" s="964" t="s">
        <v>724</v>
      </c>
      <c r="I162" s="965" t="s">
        <v>419</v>
      </c>
      <c r="J162"/>
      <c r="K162"/>
      <c r="L162"/>
      <c r="M162"/>
      <c r="N162"/>
      <c r="O162"/>
      <c r="P162"/>
      <c r="Q162"/>
      <c r="R162"/>
      <c r="S162"/>
      <c r="T162"/>
      <c r="U162"/>
      <c r="V162"/>
      <c r="W162"/>
      <c r="X162"/>
      <c r="Y162"/>
      <c r="Z162"/>
      <c r="AA162"/>
      <c r="AB162"/>
    </row>
    <row r="163" spans="1:28" s="749" customFormat="1" ht="24.95" customHeight="1" x14ac:dyDescent="0.35">
      <c r="A163" s="968">
        <v>46042</v>
      </c>
      <c r="B163" s="930" t="s">
        <v>730</v>
      </c>
      <c r="C163" s="925"/>
      <c r="D163" s="964" t="s">
        <v>90</v>
      </c>
      <c r="E163" s="964"/>
      <c r="F163" s="964"/>
      <c r="G163" s="964"/>
      <c r="H163" s="964" t="s">
        <v>731</v>
      </c>
      <c r="I163" s="965" t="s">
        <v>419</v>
      </c>
      <c r="J163"/>
      <c r="K163"/>
      <c r="L163"/>
      <c r="M163"/>
      <c r="N163"/>
      <c r="O163"/>
      <c r="P163"/>
      <c r="Q163"/>
      <c r="R163"/>
      <c r="S163"/>
      <c r="T163"/>
      <c r="U163"/>
      <c r="V163"/>
      <c r="W163"/>
      <c r="X163"/>
      <c r="Y163"/>
      <c r="Z163"/>
      <c r="AA163"/>
      <c r="AB163"/>
    </row>
    <row r="164" spans="1:28" s="749" customFormat="1" ht="24.95" customHeight="1" x14ac:dyDescent="0.35">
      <c r="A164" s="968">
        <v>46048</v>
      </c>
      <c r="B164" s="930" t="s">
        <v>155</v>
      </c>
      <c r="C164" s="925"/>
      <c r="D164" s="964" t="s">
        <v>94</v>
      </c>
      <c r="E164" s="964"/>
      <c r="F164" s="964"/>
      <c r="G164" s="964"/>
      <c r="H164" s="964" t="s">
        <v>800</v>
      </c>
      <c r="I164" s="965">
        <v>1101260</v>
      </c>
      <c r="J164"/>
      <c r="K164"/>
      <c r="L164"/>
      <c r="M164"/>
      <c r="N164"/>
      <c r="O164"/>
      <c r="P164"/>
      <c r="Q164"/>
      <c r="R164"/>
      <c r="S164"/>
      <c r="T164"/>
      <c r="U164"/>
      <c r="V164"/>
      <c r="W164"/>
      <c r="X164"/>
      <c r="Y164"/>
      <c r="Z164"/>
      <c r="AA164"/>
      <c r="AB164"/>
    </row>
    <row r="165" spans="1:28" s="749" customFormat="1" ht="24.95" customHeight="1" x14ac:dyDescent="0.35">
      <c r="A165" s="968">
        <v>46051</v>
      </c>
      <c r="B165" s="930" t="s">
        <v>741</v>
      </c>
      <c r="C165" s="925"/>
      <c r="D165" s="964" t="s">
        <v>92</v>
      </c>
      <c r="E165" s="964"/>
      <c r="F165" s="964"/>
      <c r="G165" s="964"/>
      <c r="H165" s="964" t="s">
        <v>742</v>
      </c>
      <c r="I165" s="965" t="s">
        <v>419</v>
      </c>
      <c r="J165"/>
      <c r="K165"/>
      <c r="L165"/>
      <c r="M165"/>
      <c r="N165"/>
      <c r="O165"/>
      <c r="P165"/>
      <c r="Q165"/>
      <c r="R165"/>
      <c r="S165"/>
      <c r="T165"/>
      <c r="U165"/>
      <c r="V165"/>
      <c r="W165"/>
      <c r="X165"/>
      <c r="Y165"/>
      <c r="Z165"/>
      <c r="AA165"/>
      <c r="AB165"/>
    </row>
    <row r="166" spans="1:28" s="749" customFormat="1" ht="24.95" customHeight="1" x14ac:dyDescent="0.35">
      <c r="A166" s="968">
        <v>46051</v>
      </c>
      <c r="B166" s="930" t="s">
        <v>741</v>
      </c>
      <c r="C166" s="925"/>
      <c r="D166" s="964" t="s">
        <v>92</v>
      </c>
      <c r="E166" s="964"/>
      <c r="F166" s="964"/>
      <c r="G166" s="964"/>
      <c r="H166" s="964" t="s">
        <v>743</v>
      </c>
      <c r="I166" s="965" t="s">
        <v>419</v>
      </c>
      <c r="J166"/>
      <c r="K166"/>
      <c r="L166"/>
      <c r="M166"/>
      <c r="N166"/>
      <c r="O166"/>
      <c r="P166"/>
      <c r="Q166"/>
      <c r="R166"/>
      <c r="S166"/>
      <c r="T166"/>
      <c r="U166"/>
      <c r="V166"/>
      <c r="W166"/>
      <c r="X166"/>
      <c r="Y166"/>
      <c r="Z166"/>
      <c r="AA166"/>
      <c r="AB166"/>
    </row>
    <row r="167" spans="1:28" s="749" customFormat="1" ht="24.95" customHeight="1" x14ac:dyDescent="0.35">
      <c r="A167" s="968">
        <v>46051</v>
      </c>
      <c r="B167" s="930" t="s">
        <v>446</v>
      </c>
      <c r="C167" s="925"/>
      <c r="D167" s="964" t="s">
        <v>90</v>
      </c>
      <c r="E167" s="964"/>
      <c r="F167" s="964"/>
      <c r="G167" s="964"/>
      <c r="H167" s="964" t="s">
        <v>747</v>
      </c>
      <c r="I167" s="965">
        <v>830000</v>
      </c>
      <c r="J167" t="s">
        <v>752</v>
      </c>
      <c r="K167"/>
      <c r="L167"/>
      <c r="M167"/>
      <c r="N167"/>
      <c r="O167"/>
      <c r="P167"/>
      <c r="Q167"/>
      <c r="R167"/>
      <c r="S167"/>
      <c r="T167"/>
      <c r="U167"/>
      <c r="V167"/>
      <c r="W167"/>
      <c r="X167"/>
      <c r="Y167"/>
      <c r="Z167"/>
      <c r="AA167"/>
      <c r="AB167"/>
    </row>
    <row r="168" spans="1:28" s="749" customFormat="1" ht="24.95" customHeight="1" x14ac:dyDescent="0.35">
      <c r="A168" s="968">
        <v>46055</v>
      </c>
      <c r="B168" s="930" t="s">
        <v>759</v>
      </c>
      <c r="C168" s="925"/>
      <c r="D168" s="964" t="s">
        <v>92</v>
      </c>
      <c r="E168" s="964"/>
      <c r="F168" s="964"/>
      <c r="G168" s="964"/>
      <c r="H168" s="964" t="s">
        <v>760</v>
      </c>
      <c r="I168" s="965" t="s">
        <v>419</v>
      </c>
      <c r="J168"/>
      <c r="K168"/>
      <c r="L168"/>
      <c r="M168"/>
      <c r="N168"/>
      <c r="O168"/>
      <c r="P168"/>
      <c r="Q168"/>
      <c r="R168"/>
      <c r="S168"/>
      <c r="T168"/>
      <c r="U168"/>
      <c r="V168"/>
      <c r="W168"/>
      <c r="X168"/>
      <c r="Y168"/>
      <c r="Z168"/>
      <c r="AA168"/>
      <c r="AB168"/>
    </row>
    <row r="169" spans="1:28" s="749" customFormat="1" ht="24.95" customHeight="1" x14ac:dyDescent="0.35">
      <c r="A169" s="968">
        <v>46057</v>
      </c>
      <c r="B169" s="930" t="s">
        <v>761</v>
      </c>
      <c r="C169" s="925"/>
      <c r="D169" s="964" t="s">
        <v>282</v>
      </c>
      <c r="E169" s="964"/>
      <c r="F169" s="964"/>
      <c r="G169" s="964"/>
      <c r="H169" s="964" t="s">
        <v>762</v>
      </c>
      <c r="I169" s="965">
        <v>8800</v>
      </c>
      <c r="J169"/>
      <c r="K169"/>
      <c r="L169"/>
      <c r="M169"/>
      <c r="N169"/>
      <c r="O169"/>
      <c r="P169"/>
      <c r="Q169"/>
      <c r="R169"/>
      <c r="S169"/>
      <c r="T169"/>
      <c r="U169"/>
      <c r="V169"/>
      <c r="W169"/>
      <c r="X169"/>
      <c r="Y169"/>
      <c r="Z169"/>
      <c r="AA169"/>
      <c r="AB169"/>
    </row>
    <row r="170" spans="1:28" s="749" customFormat="1" ht="24.95" customHeight="1" x14ac:dyDescent="0.35">
      <c r="A170" s="968">
        <v>46062</v>
      </c>
      <c r="B170" s="930" t="s">
        <v>761</v>
      </c>
      <c r="C170" s="925"/>
      <c r="D170" s="964" t="s">
        <v>92</v>
      </c>
      <c r="E170" s="964"/>
      <c r="F170" s="964"/>
      <c r="G170" s="964"/>
      <c r="H170" s="964" t="s">
        <v>784</v>
      </c>
      <c r="I170" s="965">
        <v>175650</v>
      </c>
      <c r="J170"/>
      <c r="K170"/>
      <c r="L170"/>
      <c r="M170"/>
      <c r="N170"/>
      <c r="O170"/>
      <c r="P170"/>
      <c r="Q170"/>
      <c r="R170"/>
      <c r="S170"/>
      <c r="T170"/>
      <c r="U170"/>
      <c r="V170"/>
      <c r="W170"/>
      <c r="X170"/>
      <c r="Y170"/>
      <c r="Z170"/>
      <c r="AA170"/>
      <c r="AB170"/>
    </row>
    <row r="171" spans="1:28" s="749" customFormat="1" ht="24.95" customHeight="1" x14ac:dyDescent="0.35">
      <c r="A171" s="968" t="s">
        <v>421</v>
      </c>
      <c r="B171" s="930" t="s">
        <v>763</v>
      </c>
      <c r="C171" s="925"/>
      <c r="D171" s="964" t="s">
        <v>92</v>
      </c>
      <c r="E171" s="964"/>
      <c r="F171" s="964"/>
      <c r="G171" s="964"/>
      <c r="H171" s="964" t="s">
        <v>764</v>
      </c>
      <c r="I171" s="965" t="s">
        <v>419</v>
      </c>
      <c r="J171"/>
      <c r="K171"/>
      <c r="L171"/>
      <c r="M171"/>
      <c r="N171"/>
      <c r="O171"/>
      <c r="P171"/>
      <c r="Q171"/>
      <c r="R171"/>
      <c r="S171"/>
      <c r="T171"/>
      <c r="U171"/>
      <c r="V171"/>
      <c r="W171"/>
      <c r="X171"/>
      <c r="Y171"/>
      <c r="Z171"/>
      <c r="AA171"/>
      <c r="AB171"/>
    </row>
    <row r="172" spans="1:28" s="749" customFormat="1" ht="24.95" customHeight="1" x14ac:dyDescent="0.35">
      <c r="A172" s="968">
        <v>46057</v>
      </c>
      <c r="B172" s="930" t="s">
        <v>765</v>
      </c>
      <c r="C172" s="925"/>
      <c r="D172" s="964" t="s">
        <v>92</v>
      </c>
      <c r="E172" s="964"/>
      <c r="F172" s="964"/>
      <c r="G172" s="964"/>
      <c r="H172" s="964" t="s">
        <v>766</v>
      </c>
      <c r="I172" s="965" t="s">
        <v>419</v>
      </c>
      <c r="J172"/>
      <c r="K172"/>
      <c r="L172"/>
      <c r="M172"/>
      <c r="N172"/>
      <c r="O172"/>
      <c r="P172"/>
      <c r="Q172"/>
      <c r="R172"/>
      <c r="S172"/>
      <c r="T172"/>
      <c r="U172"/>
      <c r="V172"/>
      <c r="W172"/>
      <c r="X172"/>
      <c r="Y172"/>
      <c r="Z172"/>
      <c r="AA172"/>
      <c r="AB172"/>
    </row>
    <row r="173" spans="1:28" s="749" customFormat="1" ht="24.95" customHeight="1" x14ac:dyDescent="0.35">
      <c r="A173" s="968">
        <v>46057</v>
      </c>
      <c r="B173" s="930" t="s">
        <v>765</v>
      </c>
      <c r="C173" s="925"/>
      <c r="D173" s="964" t="s">
        <v>92</v>
      </c>
      <c r="E173" s="964"/>
      <c r="F173" s="964"/>
      <c r="G173" s="964"/>
      <c r="H173" s="964" t="s">
        <v>767</v>
      </c>
      <c r="I173" s="965" t="s">
        <v>419</v>
      </c>
      <c r="J173"/>
      <c r="K173"/>
      <c r="L173"/>
      <c r="M173"/>
      <c r="N173"/>
      <c r="O173"/>
      <c r="P173"/>
      <c r="Q173"/>
      <c r="R173"/>
      <c r="S173"/>
      <c r="T173"/>
      <c r="U173"/>
      <c r="V173"/>
      <c r="W173"/>
      <c r="X173"/>
      <c r="Y173"/>
      <c r="Z173"/>
      <c r="AA173"/>
      <c r="AB173"/>
    </row>
    <row r="174" spans="1:28" s="749" customFormat="1" ht="24.95" customHeight="1" x14ac:dyDescent="0.35">
      <c r="A174" s="968">
        <v>46057</v>
      </c>
      <c r="B174" s="930" t="s">
        <v>770</v>
      </c>
      <c r="C174" s="925"/>
      <c r="D174" s="964" t="s">
        <v>92</v>
      </c>
      <c r="E174" s="964"/>
      <c r="F174" s="964"/>
      <c r="G174" s="964"/>
      <c r="H174" s="964" t="s">
        <v>771</v>
      </c>
      <c r="I174" s="965" t="s">
        <v>419</v>
      </c>
      <c r="J174"/>
      <c r="K174"/>
      <c r="L174"/>
      <c r="M174"/>
      <c r="N174"/>
      <c r="O174"/>
      <c r="P174"/>
      <c r="Q174"/>
      <c r="R174"/>
      <c r="S174"/>
      <c r="T174"/>
      <c r="U174"/>
      <c r="V174"/>
      <c r="W174"/>
      <c r="X174"/>
      <c r="Y174"/>
      <c r="Z174"/>
      <c r="AA174"/>
      <c r="AB174"/>
    </row>
    <row r="175" spans="1:28" s="749" customFormat="1" ht="24.95" customHeight="1" x14ac:dyDescent="0.35">
      <c r="A175" s="968"/>
      <c r="B175" s="930" t="s">
        <v>772</v>
      </c>
      <c r="C175" s="925"/>
      <c r="D175" s="964" t="s">
        <v>92</v>
      </c>
      <c r="E175" s="964"/>
      <c r="F175" s="964"/>
      <c r="G175" s="964"/>
      <c r="H175" s="964" t="s">
        <v>773</v>
      </c>
      <c r="I175" s="965" t="s">
        <v>419</v>
      </c>
      <c r="J175"/>
      <c r="K175"/>
      <c r="L175"/>
      <c r="M175"/>
      <c r="N175"/>
      <c r="O175"/>
      <c r="P175"/>
      <c r="Q175"/>
      <c r="R175"/>
      <c r="S175"/>
      <c r="T175"/>
      <c r="U175"/>
      <c r="V175"/>
      <c r="W175"/>
      <c r="X175"/>
      <c r="Y175"/>
      <c r="Z175"/>
      <c r="AA175"/>
      <c r="AB175"/>
    </row>
    <row r="176" spans="1:28" s="749" customFormat="1" ht="24.95" customHeight="1" x14ac:dyDescent="0.35">
      <c r="A176" s="968">
        <v>46071</v>
      </c>
      <c r="B176" s="930" t="s">
        <v>772</v>
      </c>
      <c r="C176" s="925"/>
      <c r="D176" s="964" t="s">
        <v>92</v>
      </c>
      <c r="E176" s="964"/>
      <c r="F176" s="964"/>
      <c r="G176" s="964"/>
      <c r="H176" s="964" t="s">
        <v>787</v>
      </c>
      <c r="I176" s="965" t="s">
        <v>419</v>
      </c>
      <c r="J176"/>
      <c r="K176"/>
      <c r="L176"/>
      <c r="M176"/>
      <c r="N176"/>
      <c r="O176"/>
      <c r="P176"/>
      <c r="Q176"/>
      <c r="R176"/>
      <c r="S176"/>
      <c r="T176"/>
      <c r="U176"/>
      <c r="V176"/>
      <c r="W176"/>
      <c r="X176"/>
      <c r="Y176"/>
      <c r="Z176"/>
      <c r="AA176"/>
      <c r="AB176"/>
    </row>
    <row r="177" spans="1:28" s="749" customFormat="1" ht="24.95" customHeight="1" x14ac:dyDescent="0.35">
      <c r="A177" s="968">
        <v>46059</v>
      </c>
      <c r="B177" s="930" t="s">
        <v>775</v>
      </c>
      <c r="C177" s="925"/>
      <c r="D177" s="964" t="s">
        <v>92</v>
      </c>
      <c r="E177" s="964"/>
      <c r="F177" s="964"/>
      <c r="G177" s="964"/>
      <c r="H177" s="964" t="s">
        <v>776</v>
      </c>
      <c r="I177" s="965" t="s">
        <v>419</v>
      </c>
      <c r="J177"/>
      <c r="K177"/>
      <c r="L177"/>
      <c r="M177"/>
      <c r="N177"/>
      <c r="O177"/>
      <c r="P177"/>
      <c r="Q177"/>
      <c r="R177"/>
      <c r="S177"/>
      <c r="T177"/>
      <c r="U177"/>
      <c r="V177"/>
      <c r="W177"/>
      <c r="X177"/>
      <c r="Y177"/>
      <c r="Z177"/>
      <c r="AA177"/>
      <c r="AB177"/>
    </row>
    <row r="178" spans="1:28" s="749" customFormat="1" ht="24.95" customHeight="1" x14ac:dyDescent="0.35">
      <c r="A178" s="968"/>
      <c r="B178" s="930" t="s">
        <v>777</v>
      </c>
      <c r="C178" s="925"/>
      <c r="D178" s="964" t="s">
        <v>92</v>
      </c>
      <c r="E178" s="964"/>
      <c r="F178" s="964"/>
      <c r="G178" s="964"/>
      <c r="H178" s="964" t="s">
        <v>778</v>
      </c>
      <c r="I178" s="965" t="s">
        <v>419</v>
      </c>
      <c r="J178"/>
      <c r="K178"/>
      <c r="L178"/>
      <c r="M178"/>
      <c r="N178"/>
      <c r="O178"/>
      <c r="P178"/>
      <c r="Q178"/>
      <c r="R178"/>
      <c r="S178"/>
      <c r="T178"/>
      <c r="U178"/>
      <c r="V178"/>
      <c r="W178"/>
      <c r="X178"/>
      <c r="Y178"/>
      <c r="Z178"/>
      <c r="AA178"/>
      <c r="AB178"/>
    </row>
    <row r="179" spans="1:28" s="749" customFormat="1" ht="24.95" customHeight="1" x14ac:dyDescent="0.35">
      <c r="A179" s="968">
        <v>46063</v>
      </c>
      <c r="B179" s="930" t="s">
        <v>777</v>
      </c>
      <c r="C179" s="925"/>
      <c r="D179" s="964" t="s">
        <v>92</v>
      </c>
      <c r="E179" s="964"/>
      <c r="F179" s="964"/>
      <c r="G179" s="964"/>
      <c r="H179" s="964" t="s">
        <v>779</v>
      </c>
      <c r="I179" s="965" t="s">
        <v>419</v>
      </c>
      <c r="J179"/>
      <c r="K179"/>
      <c r="L179"/>
      <c r="M179"/>
      <c r="N179"/>
      <c r="O179"/>
      <c r="P179"/>
      <c r="Q179"/>
      <c r="R179"/>
      <c r="S179"/>
      <c r="T179"/>
      <c r="U179"/>
      <c r="V179"/>
      <c r="W179"/>
      <c r="X179"/>
      <c r="Y179"/>
      <c r="Z179"/>
      <c r="AA179"/>
      <c r="AB179"/>
    </row>
    <row r="180" spans="1:28" s="749" customFormat="1" ht="24.95" customHeight="1" x14ac:dyDescent="0.35">
      <c r="A180" s="968"/>
      <c r="B180" s="930" t="s">
        <v>782</v>
      </c>
      <c r="C180" s="925"/>
      <c r="D180" s="964" t="s">
        <v>92</v>
      </c>
      <c r="E180" s="964"/>
      <c r="F180" s="964" t="s">
        <v>795</v>
      </c>
      <c r="G180" s="964"/>
      <c r="H180" s="964" t="s">
        <v>783</v>
      </c>
      <c r="I180" s="965">
        <v>59500</v>
      </c>
      <c r="J180"/>
      <c r="K180"/>
      <c r="L180"/>
      <c r="M180"/>
      <c r="N180"/>
      <c r="O180"/>
      <c r="P180"/>
      <c r="Q180"/>
      <c r="R180"/>
      <c r="S180"/>
      <c r="T180"/>
      <c r="U180"/>
      <c r="V180"/>
      <c r="W180"/>
      <c r="X180"/>
      <c r="Y180"/>
      <c r="Z180"/>
      <c r="AA180"/>
      <c r="AB180"/>
    </row>
    <row r="181" spans="1:28" s="749" customFormat="1" ht="24.95" customHeight="1" x14ac:dyDescent="0.35">
      <c r="A181" s="968">
        <v>46069</v>
      </c>
      <c r="B181" s="986" t="s">
        <v>785</v>
      </c>
      <c r="C181" s="925"/>
      <c r="D181" s="964" t="s">
        <v>92</v>
      </c>
      <c r="E181" s="964"/>
      <c r="F181" s="964"/>
      <c r="G181" s="964"/>
      <c r="H181" s="964" t="s">
        <v>788</v>
      </c>
      <c r="I181" s="965" t="s">
        <v>419</v>
      </c>
      <c r="J181"/>
      <c r="K181"/>
      <c r="L181"/>
      <c r="M181"/>
      <c r="N181"/>
      <c r="O181"/>
      <c r="P181"/>
      <c r="Q181"/>
      <c r="R181"/>
      <c r="S181"/>
      <c r="T181"/>
      <c r="U181"/>
      <c r="V181"/>
      <c r="W181"/>
      <c r="X181"/>
      <c r="Y181"/>
      <c r="Z181"/>
      <c r="AA181"/>
      <c r="AB181"/>
    </row>
    <row r="182" spans="1:28" s="749" customFormat="1" ht="24.95" customHeight="1" x14ac:dyDescent="0.35">
      <c r="A182" s="968">
        <v>46071</v>
      </c>
      <c r="B182" s="986" t="s">
        <v>789</v>
      </c>
      <c r="C182" s="925"/>
      <c r="D182" s="964" t="s">
        <v>92</v>
      </c>
      <c r="E182" s="964"/>
      <c r="F182" s="964"/>
      <c r="G182" s="964"/>
      <c r="H182" s="964" t="s">
        <v>790</v>
      </c>
      <c r="I182" s="965">
        <v>254750</v>
      </c>
      <c r="J182"/>
      <c r="K182"/>
      <c r="L182"/>
      <c r="M182"/>
      <c r="N182"/>
      <c r="O182"/>
      <c r="P182"/>
      <c r="Q182"/>
      <c r="R182"/>
      <c r="S182"/>
      <c r="T182"/>
      <c r="U182"/>
      <c r="V182"/>
      <c r="W182"/>
      <c r="X182"/>
      <c r="Y182"/>
      <c r="Z182"/>
      <c r="AA182"/>
      <c r="AB182"/>
    </row>
    <row r="183" spans="1:28" s="749" customFormat="1" ht="24.95" customHeight="1" x14ac:dyDescent="0.35">
      <c r="A183" s="968">
        <v>46077</v>
      </c>
      <c r="B183" s="986" t="s">
        <v>796</v>
      </c>
      <c r="C183" s="925"/>
      <c r="D183" s="964" t="s">
        <v>92</v>
      </c>
      <c r="E183" s="964"/>
      <c r="F183" s="964"/>
      <c r="G183" s="964"/>
      <c r="H183" s="964" t="s">
        <v>797</v>
      </c>
      <c r="I183" s="965" t="s">
        <v>419</v>
      </c>
      <c r="J183"/>
      <c r="K183"/>
      <c r="L183"/>
      <c r="M183"/>
      <c r="N183"/>
      <c r="O183"/>
      <c r="P183"/>
      <c r="Q183"/>
      <c r="R183"/>
      <c r="S183"/>
      <c r="T183"/>
      <c r="U183"/>
      <c r="V183"/>
      <c r="W183"/>
      <c r="X183"/>
      <c r="Y183"/>
      <c r="Z183"/>
      <c r="AA183"/>
      <c r="AB183"/>
    </row>
    <row r="184" spans="1:28" s="749" customFormat="1" ht="24.95" customHeight="1" x14ac:dyDescent="0.35">
      <c r="A184" s="968"/>
      <c r="B184" s="986" t="s">
        <v>798</v>
      </c>
      <c r="C184" s="925"/>
      <c r="D184" s="964" t="s">
        <v>92</v>
      </c>
      <c r="E184" s="964"/>
      <c r="F184" s="964"/>
      <c r="G184" s="964"/>
      <c r="H184" s="964" t="s">
        <v>799</v>
      </c>
      <c r="I184" s="965" t="s">
        <v>419</v>
      </c>
      <c r="J184"/>
      <c r="K184"/>
      <c r="L184"/>
      <c r="M184"/>
      <c r="N184"/>
      <c r="O184"/>
      <c r="P184"/>
      <c r="Q184"/>
      <c r="R184"/>
      <c r="S184"/>
      <c r="T184"/>
      <c r="U184"/>
      <c r="V184"/>
      <c r="W184"/>
      <c r="X184"/>
      <c r="Y184"/>
      <c r="Z184"/>
      <c r="AA184"/>
      <c r="AB184"/>
    </row>
    <row r="185" spans="1:28" s="889" customFormat="1" ht="24.95" customHeight="1" x14ac:dyDescent="0.35">
      <c r="A185" s="939"/>
      <c r="B185" s="984" t="s">
        <v>7</v>
      </c>
      <c r="C185" s="700"/>
      <c r="D185" s="612" t="s">
        <v>140</v>
      </c>
      <c r="E185" s="612"/>
      <c r="F185" s="700"/>
      <c r="G185" s="700"/>
      <c r="H185" s="614"/>
      <c r="I185" s="985">
        <f>SUM(I7:I184)</f>
        <v>32723877.320000004</v>
      </c>
      <c r="J185"/>
      <c r="K185"/>
      <c r="L185"/>
      <c r="M185"/>
      <c r="N185"/>
      <c r="O185"/>
      <c r="P185"/>
      <c r="Q185"/>
      <c r="R185"/>
      <c r="S185"/>
      <c r="T185"/>
      <c r="U185"/>
      <c r="V185"/>
      <c r="W185"/>
      <c r="X185"/>
      <c r="Y185"/>
      <c r="Z185"/>
      <c r="AA185"/>
      <c r="AB185"/>
    </row>
    <row r="186" spans="1:28" ht="24.95" customHeight="1" x14ac:dyDescent="0.35">
      <c r="A186" s="940" t="s">
        <v>64</v>
      </c>
      <c r="G186" s="658" t="s">
        <v>64</v>
      </c>
    </row>
    <row r="187" spans="1:28" ht="24.95" customHeight="1" x14ac:dyDescent="0.35"/>
    <row r="188" spans="1:28" ht="24.95" customHeight="1" x14ac:dyDescent="0.35">
      <c r="F188" s="524" t="s">
        <v>486</v>
      </c>
    </row>
    <row r="189" spans="1:28" ht="24.95" customHeight="1" x14ac:dyDescent="0.35">
      <c r="G189" s="658" t="s">
        <v>64</v>
      </c>
    </row>
    <row r="190" spans="1:28" ht="23.25" customHeight="1" x14ac:dyDescent="0.35">
      <c r="D190" s="524"/>
      <c r="E190" s="524"/>
      <c r="H190" s="524"/>
      <c r="I190" s="524"/>
    </row>
    <row r="191" spans="1:28" ht="24.95" customHeight="1" x14ac:dyDescent="0.35"/>
    <row r="192" spans="1:28" ht="24.95" customHeight="1" x14ac:dyDescent="0.35"/>
    <row r="193" ht="24.95" customHeight="1" x14ac:dyDescent="0.35"/>
    <row r="194" ht="24.95" customHeight="1" x14ac:dyDescent="0.35"/>
    <row r="195" ht="24.95" customHeight="1" x14ac:dyDescent="0.35"/>
    <row r="196" ht="24.95" customHeight="1" x14ac:dyDescent="0.35"/>
    <row r="197" ht="24.95" customHeight="1" x14ac:dyDescent="0.35"/>
    <row r="198" ht="24.95" customHeight="1" x14ac:dyDescent="0.35"/>
    <row r="199" ht="24.95" customHeight="1" x14ac:dyDescent="0.35"/>
    <row r="200" ht="24.95" customHeight="1" x14ac:dyDescent="0.35"/>
    <row r="201" ht="24.95" customHeight="1" x14ac:dyDescent="0.35"/>
    <row r="202" ht="24.95" customHeight="1" x14ac:dyDescent="0.35"/>
    <row r="203" ht="24.95" customHeight="1" x14ac:dyDescent="0.35"/>
  </sheetData>
  <pageMargins left="0.70866141732283472" right="0.70866141732283472" top="0.74803149606299213" bottom="0.74803149606299213" header="0.31496062992125984" footer="0.31496062992125984"/>
  <pageSetup paperSize="9" scale="60" fitToWidth="0" orientation="landscape"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0"/>
  <sheetViews>
    <sheetView topLeftCell="A175" workbookViewId="0">
      <selection activeCell="D35" sqref="D35"/>
    </sheetView>
  </sheetViews>
  <sheetFormatPr defaultColWidth="23.85546875" defaultRowHeight="23.25" x14ac:dyDescent="0.35"/>
  <cols>
    <col min="1" max="1" width="23.85546875" style="940"/>
    <col min="2" max="2" width="56.28515625" style="657" customWidth="1"/>
    <col min="3" max="3" width="20.14062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804</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739</v>
      </c>
      <c r="D6" s="547" t="s">
        <v>89</v>
      </c>
      <c r="E6" s="547" t="s">
        <v>104</v>
      </c>
      <c r="F6" s="546" t="s">
        <v>646</v>
      </c>
      <c r="G6" s="546" t="s">
        <v>3</v>
      </c>
      <c r="H6" s="546" t="s">
        <v>4</v>
      </c>
      <c r="I6" s="550" t="s">
        <v>11</v>
      </c>
      <c r="J6"/>
      <c r="K6"/>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c r="K7"/>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c r="K8"/>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c r="K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c r="K10"/>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c r="K11"/>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c r="K12"/>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c r="K13"/>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c r="K14"/>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c r="K15"/>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c r="K16"/>
      <c r="L16"/>
      <c r="M16"/>
      <c r="N16"/>
      <c r="O16"/>
      <c r="P16"/>
      <c r="Q16"/>
      <c r="R16"/>
      <c r="S16"/>
      <c r="T16"/>
      <c r="U16"/>
      <c r="V16"/>
      <c r="W16"/>
      <c r="X16"/>
      <c r="Y16"/>
      <c r="Z16"/>
      <c r="AA16"/>
      <c r="AB16"/>
    </row>
    <row r="17" spans="1:28" s="775" customFormat="1" ht="24.95" customHeight="1" x14ac:dyDescent="0.35">
      <c r="A17" s="968">
        <v>45875</v>
      </c>
      <c r="B17" s="930" t="s">
        <v>43</v>
      </c>
      <c r="C17" s="925"/>
      <c r="D17" s="964" t="s">
        <v>90</v>
      </c>
      <c r="E17" s="964"/>
      <c r="F17" s="964"/>
      <c r="G17" s="925"/>
      <c r="H17" s="964" t="s">
        <v>810</v>
      </c>
      <c r="I17" s="965" t="s">
        <v>419</v>
      </c>
      <c r="J17"/>
      <c r="K17"/>
      <c r="L17"/>
      <c r="M17"/>
      <c r="N17"/>
      <c r="O17"/>
      <c r="P17"/>
      <c r="Q17"/>
      <c r="R17"/>
      <c r="S17"/>
      <c r="T17"/>
      <c r="U17"/>
      <c r="V17"/>
      <c r="W17"/>
      <c r="X17"/>
      <c r="Y17"/>
      <c r="Z17"/>
      <c r="AA17"/>
      <c r="AB17"/>
    </row>
    <row r="18" spans="1:28" s="775" customFormat="1" ht="24.95" customHeight="1" x14ac:dyDescent="0.35">
      <c r="A18" s="968" t="s">
        <v>421</v>
      </c>
      <c r="B18" s="930" t="s">
        <v>43</v>
      </c>
      <c r="C18" s="925"/>
      <c r="D18" s="964" t="s">
        <v>90</v>
      </c>
      <c r="E18" s="964"/>
      <c r="F18" s="964"/>
      <c r="G18" s="925"/>
      <c r="H18" s="964" t="s">
        <v>600</v>
      </c>
      <c r="I18" s="965">
        <v>250952.38</v>
      </c>
      <c r="J18"/>
      <c r="K18"/>
      <c r="L18"/>
      <c r="M18"/>
      <c r="N18"/>
      <c r="O18"/>
      <c r="P18"/>
      <c r="Q18"/>
      <c r="R18"/>
      <c r="S18"/>
      <c r="T18"/>
      <c r="U18"/>
      <c r="V18"/>
      <c r="W18"/>
      <c r="X18"/>
      <c r="Y18"/>
      <c r="Z18"/>
      <c r="AA18"/>
      <c r="AB18"/>
    </row>
    <row r="19" spans="1:28" s="775" customFormat="1" ht="24.95" customHeight="1" x14ac:dyDescent="0.35">
      <c r="A19" s="968">
        <v>46076</v>
      </c>
      <c r="B19" s="930" t="s">
        <v>43</v>
      </c>
      <c r="C19" s="925"/>
      <c r="D19" s="964" t="s">
        <v>90</v>
      </c>
      <c r="E19" s="964"/>
      <c r="F19" s="964"/>
      <c r="G19" s="925"/>
      <c r="H19" s="964" t="s">
        <v>792</v>
      </c>
      <c r="I19" s="965" t="s">
        <v>419</v>
      </c>
      <c r="J19"/>
      <c r="K19"/>
      <c r="L19"/>
      <c r="M19"/>
      <c r="N19"/>
      <c r="O19"/>
      <c r="P19"/>
      <c r="Q19"/>
      <c r="R19"/>
      <c r="S19"/>
      <c r="T19"/>
      <c r="U19"/>
      <c r="V19"/>
      <c r="W19"/>
      <c r="X19"/>
      <c r="Y19"/>
      <c r="Z19"/>
      <c r="AA19"/>
      <c r="AB19"/>
    </row>
    <row r="20" spans="1:28" s="775" customFormat="1" ht="24.95" customHeight="1" x14ac:dyDescent="0.35">
      <c r="A20" s="968">
        <v>46087</v>
      </c>
      <c r="B20" s="930" t="s">
        <v>43</v>
      </c>
      <c r="C20" s="925"/>
      <c r="D20" s="964" t="s">
        <v>90</v>
      </c>
      <c r="E20" s="964"/>
      <c r="F20" s="964"/>
      <c r="G20" s="925"/>
      <c r="H20" s="964" t="s">
        <v>817</v>
      </c>
      <c r="I20" s="965" t="s">
        <v>419</v>
      </c>
      <c r="J20"/>
      <c r="K20"/>
      <c r="L20"/>
      <c r="M20"/>
      <c r="N20"/>
      <c r="O20"/>
      <c r="P20"/>
      <c r="Q20"/>
      <c r="R20"/>
      <c r="S20"/>
      <c r="T20"/>
      <c r="U20"/>
      <c r="V20"/>
      <c r="W20"/>
      <c r="X20"/>
      <c r="Y20"/>
      <c r="Z20"/>
      <c r="AA20"/>
      <c r="AB20"/>
    </row>
    <row r="21" spans="1:28" s="782" customFormat="1" ht="24.95" customHeight="1" x14ac:dyDescent="0.35">
      <c r="A21" s="968">
        <v>44589</v>
      </c>
      <c r="B21" s="930" t="s">
        <v>125</v>
      </c>
      <c r="C21" s="925"/>
      <c r="D21" s="925" t="s">
        <v>90</v>
      </c>
      <c r="E21" s="925"/>
      <c r="F21" s="964"/>
      <c r="G21" s="964"/>
      <c r="H21" s="964">
        <v>4880</v>
      </c>
      <c r="I21" s="965">
        <v>37000</v>
      </c>
      <c r="J21"/>
      <c r="K21"/>
      <c r="L21"/>
      <c r="M21"/>
      <c r="N21"/>
      <c r="O21"/>
      <c r="P21"/>
      <c r="Q21"/>
      <c r="R21"/>
      <c r="S21"/>
      <c r="T21"/>
      <c r="U21"/>
      <c r="V21"/>
      <c r="W21"/>
      <c r="X21"/>
      <c r="Y21"/>
      <c r="Z21"/>
      <c r="AA21"/>
      <c r="AB21"/>
    </row>
    <row r="22" spans="1:28" s="782" customFormat="1" ht="24.95" customHeight="1" x14ac:dyDescent="0.35">
      <c r="A22" s="968">
        <v>44607</v>
      </c>
      <c r="B22" s="930" t="s">
        <v>649</v>
      </c>
      <c r="C22" s="925"/>
      <c r="D22" s="925" t="s">
        <v>90</v>
      </c>
      <c r="E22" s="925">
        <v>736</v>
      </c>
      <c r="F22" s="964"/>
      <c r="G22" s="964"/>
      <c r="H22" s="964" t="s">
        <v>131</v>
      </c>
      <c r="I22" s="965">
        <v>16076.04</v>
      </c>
      <c r="J22"/>
      <c r="K22"/>
      <c r="L22"/>
      <c r="M22"/>
      <c r="N22"/>
      <c r="O22"/>
      <c r="P22"/>
      <c r="Q22"/>
      <c r="R22"/>
      <c r="S22"/>
      <c r="T22"/>
      <c r="U22"/>
      <c r="V22"/>
      <c r="W22"/>
      <c r="X22"/>
      <c r="Y22"/>
      <c r="Z22"/>
      <c r="AA22"/>
      <c r="AB22"/>
    </row>
    <row r="23" spans="1:28" s="749" customFormat="1" ht="24.95" customHeight="1" x14ac:dyDescent="0.35">
      <c r="A23" s="968">
        <v>44609</v>
      </c>
      <c r="B23" s="930" t="s">
        <v>649</v>
      </c>
      <c r="C23" s="925"/>
      <c r="D23" s="964" t="s">
        <v>90</v>
      </c>
      <c r="E23" s="964">
        <v>734</v>
      </c>
      <c r="F23" s="964"/>
      <c r="G23" s="964"/>
      <c r="H23" s="964" t="s">
        <v>118</v>
      </c>
      <c r="I23" s="965">
        <v>7186.99</v>
      </c>
      <c r="J23"/>
      <c r="K23"/>
      <c r="L23"/>
      <c r="M23"/>
      <c r="N23"/>
      <c r="O23"/>
      <c r="P23"/>
      <c r="Q23"/>
      <c r="R23"/>
      <c r="S23"/>
      <c r="T23"/>
      <c r="U23"/>
      <c r="V23"/>
      <c r="W23"/>
      <c r="X23"/>
      <c r="Y23"/>
      <c r="Z23"/>
      <c r="AA23"/>
      <c r="AB23"/>
    </row>
    <row r="24" spans="1:28" s="749" customFormat="1" ht="24.95" customHeight="1" x14ac:dyDescent="0.35">
      <c r="A24" s="968">
        <v>44714</v>
      </c>
      <c r="B24" s="930" t="s">
        <v>649</v>
      </c>
      <c r="C24" s="925"/>
      <c r="D24" s="964" t="s">
        <v>90</v>
      </c>
      <c r="E24" s="964"/>
      <c r="F24" s="964"/>
      <c r="G24" s="964">
        <v>2062</v>
      </c>
      <c r="H24" s="964" t="s">
        <v>118</v>
      </c>
      <c r="I24" s="965">
        <v>77456</v>
      </c>
      <c r="J24"/>
      <c r="K24"/>
      <c r="L24"/>
      <c r="M24"/>
      <c r="N24"/>
      <c r="O24"/>
      <c r="P24"/>
      <c r="Q24"/>
      <c r="R24"/>
      <c r="S24"/>
      <c r="T24"/>
      <c r="U24"/>
      <c r="V24"/>
      <c r="W24"/>
      <c r="X24"/>
      <c r="Y24"/>
      <c r="Z24"/>
      <c r="AA24"/>
      <c r="AB24"/>
    </row>
    <row r="25" spans="1:28" s="749" customFormat="1" ht="24.95" customHeight="1" x14ac:dyDescent="0.35">
      <c r="A25" s="968">
        <v>44734</v>
      </c>
      <c r="B25" s="930" t="s">
        <v>649</v>
      </c>
      <c r="C25" s="925"/>
      <c r="D25" s="964" t="s">
        <v>90</v>
      </c>
      <c r="E25" s="964">
        <v>743</v>
      </c>
      <c r="F25" s="964"/>
      <c r="G25" s="964"/>
      <c r="H25" s="964" t="s">
        <v>118</v>
      </c>
      <c r="I25" s="965">
        <v>72499.08</v>
      </c>
      <c r="J25"/>
      <c r="K25"/>
      <c r="L25"/>
      <c r="M25"/>
      <c r="N25"/>
      <c r="O25"/>
      <c r="P25"/>
      <c r="Q25"/>
      <c r="R25"/>
      <c r="S25"/>
      <c r="T25"/>
      <c r="U25"/>
      <c r="V25"/>
      <c r="W25"/>
      <c r="X25"/>
      <c r="Y25"/>
      <c r="Z25"/>
      <c r="AA25"/>
      <c r="AB25"/>
    </row>
    <row r="26" spans="1:28" s="749" customFormat="1" ht="24.95" customHeight="1" x14ac:dyDescent="0.35">
      <c r="A26" s="968">
        <v>44741</v>
      </c>
      <c r="B26" s="930" t="s">
        <v>649</v>
      </c>
      <c r="C26" s="925"/>
      <c r="D26" s="964" t="s">
        <v>90</v>
      </c>
      <c r="E26" s="964">
        <v>757</v>
      </c>
      <c r="F26" s="964"/>
      <c r="G26" s="964"/>
      <c r="H26" s="964">
        <v>5908</v>
      </c>
      <c r="I26" s="965">
        <v>510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755</v>
      </c>
      <c r="F27" s="964"/>
      <c r="G27" s="964"/>
      <c r="H27" s="964">
        <v>5739</v>
      </c>
      <c r="I27" s="965">
        <v>6650</v>
      </c>
      <c r="J27"/>
      <c r="K27"/>
      <c r="L27"/>
      <c r="M27"/>
      <c r="N27"/>
      <c r="O27"/>
      <c r="P27"/>
      <c r="Q27"/>
      <c r="R27"/>
      <c r="S27"/>
      <c r="T27"/>
      <c r="U27"/>
      <c r="V27"/>
      <c r="W27"/>
      <c r="X27"/>
      <c r="Y27"/>
      <c r="Z27"/>
      <c r="AA27"/>
      <c r="AB27"/>
    </row>
    <row r="28" spans="1:28" s="749" customFormat="1" ht="24.95" customHeight="1" x14ac:dyDescent="0.35">
      <c r="A28" s="968">
        <v>44855</v>
      </c>
      <c r="B28" s="930" t="s">
        <v>649</v>
      </c>
      <c r="C28" s="925"/>
      <c r="D28" s="964" t="s">
        <v>90</v>
      </c>
      <c r="E28" s="964">
        <v>758</v>
      </c>
      <c r="F28" s="964"/>
      <c r="G28" s="964"/>
      <c r="H28" s="964" t="s">
        <v>118</v>
      </c>
      <c r="I28" s="965">
        <v>3000</v>
      </c>
      <c r="J28"/>
      <c r="K28"/>
      <c r="L28"/>
      <c r="M28"/>
      <c r="N28"/>
      <c r="O28"/>
      <c r="P28"/>
      <c r="Q28"/>
      <c r="R28"/>
      <c r="S28"/>
      <c r="T28"/>
      <c r="U28"/>
      <c r="V28"/>
      <c r="W28"/>
      <c r="X28"/>
      <c r="Y28"/>
      <c r="Z28"/>
      <c r="AA28"/>
      <c r="AB28"/>
    </row>
    <row r="29" spans="1:28" s="749" customFormat="1" ht="24.95" customHeight="1" x14ac:dyDescent="0.35">
      <c r="A29" s="968">
        <v>44916</v>
      </c>
      <c r="B29" s="930" t="s">
        <v>649</v>
      </c>
      <c r="C29" s="925"/>
      <c r="D29" s="964" t="s">
        <v>90</v>
      </c>
      <c r="E29" s="964"/>
      <c r="F29" s="964"/>
      <c r="G29" s="964">
        <v>2176</v>
      </c>
      <c r="H29" s="964" t="s">
        <v>118</v>
      </c>
      <c r="I29" s="965">
        <v>186146</v>
      </c>
      <c r="J29"/>
      <c r="K29"/>
      <c r="L29"/>
      <c r="M29"/>
      <c r="N29"/>
      <c r="O29"/>
      <c r="P29"/>
      <c r="Q29"/>
      <c r="R29"/>
      <c r="S29"/>
      <c r="T29"/>
      <c r="U29"/>
      <c r="V29"/>
      <c r="W29"/>
      <c r="X29"/>
      <c r="Y29"/>
      <c r="Z29"/>
      <c r="AA29"/>
      <c r="AB29"/>
    </row>
    <row r="30" spans="1:28" s="749" customFormat="1" ht="24.95" customHeight="1" x14ac:dyDescent="0.35">
      <c r="A30" s="968">
        <v>45343</v>
      </c>
      <c r="B30" s="930" t="s">
        <v>649</v>
      </c>
      <c r="C30" s="925"/>
      <c r="D30" s="964" t="s">
        <v>90</v>
      </c>
      <c r="E30" s="964">
        <v>826</v>
      </c>
      <c r="F30" s="964"/>
      <c r="G30" s="964"/>
      <c r="H30" s="964" t="s">
        <v>118</v>
      </c>
      <c r="I30" s="965">
        <v>22500</v>
      </c>
      <c r="J30"/>
      <c r="K30"/>
      <c r="L30"/>
      <c r="M30"/>
      <c r="N30"/>
      <c r="O30"/>
      <c r="P30"/>
      <c r="Q30"/>
      <c r="R30"/>
      <c r="S30"/>
      <c r="T30"/>
      <c r="U30"/>
      <c r="V30"/>
      <c r="W30"/>
      <c r="X30"/>
      <c r="Y30"/>
      <c r="Z30"/>
      <c r="AA30"/>
      <c r="AB30"/>
    </row>
    <row r="31" spans="1:28" s="782" customFormat="1" ht="27.75" customHeight="1" x14ac:dyDescent="0.35">
      <c r="A31" s="968">
        <v>44614</v>
      </c>
      <c r="B31" s="930" t="s">
        <v>650</v>
      </c>
      <c r="C31" s="925"/>
      <c r="D31" s="925" t="s">
        <v>92</v>
      </c>
      <c r="E31" s="925"/>
      <c r="F31" s="964"/>
      <c r="G31" s="964"/>
      <c r="H31" s="964" t="s">
        <v>376</v>
      </c>
      <c r="I31" s="965">
        <v>526625</v>
      </c>
      <c r="J31"/>
      <c r="K31"/>
      <c r="L31"/>
      <c r="M31"/>
      <c r="N31"/>
      <c r="O31"/>
      <c r="P31"/>
      <c r="Q31"/>
      <c r="R31"/>
      <c r="S31"/>
      <c r="T31"/>
      <c r="U31"/>
      <c r="V31"/>
      <c r="W31"/>
      <c r="X31"/>
      <c r="Y31"/>
      <c r="Z31"/>
      <c r="AA31"/>
      <c r="AB31"/>
    </row>
    <row r="32" spans="1:28" s="782" customFormat="1" ht="24.95" customHeight="1" x14ac:dyDescent="0.35">
      <c r="A32" s="968">
        <v>44631</v>
      </c>
      <c r="B32" s="930" t="s">
        <v>650</v>
      </c>
      <c r="C32" s="925"/>
      <c r="D32" s="925" t="s">
        <v>92</v>
      </c>
      <c r="E32" s="925"/>
      <c r="F32" s="964"/>
      <c r="G32" s="964"/>
      <c r="H32" s="964">
        <v>4943</v>
      </c>
      <c r="I32" s="965">
        <v>5975</v>
      </c>
      <c r="J32"/>
      <c r="K32"/>
      <c r="L32"/>
      <c r="M32"/>
      <c r="N32"/>
      <c r="O32"/>
      <c r="P32"/>
      <c r="Q32"/>
      <c r="R32"/>
      <c r="S32"/>
      <c r="T32"/>
      <c r="U32"/>
      <c r="V32"/>
      <c r="W32"/>
      <c r="X32"/>
      <c r="Y32"/>
      <c r="Z32"/>
      <c r="AA32"/>
      <c r="AB32"/>
    </row>
    <row r="33" spans="1:28" s="800" customFormat="1" ht="24.95" customHeight="1" x14ac:dyDescent="0.35">
      <c r="A33" s="968">
        <v>44638</v>
      </c>
      <c r="B33" s="930" t="s">
        <v>650</v>
      </c>
      <c r="C33" s="925"/>
      <c r="D33" s="925" t="s">
        <v>92</v>
      </c>
      <c r="E33" s="925"/>
      <c r="F33" s="964"/>
      <c r="G33" s="964"/>
      <c r="H33" s="964">
        <v>4953</v>
      </c>
      <c r="I33" s="965">
        <v>4950</v>
      </c>
      <c r="J33"/>
      <c r="K33"/>
      <c r="L33"/>
      <c r="M33"/>
      <c r="N33"/>
      <c r="O33"/>
      <c r="P33"/>
      <c r="Q33"/>
      <c r="R33"/>
      <c r="S33"/>
      <c r="T33"/>
      <c r="U33"/>
      <c r="V33"/>
      <c r="W33"/>
      <c r="X33"/>
      <c r="Y33"/>
      <c r="Z33"/>
      <c r="AA33"/>
      <c r="AB33"/>
    </row>
    <row r="34" spans="1:28" s="800" customFormat="1" ht="24.95" customHeight="1" x14ac:dyDescent="0.35">
      <c r="A34" s="968">
        <v>44711</v>
      </c>
      <c r="B34" s="930" t="s">
        <v>153</v>
      </c>
      <c r="C34" s="925"/>
      <c r="D34" s="925" t="s">
        <v>92</v>
      </c>
      <c r="E34" s="925"/>
      <c r="F34" s="964"/>
      <c r="G34" s="964"/>
      <c r="H34" s="964" t="s">
        <v>181</v>
      </c>
      <c r="I34" s="965">
        <v>164667</v>
      </c>
      <c r="J34"/>
      <c r="K34"/>
      <c r="L34"/>
      <c r="M34"/>
      <c r="N34"/>
      <c r="O34"/>
      <c r="P34"/>
      <c r="Q34"/>
      <c r="R34"/>
      <c r="S34"/>
      <c r="T34"/>
      <c r="U34"/>
      <c r="V34"/>
      <c r="W34"/>
      <c r="X34"/>
      <c r="Y34"/>
      <c r="Z34"/>
      <c r="AA34"/>
      <c r="AB34"/>
    </row>
    <row r="35" spans="1:28" s="800" customFormat="1" ht="24.95" customHeight="1" x14ac:dyDescent="0.35">
      <c r="A35" s="968">
        <v>44768</v>
      </c>
      <c r="B35" s="930" t="s">
        <v>651</v>
      </c>
      <c r="C35" s="925"/>
      <c r="D35" s="925" t="s">
        <v>90</v>
      </c>
      <c r="E35" s="925"/>
      <c r="F35" s="964"/>
      <c r="G35" s="964"/>
      <c r="H35" s="964" t="s">
        <v>151</v>
      </c>
      <c r="I35" s="965">
        <v>847950.4</v>
      </c>
      <c r="J35"/>
      <c r="K35"/>
      <c r="L35"/>
      <c r="M35"/>
      <c r="N35"/>
      <c r="O35"/>
      <c r="P35"/>
      <c r="Q35"/>
      <c r="R35"/>
      <c r="S35"/>
      <c r="T35"/>
      <c r="U35"/>
      <c r="V35"/>
      <c r="W35"/>
      <c r="X35"/>
      <c r="Y35"/>
      <c r="Z35"/>
      <c r="AA35"/>
      <c r="AB35"/>
    </row>
    <row r="36" spans="1:28" s="800" customFormat="1" ht="24.95" customHeight="1" x14ac:dyDescent="0.35">
      <c r="A36" s="968">
        <v>45946</v>
      </c>
      <c r="B36" s="930" t="s">
        <v>651</v>
      </c>
      <c r="C36" s="925"/>
      <c r="D36" s="925" t="s">
        <v>90</v>
      </c>
      <c r="E36" s="925"/>
      <c r="F36" s="964"/>
      <c r="G36" s="964"/>
      <c r="H36" s="964" t="s">
        <v>641</v>
      </c>
      <c r="I36" s="965" t="s">
        <v>419</v>
      </c>
      <c r="J36"/>
      <c r="K36"/>
      <c r="L36"/>
      <c r="M36"/>
      <c r="N36"/>
      <c r="O36"/>
      <c r="P36"/>
      <c r="Q36"/>
      <c r="R36"/>
      <c r="S36"/>
      <c r="T36"/>
      <c r="U36"/>
      <c r="V36"/>
      <c r="W36"/>
      <c r="X36"/>
      <c r="Y36"/>
      <c r="Z36"/>
      <c r="AA36"/>
      <c r="AB36"/>
    </row>
    <row r="37" spans="1:28" s="800" customFormat="1" ht="24.95" customHeight="1" x14ac:dyDescent="0.35">
      <c r="A37" s="968">
        <v>44786</v>
      </c>
      <c r="B37" s="930" t="s">
        <v>652</v>
      </c>
      <c r="C37" s="925"/>
      <c r="D37" s="925" t="s">
        <v>94</v>
      </c>
      <c r="E37" s="925"/>
      <c r="F37" s="964"/>
      <c r="G37" s="964">
        <v>2136</v>
      </c>
      <c r="H37" s="964" t="s">
        <v>170</v>
      </c>
      <c r="I37" s="965">
        <v>193400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832</v>
      </c>
      <c r="F38" s="964"/>
      <c r="G38" s="964"/>
      <c r="H38" s="964">
        <v>5373</v>
      </c>
      <c r="I38" s="965">
        <v>666000</v>
      </c>
      <c r="J38"/>
      <c r="K38"/>
      <c r="L38"/>
      <c r="M38"/>
      <c r="N38"/>
      <c r="O38"/>
      <c r="P38"/>
      <c r="Q38"/>
      <c r="R38"/>
      <c r="S38"/>
      <c r="T38"/>
      <c r="U38"/>
      <c r="V38"/>
      <c r="W38"/>
      <c r="X38"/>
      <c r="Y38"/>
      <c r="Z38"/>
      <c r="AA38"/>
      <c r="AB38"/>
    </row>
    <row r="39" spans="1:28" s="800" customFormat="1" ht="24.95" customHeight="1" x14ac:dyDescent="0.35">
      <c r="A39" s="968">
        <v>44954</v>
      </c>
      <c r="B39" s="930" t="s">
        <v>480</v>
      </c>
      <c r="C39" s="925"/>
      <c r="D39" s="925" t="s">
        <v>92</v>
      </c>
      <c r="E39" s="925">
        <v>833</v>
      </c>
      <c r="F39" s="964"/>
      <c r="G39" s="964"/>
      <c r="H39" s="964">
        <v>5374</v>
      </c>
      <c r="I39" s="965">
        <v>657658.5</v>
      </c>
      <c r="J39"/>
      <c r="K39"/>
      <c r="L39"/>
      <c r="M39"/>
      <c r="N39"/>
      <c r="O39"/>
      <c r="P39"/>
      <c r="Q39"/>
      <c r="R39"/>
      <c r="S39"/>
      <c r="T39"/>
      <c r="U39"/>
      <c r="V39"/>
      <c r="W39"/>
      <c r="X39"/>
      <c r="Y39"/>
      <c r="Z39"/>
      <c r="AA39"/>
      <c r="AB39"/>
    </row>
    <row r="40" spans="1:28" s="800" customFormat="1" ht="24.95" customHeight="1" x14ac:dyDescent="0.35">
      <c r="A40" s="968">
        <v>45017</v>
      </c>
      <c r="B40" s="930" t="s">
        <v>480</v>
      </c>
      <c r="C40" s="925"/>
      <c r="D40" s="925" t="s">
        <v>92</v>
      </c>
      <c r="E40" s="925"/>
      <c r="F40" s="964"/>
      <c r="G40" s="964"/>
      <c r="H40" s="964">
        <v>5460</v>
      </c>
      <c r="I40" s="965">
        <v>413995.98</v>
      </c>
      <c r="J40"/>
      <c r="K40"/>
      <c r="L40"/>
      <c r="M40"/>
      <c r="N40"/>
      <c r="O40"/>
      <c r="P40"/>
      <c r="Q40"/>
      <c r="R40"/>
      <c r="S40"/>
      <c r="T40"/>
      <c r="U40"/>
      <c r="V40"/>
      <c r="W40"/>
      <c r="X40"/>
      <c r="Y40"/>
      <c r="Z40"/>
      <c r="AA40"/>
      <c r="AB40"/>
    </row>
    <row r="41" spans="1:28" s="800" customFormat="1" ht="24.95" customHeight="1" x14ac:dyDescent="0.35">
      <c r="A41" s="968">
        <v>45181</v>
      </c>
      <c r="B41" s="930" t="s">
        <v>480</v>
      </c>
      <c r="C41" s="925"/>
      <c r="D41" s="925" t="s">
        <v>92</v>
      </c>
      <c r="E41" s="925"/>
      <c r="F41" s="964" t="s">
        <v>654</v>
      </c>
      <c r="G41" s="964"/>
      <c r="H41" s="964">
        <v>5606</v>
      </c>
      <c r="I41" s="965">
        <v>676930.8</v>
      </c>
      <c r="J41"/>
      <c r="K41"/>
      <c r="L41"/>
      <c r="M41"/>
      <c r="N41"/>
      <c r="O41"/>
      <c r="P41"/>
      <c r="Q41"/>
      <c r="R41"/>
      <c r="S41"/>
      <c r="T41"/>
      <c r="U41"/>
      <c r="V41"/>
      <c r="W41"/>
      <c r="X41"/>
      <c r="Y41"/>
      <c r="Z41"/>
      <c r="AA41"/>
      <c r="AB41"/>
    </row>
    <row r="42" spans="1:28" s="800" customFormat="1" ht="24.95" customHeight="1" x14ac:dyDescent="0.35">
      <c r="A42" s="968">
        <v>45313</v>
      </c>
      <c r="B42" s="930" t="s">
        <v>480</v>
      </c>
      <c r="C42" s="925"/>
      <c r="D42" s="925" t="s">
        <v>90</v>
      </c>
      <c r="E42" s="925">
        <v>825</v>
      </c>
      <c r="F42" s="964"/>
      <c r="G42" s="964"/>
      <c r="H42" s="964">
        <v>5714</v>
      </c>
      <c r="I42" s="965">
        <v>150000</v>
      </c>
      <c r="J42"/>
      <c r="K42"/>
      <c r="L42"/>
      <c r="M42"/>
      <c r="N42"/>
      <c r="O42"/>
      <c r="P42"/>
      <c r="Q42"/>
      <c r="R42"/>
      <c r="S42"/>
      <c r="T42"/>
      <c r="U42"/>
      <c r="V42"/>
      <c r="W42"/>
      <c r="X42"/>
      <c r="Y42"/>
      <c r="Z42"/>
      <c r="AA42"/>
      <c r="AB42"/>
    </row>
    <row r="43" spans="1:28" s="800" customFormat="1" ht="24.95" customHeight="1" x14ac:dyDescent="0.35">
      <c r="A43" s="968">
        <v>45386</v>
      </c>
      <c r="B43" s="930" t="s">
        <v>480</v>
      </c>
      <c r="C43" s="925"/>
      <c r="D43" s="925" t="s">
        <v>90</v>
      </c>
      <c r="E43" s="925"/>
      <c r="F43" s="964"/>
      <c r="G43" s="964"/>
      <c r="H43" s="964">
        <v>5776</v>
      </c>
      <c r="I43" s="965">
        <v>455997.92</v>
      </c>
      <c r="J43"/>
      <c r="K43"/>
      <c r="L43"/>
      <c r="M43"/>
      <c r="N43"/>
      <c r="O43"/>
      <c r="P43"/>
      <c r="Q43"/>
      <c r="R43"/>
      <c r="S43"/>
      <c r="T43"/>
      <c r="U43"/>
      <c r="V43"/>
      <c r="W43"/>
      <c r="X43"/>
      <c r="Y43"/>
      <c r="Z43"/>
      <c r="AA43"/>
      <c r="AB43"/>
    </row>
    <row r="44" spans="1:28" s="800" customFormat="1" ht="24.95" customHeight="1" x14ac:dyDescent="0.35">
      <c r="A44" s="968">
        <v>45601</v>
      </c>
      <c r="B44" s="930" t="s">
        <v>480</v>
      </c>
      <c r="C44" s="925"/>
      <c r="D44" s="925" t="s">
        <v>90</v>
      </c>
      <c r="E44" s="925"/>
      <c r="F44" s="964"/>
      <c r="G44" s="964"/>
      <c r="H44" s="964">
        <v>5920</v>
      </c>
      <c r="I44" s="965">
        <v>310000</v>
      </c>
      <c r="J44"/>
      <c r="K44"/>
      <c r="L44"/>
      <c r="M44"/>
      <c r="N44"/>
      <c r="O44"/>
      <c r="P44"/>
      <c r="Q44"/>
      <c r="R44"/>
      <c r="S44"/>
      <c r="T44"/>
      <c r="U44"/>
      <c r="V44"/>
      <c r="W44"/>
      <c r="X44"/>
      <c r="Y44"/>
      <c r="Z44"/>
      <c r="AA44"/>
      <c r="AB44"/>
    </row>
    <row r="45" spans="1:28" s="800" customFormat="1" ht="24.95" customHeight="1" x14ac:dyDescent="0.35">
      <c r="A45" s="968">
        <v>45680</v>
      </c>
      <c r="B45" s="930" t="s">
        <v>480</v>
      </c>
      <c r="C45" s="925"/>
      <c r="D45" s="925" t="s">
        <v>90</v>
      </c>
      <c r="E45" s="925"/>
      <c r="F45" s="964"/>
      <c r="G45" s="964">
        <v>2343</v>
      </c>
      <c r="H45" s="964">
        <v>5979</v>
      </c>
      <c r="I45" s="965">
        <v>45000</v>
      </c>
      <c r="J45"/>
      <c r="K45"/>
      <c r="L45"/>
      <c r="M45"/>
      <c r="N45"/>
      <c r="O45"/>
      <c r="P45"/>
      <c r="Q45"/>
      <c r="R45"/>
      <c r="S45"/>
      <c r="T45"/>
      <c r="U45"/>
      <c r="V45"/>
      <c r="W45"/>
      <c r="X45"/>
      <c r="Y45"/>
      <c r="Z45"/>
      <c r="AA45"/>
      <c r="AB45"/>
    </row>
    <row r="46" spans="1:28" s="800" customFormat="1" ht="24.95" customHeight="1" x14ac:dyDescent="0.35">
      <c r="A46" s="968">
        <v>45731</v>
      </c>
      <c r="B46" s="930" t="s">
        <v>480</v>
      </c>
      <c r="C46" s="925"/>
      <c r="D46" s="925" t="s">
        <v>90</v>
      </c>
      <c r="E46" s="925"/>
      <c r="F46" s="964"/>
      <c r="G46" s="964"/>
      <c r="H46" s="964" t="s">
        <v>481</v>
      </c>
      <c r="I46" s="965" t="s">
        <v>419</v>
      </c>
      <c r="J46"/>
      <c r="K46"/>
      <c r="L46"/>
      <c r="M46"/>
      <c r="N46"/>
      <c r="O46"/>
      <c r="P46"/>
      <c r="Q46"/>
      <c r="R46"/>
      <c r="S46"/>
      <c r="T46"/>
      <c r="U46"/>
      <c r="V46"/>
      <c r="W46"/>
      <c r="X46"/>
      <c r="Y46"/>
      <c r="Z46"/>
      <c r="AA46"/>
      <c r="AB46"/>
    </row>
    <row r="47" spans="1:28" s="800" customFormat="1" ht="24.95" customHeight="1" x14ac:dyDescent="0.35">
      <c r="A47" s="968">
        <v>44977</v>
      </c>
      <c r="B47" s="930" t="s">
        <v>110</v>
      </c>
      <c r="C47" s="925"/>
      <c r="D47" s="925" t="s">
        <v>92</v>
      </c>
      <c r="E47" s="925"/>
      <c r="F47" s="964"/>
      <c r="G47" s="964"/>
      <c r="H47" s="964">
        <v>5407</v>
      </c>
      <c r="I47" s="965">
        <v>54500</v>
      </c>
      <c r="J47" t="s">
        <v>478</v>
      </c>
      <c r="K47"/>
      <c r="L47"/>
      <c r="M47"/>
      <c r="N47"/>
      <c r="O47"/>
      <c r="P47"/>
      <c r="Q47"/>
      <c r="R47"/>
      <c r="S47"/>
      <c r="T47"/>
      <c r="U47"/>
      <c r="V47"/>
      <c r="W47"/>
      <c r="X47"/>
      <c r="Y47"/>
      <c r="Z47"/>
      <c r="AA47"/>
      <c r="AB47"/>
    </row>
    <row r="48" spans="1:28" s="800" customFormat="1" ht="24.95" customHeight="1" x14ac:dyDescent="0.35">
      <c r="A48" s="968">
        <v>2023</v>
      </c>
      <c r="B48" s="930" t="s">
        <v>191</v>
      </c>
      <c r="C48" s="925"/>
      <c r="D48" s="925" t="s">
        <v>92</v>
      </c>
      <c r="E48" s="925"/>
      <c r="F48" s="964"/>
      <c r="G48" s="964"/>
      <c r="H48" s="964" t="s">
        <v>118</v>
      </c>
      <c r="I48" s="965">
        <v>67000</v>
      </c>
      <c r="J48"/>
      <c r="K48"/>
      <c r="L48"/>
      <c r="M48"/>
      <c r="N48"/>
      <c r="O48"/>
      <c r="P48"/>
      <c r="Q48"/>
      <c r="R48"/>
      <c r="S48"/>
      <c r="T48"/>
      <c r="U48"/>
      <c r="V48"/>
      <c r="W48"/>
      <c r="X48"/>
      <c r="Y48"/>
      <c r="Z48"/>
      <c r="AA48"/>
      <c r="AB48"/>
    </row>
    <row r="49" spans="1:28" s="782" customFormat="1" ht="24.95" customHeight="1" x14ac:dyDescent="0.35">
      <c r="A49" s="968">
        <v>45147</v>
      </c>
      <c r="B49" s="930" t="s">
        <v>653</v>
      </c>
      <c r="C49" s="925"/>
      <c r="D49" s="925" t="s">
        <v>92</v>
      </c>
      <c r="E49" s="925"/>
      <c r="F49" s="964"/>
      <c r="G49" s="964"/>
      <c r="H49" s="964">
        <v>5568</v>
      </c>
      <c r="I49" s="965">
        <v>10000</v>
      </c>
      <c r="J49"/>
      <c r="K49"/>
      <c r="L49"/>
      <c r="M49"/>
      <c r="N49"/>
      <c r="O49"/>
      <c r="P49"/>
      <c r="Q49"/>
      <c r="R49"/>
      <c r="S49"/>
      <c r="T49"/>
      <c r="U49"/>
      <c r="V49"/>
      <c r="W49"/>
      <c r="X49"/>
      <c r="Y49"/>
      <c r="Z49"/>
      <c r="AA49"/>
      <c r="AB49"/>
    </row>
    <row r="50" spans="1:28" s="782" customFormat="1" ht="24.95" customHeight="1" x14ac:dyDescent="0.35">
      <c r="A50" s="968">
        <v>45195</v>
      </c>
      <c r="B50" s="930" t="s">
        <v>271</v>
      </c>
      <c r="C50" s="925"/>
      <c r="D50" s="925" t="s">
        <v>92</v>
      </c>
      <c r="E50" s="925"/>
      <c r="F50" s="964"/>
      <c r="G50" s="964"/>
      <c r="H50" s="964" t="s">
        <v>272</v>
      </c>
      <c r="I50" s="965">
        <v>2339.29</v>
      </c>
      <c r="J50"/>
      <c r="K50"/>
      <c r="L50"/>
      <c r="M50"/>
      <c r="N50"/>
      <c r="O50"/>
      <c r="P50"/>
      <c r="Q50"/>
      <c r="R50"/>
      <c r="S50"/>
      <c r="T50"/>
      <c r="U50"/>
      <c r="V50"/>
      <c r="W50"/>
      <c r="X50"/>
      <c r="Y50"/>
      <c r="Z50"/>
      <c r="AA50"/>
      <c r="AB50"/>
    </row>
    <row r="51" spans="1:28" s="782" customFormat="1" ht="24.95" customHeight="1" x14ac:dyDescent="0.35">
      <c r="A51" s="968">
        <v>45859</v>
      </c>
      <c r="B51" s="930" t="s">
        <v>271</v>
      </c>
      <c r="C51" s="925"/>
      <c r="D51" s="925" t="s">
        <v>282</v>
      </c>
      <c r="E51" s="925"/>
      <c r="F51" s="964"/>
      <c r="G51" s="964"/>
      <c r="H51" s="964" t="s">
        <v>572</v>
      </c>
      <c r="I51" s="965">
        <v>9850</v>
      </c>
      <c r="J51"/>
      <c r="K51"/>
      <c r="L51"/>
      <c r="M51"/>
      <c r="N51"/>
      <c r="O51"/>
      <c r="P51"/>
      <c r="Q51"/>
      <c r="R51"/>
      <c r="S51"/>
      <c r="T51"/>
      <c r="U51"/>
      <c r="V51"/>
      <c r="W51"/>
      <c r="X51"/>
      <c r="Y51"/>
      <c r="Z51"/>
      <c r="AA51"/>
      <c r="AB51"/>
    </row>
    <row r="52" spans="1:28" s="782" customFormat="1" ht="24.95" customHeight="1" x14ac:dyDescent="0.35">
      <c r="A52" s="968">
        <v>45300</v>
      </c>
      <c r="B52" s="930" t="s">
        <v>417</v>
      </c>
      <c r="C52" s="925"/>
      <c r="D52" s="925" t="s">
        <v>90</v>
      </c>
      <c r="E52" s="925"/>
      <c r="F52" s="964"/>
      <c r="G52" s="964"/>
      <c r="H52" s="964" t="s">
        <v>327</v>
      </c>
      <c r="I52" s="965">
        <v>16550</v>
      </c>
      <c r="J52"/>
      <c r="K52"/>
      <c r="L52"/>
      <c r="M52"/>
      <c r="N52"/>
      <c r="O52"/>
      <c r="P52"/>
      <c r="Q52"/>
      <c r="R52"/>
      <c r="S52"/>
      <c r="T52"/>
      <c r="U52"/>
      <c r="V52"/>
      <c r="W52"/>
      <c r="X52"/>
      <c r="Y52"/>
      <c r="Z52"/>
      <c r="AA52"/>
      <c r="AB52"/>
    </row>
    <row r="53" spans="1:28" s="782" customFormat="1" ht="24.95" customHeight="1" x14ac:dyDescent="0.35">
      <c r="A53" s="968">
        <v>45582</v>
      </c>
      <c r="B53" s="930" t="s">
        <v>417</v>
      </c>
      <c r="C53" s="925"/>
      <c r="D53" s="925" t="s">
        <v>90</v>
      </c>
      <c r="E53" s="925"/>
      <c r="F53" s="964"/>
      <c r="G53" s="964"/>
      <c r="H53" s="964" t="s">
        <v>656</v>
      </c>
      <c r="I53" s="965">
        <v>73520</v>
      </c>
      <c r="J53"/>
      <c r="K53"/>
      <c r="L53"/>
      <c r="M53"/>
      <c r="N53"/>
      <c r="O53"/>
      <c r="P53"/>
      <c r="Q53"/>
      <c r="R53"/>
      <c r="S53"/>
      <c r="T53"/>
      <c r="U53"/>
      <c r="V53"/>
      <c r="W53"/>
      <c r="X53"/>
      <c r="Y53"/>
      <c r="Z53"/>
      <c r="AA53"/>
      <c r="AB53"/>
    </row>
    <row r="54" spans="1:28" s="782" customFormat="1" ht="24.95" customHeight="1" x14ac:dyDescent="0.35">
      <c r="A54" s="968" t="s">
        <v>421</v>
      </c>
      <c r="B54" s="930" t="s">
        <v>417</v>
      </c>
      <c r="C54" s="925"/>
      <c r="D54" s="925" t="s">
        <v>90</v>
      </c>
      <c r="E54" s="925"/>
      <c r="F54" s="964"/>
      <c r="G54" s="964"/>
      <c r="H54" s="964" t="s">
        <v>456</v>
      </c>
      <c r="I54" s="965" t="s">
        <v>419</v>
      </c>
      <c r="J54"/>
      <c r="K54"/>
      <c r="L54"/>
      <c r="M54"/>
      <c r="N54"/>
      <c r="O54"/>
      <c r="P54"/>
      <c r="Q54"/>
      <c r="R54"/>
      <c r="S54"/>
      <c r="T54"/>
      <c r="U54"/>
      <c r="V54"/>
      <c r="W54"/>
      <c r="X54"/>
      <c r="Y54"/>
      <c r="Z54"/>
      <c r="AA54"/>
      <c r="AB54"/>
    </row>
    <row r="55" spans="1:28" s="782" customFormat="1" ht="24.95" customHeight="1" x14ac:dyDescent="0.35">
      <c r="A55" s="968">
        <v>45897</v>
      </c>
      <c r="B55" s="930" t="s">
        <v>417</v>
      </c>
      <c r="C55" s="925"/>
      <c r="D55" s="925" t="s">
        <v>90</v>
      </c>
      <c r="E55" s="925"/>
      <c r="F55" s="964"/>
      <c r="G55" s="964"/>
      <c r="H55" s="964" t="s">
        <v>609</v>
      </c>
      <c r="I55" s="965" t="s">
        <v>419</v>
      </c>
      <c r="J55"/>
      <c r="K55"/>
      <c r="L55"/>
      <c r="M55"/>
      <c r="N55"/>
      <c r="O55"/>
      <c r="P55"/>
      <c r="Q55"/>
      <c r="R55"/>
      <c r="S55"/>
      <c r="T55"/>
      <c r="U55"/>
      <c r="V55"/>
      <c r="W55"/>
      <c r="X55"/>
      <c r="Y55"/>
      <c r="Z55"/>
      <c r="AA55"/>
      <c r="AB55"/>
    </row>
    <row r="56" spans="1:28" s="782" customFormat="1" ht="24.95" customHeight="1" x14ac:dyDescent="0.35">
      <c r="A56" s="968">
        <v>45985</v>
      </c>
      <c r="B56" s="930" t="s">
        <v>417</v>
      </c>
      <c r="C56" s="925"/>
      <c r="D56" s="925" t="s">
        <v>90</v>
      </c>
      <c r="E56" s="925"/>
      <c r="F56" s="964"/>
      <c r="G56" s="964"/>
      <c r="H56" s="964" t="s">
        <v>688</v>
      </c>
      <c r="I56" s="965" t="s">
        <v>419</v>
      </c>
      <c r="J56"/>
      <c r="K56"/>
      <c r="L56"/>
      <c r="M56"/>
      <c r="N56"/>
      <c r="O56"/>
      <c r="P56"/>
      <c r="Q56"/>
      <c r="R56"/>
      <c r="S56"/>
      <c r="T56"/>
      <c r="U56"/>
      <c r="V56"/>
      <c r="W56"/>
      <c r="X56"/>
      <c r="Y56"/>
      <c r="Z56"/>
      <c r="AA56"/>
      <c r="AB56"/>
    </row>
    <row r="57" spans="1:28" s="782" customFormat="1" ht="24.95" customHeight="1" x14ac:dyDescent="0.35">
      <c r="A57" s="968">
        <v>45313</v>
      </c>
      <c r="B57" s="930" t="s">
        <v>230</v>
      </c>
      <c r="C57" s="925"/>
      <c r="D57" s="925" t="s">
        <v>92</v>
      </c>
      <c r="E57" s="925"/>
      <c r="F57" s="964"/>
      <c r="G57" s="964"/>
      <c r="H57" s="964">
        <v>5715</v>
      </c>
      <c r="I57" s="965">
        <v>78</v>
      </c>
      <c r="J57"/>
      <c r="K57"/>
      <c r="L57"/>
      <c r="M57"/>
      <c r="N57"/>
      <c r="O57"/>
      <c r="P57"/>
      <c r="Q57"/>
      <c r="R57"/>
      <c r="S57"/>
      <c r="T57"/>
      <c r="U57"/>
      <c r="V57"/>
      <c r="W57"/>
      <c r="X57"/>
      <c r="Y57"/>
      <c r="Z57"/>
      <c r="AA57"/>
      <c r="AB57"/>
    </row>
    <row r="58" spans="1:28" s="782" customFormat="1" ht="24.95" customHeight="1" x14ac:dyDescent="0.35">
      <c r="A58" s="968">
        <v>45371</v>
      </c>
      <c r="B58" s="930" t="s">
        <v>655</v>
      </c>
      <c r="C58" s="925"/>
      <c r="D58" s="925" t="s">
        <v>221</v>
      </c>
      <c r="E58" s="925"/>
      <c r="F58" s="964"/>
      <c r="G58" s="964"/>
      <c r="H58" s="964">
        <v>5769</v>
      </c>
      <c r="I58" s="965">
        <v>250</v>
      </c>
      <c r="J58"/>
      <c r="K58"/>
      <c r="L58"/>
      <c r="M58"/>
      <c r="N58"/>
      <c r="O58"/>
      <c r="P58"/>
      <c r="Q58"/>
      <c r="R58"/>
      <c r="S58"/>
      <c r="T58"/>
      <c r="U58"/>
      <c r="V58"/>
      <c r="W58"/>
      <c r="X58"/>
      <c r="Y58"/>
      <c r="Z58"/>
      <c r="AA58"/>
      <c r="AB58"/>
    </row>
    <row r="59" spans="1:28" s="782" customFormat="1" ht="24.95" customHeight="1" x14ac:dyDescent="0.35">
      <c r="A59" s="968">
        <v>45421</v>
      </c>
      <c r="B59" s="930" t="s">
        <v>545</v>
      </c>
      <c r="C59" s="925"/>
      <c r="D59" s="925" t="s">
        <v>90</v>
      </c>
      <c r="E59" s="925"/>
      <c r="F59" s="964"/>
      <c r="G59" s="964"/>
      <c r="H59" s="964">
        <v>5799</v>
      </c>
      <c r="I59" s="965">
        <v>101150</v>
      </c>
      <c r="J59"/>
      <c r="K59"/>
      <c r="L59"/>
      <c r="M59"/>
      <c r="N59"/>
      <c r="O59"/>
      <c r="P59"/>
      <c r="Q59"/>
      <c r="R59"/>
      <c r="S59"/>
      <c r="T59"/>
      <c r="U59"/>
      <c r="V59"/>
      <c r="W59"/>
      <c r="X59"/>
      <c r="Y59"/>
      <c r="Z59"/>
      <c r="AA59"/>
      <c r="AB59"/>
    </row>
    <row r="60" spans="1:28" s="782" customFormat="1" ht="24.95" customHeight="1" x14ac:dyDescent="0.35">
      <c r="A60" s="968">
        <v>45512</v>
      </c>
      <c r="B60" s="930" t="s">
        <v>545</v>
      </c>
      <c r="C60" s="925"/>
      <c r="D60" s="925" t="s">
        <v>90</v>
      </c>
      <c r="E60" s="925"/>
      <c r="F60" s="964"/>
      <c r="G60" s="964"/>
      <c r="H60" s="964">
        <v>5860</v>
      </c>
      <c r="I60" s="965">
        <v>194000</v>
      </c>
      <c r="J60"/>
      <c r="K60"/>
      <c r="L60"/>
      <c r="M60"/>
      <c r="N60"/>
      <c r="O60"/>
      <c r="P60"/>
      <c r="Q60"/>
      <c r="R60"/>
      <c r="S60"/>
      <c r="T60"/>
      <c r="U60"/>
      <c r="V60"/>
      <c r="W60"/>
      <c r="X60"/>
      <c r="Y60"/>
      <c r="Z60"/>
      <c r="AA60"/>
      <c r="AB60"/>
    </row>
    <row r="61" spans="1:28" s="813" customFormat="1" ht="24.95" customHeight="1" x14ac:dyDescent="0.35">
      <c r="A61" s="968">
        <v>45539</v>
      </c>
      <c r="B61" s="930" t="s">
        <v>545</v>
      </c>
      <c r="C61" s="925"/>
      <c r="D61" s="925" t="s">
        <v>90</v>
      </c>
      <c r="E61" s="925"/>
      <c r="F61" s="964"/>
      <c r="G61" s="964"/>
      <c r="H61" s="964">
        <v>5881</v>
      </c>
      <c r="I61" s="965" t="s">
        <v>419</v>
      </c>
      <c r="J61"/>
      <c r="K61"/>
      <c r="L61"/>
      <c r="M61"/>
      <c r="N61"/>
      <c r="O61"/>
      <c r="P61"/>
      <c r="Q61"/>
      <c r="R61"/>
      <c r="S61"/>
      <c r="T61"/>
      <c r="U61"/>
      <c r="V61"/>
      <c r="W61"/>
      <c r="X61"/>
      <c r="Y61"/>
      <c r="Z61"/>
      <c r="AA61"/>
      <c r="AB61"/>
    </row>
    <row r="62" spans="1:28" s="813" customFormat="1" ht="24.95" customHeight="1" x14ac:dyDescent="0.35">
      <c r="A62" s="968" t="s">
        <v>658</v>
      </c>
      <c r="B62" s="930" t="s">
        <v>545</v>
      </c>
      <c r="C62" s="925"/>
      <c r="D62" s="925" t="s">
        <v>90</v>
      </c>
      <c r="E62" s="925"/>
      <c r="F62" s="964"/>
      <c r="G62" s="964"/>
      <c r="H62" s="964" t="s">
        <v>498</v>
      </c>
      <c r="I62" s="965">
        <v>167500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c r="G63" s="964"/>
      <c r="H63" s="964" t="s">
        <v>503</v>
      </c>
      <c r="I63" s="965" t="s">
        <v>419</v>
      </c>
      <c r="J63"/>
      <c r="K63"/>
      <c r="L63"/>
      <c r="M63"/>
      <c r="N63"/>
      <c r="O63"/>
      <c r="P63"/>
      <c r="Q63"/>
      <c r="R63"/>
      <c r="S63"/>
      <c r="T63"/>
      <c r="U63"/>
      <c r="V63"/>
      <c r="W63"/>
      <c r="X63"/>
      <c r="Y63"/>
      <c r="Z63"/>
      <c r="AA63"/>
      <c r="AB63"/>
    </row>
    <row r="64" spans="1:28" s="813" customFormat="1" ht="24.95" customHeight="1" x14ac:dyDescent="0.35">
      <c r="A64" s="968" t="s">
        <v>421</v>
      </c>
      <c r="B64" s="930" t="s">
        <v>545</v>
      </c>
      <c r="C64" s="925"/>
      <c r="D64" s="925" t="s">
        <v>90</v>
      </c>
      <c r="E64" s="925"/>
      <c r="F64" s="964"/>
      <c r="G64" s="964"/>
      <c r="H64" s="964" t="s">
        <v>582</v>
      </c>
      <c r="I64" s="965">
        <v>948000</v>
      </c>
      <c r="J64"/>
      <c r="K64"/>
      <c r="L64"/>
      <c r="M64"/>
      <c r="N64"/>
      <c r="O64"/>
      <c r="P64"/>
      <c r="Q64"/>
      <c r="R64"/>
      <c r="S64"/>
      <c r="T64"/>
      <c r="U64"/>
      <c r="V64"/>
      <c r="W64"/>
      <c r="X64"/>
      <c r="Y64"/>
      <c r="Z64"/>
      <c r="AA64"/>
      <c r="AB64"/>
    </row>
    <row r="65" spans="1:28" s="813" customFormat="1" ht="24.95" customHeight="1" x14ac:dyDescent="0.35">
      <c r="A65" s="968" t="s">
        <v>421</v>
      </c>
      <c r="B65" s="930" t="s">
        <v>545</v>
      </c>
      <c r="C65" s="925"/>
      <c r="D65" s="925" t="s">
        <v>90</v>
      </c>
      <c r="E65" s="925"/>
      <c r="F65" s="964" t="s">
        <v>676</v>
      </c>
      <c r="G65" s="964"/>
      <c r="H65" s="964" t="s">
        <v>603</v>
      </c>
      <c r="I65" s="965">
        <v>685000</v>
      </c>
      <c r="J65"/>
      <c r="K65"/>
      <c r="L65"/>
      <c r="M65"/>
      <c r="N65"/>
      <c r="O65"/>
      <c r="P65"/>
      <c r="Q65"/>
      <c r="R65"/>
      <c r="S65"/>
      <c r="T65"/>
      <c r="U65"/>
      <c r="V65"/>
      <c r="W65"/>
      <c r="X65"/>
      <c r="Y65"/>
      <c r="Z65"/>
      <c r="AA65"/>
      <c r="AB65"/>
    </row>
    <row r="66" spans="1:28" s="813" customFormat="1" ht="24.95" customHeight="1" x14ac:dyDescent="0.35">
      <c r="A66" s="968">
        <v>45952</v>
      </c>
      <c r="B66" s="930" t="s">
        <v>545</v>
      </c>
      <c r="C66" s="925"/>
      <c r="D66" s="925" t="s">
        <v>90</v>
      </c>
      <c r="E66" s="925"/>
      <c r="F66" s="964"/>
      <c r="G66" s="964"/>
      <c r="H66" s="964" t="s">
        <v>645</v>
      </c>
      <c r="I66" s="965" t="s">
        <v>419</v>
      </c>
      <c r="J66"/>
      <c r="K66"/>
      <c r="L66"/>
      <c r="M66"/>
      <c r="N66"/>
      <c r="O66"/>
      <c r="P66"/>
      <c r="Q66"/>
      <c r="R66"/>
      <c r="S66"/>
      <c r="T66"/>
      <c r="U66"/>
      <c r="V66"/>
      <c r="W66"/>
      <c r="X66"/>
      <c r="Y66"/>
      <c r="Z66"/>
      <c r="AA66"/>
      <c r="AB66"/>
    </row>
    <row r="67" spans="1:28" s="813" customFormat="1" ht="24.95" customHeight="1" x14ac:dyDescent="0.35">
      <c r="A67" s="968">
        <v>45985</v>
      </c>
      <c r="B67" s="930" t="s">
        <v>545</v>
      </c>
      <c r="C67" s="925"/>
      <c r="D67" s="925" t="s">
        <v>90</v>
      </c>
      <c r="E67" s="925"/>
      <c r="F67" s="964"/>
      <c r="G67" s="964"/>
      <c r="H67" s="964" t="s">
        <v>819</v>
      </c>
      <c r="I67" s="965" t="s">
        <v>419</v>
      </c>
      <c r="J67"/>
      <c r="K67"/>
      <c r="L67"/>
      <c r="M67"/>
      <c r="N67"/>
      <c r="O67"/>
      <c r="P67"/>
      <c r="Q67"/>
      <c r="R67"/>
      <c r="S67"/>
      <c r="T67"/>
      <c r="U67"/>
      <c r="V67"/>
      <c r="W67"/>
      <c r="X67"/>
      <c r="Y67"/>
      <c r="Z67"/>
      <c r="AA67"/>
      <c r="AB67"/>
    </row>
    <row r="68" spans="1:28" s="813" customFormat="1" ht="24.95" customHeight="1" x14ac:dyDescent="0.35">
      <c r="A68" s="968">
        <v>45986</v>
      </c>
      <c r="B68" s="930" t="s">
        <v>545</v>
      </c>
      <c r="C68" s="925"/>
      <c r="D68" s="925" t="s">
        <v>90</v>
      </c>
      <c r="E68" s="925"/>
      <c r="F68" s="964"/>
      <c r="G68" s="964"/>
      <c r="H68" s="964" t="s">
        <v>689</v>
      </c>
      <c r="I68" s="965" t="s">
        <v>419</v>
      </c>
      <c r="J68"/>
      <c r="K68"/>
      <c r="L68"/>
      <c r="M68"/>
      <c r="N68"/>
      <c r="O68"/>
      <c r="P68"/>
      <c r="Q68"/>
      <c r="R68"/>
      <c r="S68"/>
      <c r="T68"/>
      <c r="U68"/>
      <c r="V68"/>
      <c r="W68"/>
      <c r="X68"/>
      <c r="Y68"/>
      <c r="Z68"/>
      <c r="AA68"/>
      <c r="AB68"/>
    </row>
    <row r="69" spans="1:28" s="813" customFormat="1" ht="24.95" customHeight="1" x14ac:dyDescent="0.35">
      <c r="A69" s="968">
        <v>46042</v>
      </c>
      <c r="B69" s="930" t="s">
        <v>545</v>
      </c>
      <c r="C69" s="925"/>
      <c r="D69" s="925" t="s">
        <v>90</v>
      </c>
      <c r="E69" s="925"/>
      <c r="F69" s="964"/>
      <c r="G69" s="964"/>
      <c r="H69" s="964" t="s">
        <v>728</v>
      </c>
      <c r="I69" s="965" t="s">
        <v>419</v>
      </c>
      <c r="J69"/>
      <c r="K69"/>
      <c r="L69"/>
      <c r="M69"/>
      <c r="N69"/>
      <c r="O69"/>
      <c r="P69"/>
      <c r="Q69"/>
      <c r="R69"/>
      <c r="S69"/>
      <c r="T69"/>
      <c r="U69"/>
      <c r="V69"/>
      <c r="W69"/>
      <c r="X69"/>
      <c r="Y69"/>
      <c r="Z69"/>
      <c r="AA69"/>
      <c r="AB69"/>
    </row>
    <row r="70" spans="1:28" s="813" customFormat="1" ht="24.95" customHeight="1" x14ac:dyDescent="0.35">
      <c r="A70" s="968">
        <v>46042</v>
      </c>
      <c r="B70" s="930" t="s">
        <v>545</v>
      </c>
      <c r="C70" s="925"/>
      <c r="D70" s="925" t="s">
        <v>90</v>
      </c>
      <c r="E70" s="925"/>
      <c r="F70" s="964"/>
      <c r="G70" s="964"/>
      <c r="H70" s="964" t="s">
        <v>729</v>
      </c>
      <c r="I70" s="965" t="s">
        <v>419</v>
      </c>
      <c r="J70"/>
      <c r="K70"/>
      <c r="L70"/>
      <c r="M70"/>
      <c r="N70"/>
      <c r="O70"/>
      <c r="P70"/>
      <c r="Q70"/>
      <c r="R70"/>
      <c r="S70"/>
      <c r="T70"/>
      <c r="U70"/>
      <c r="V70"/>
      <c r="W70"/>
      <c r="X70"/>
      <c r="Y70"/>
      <c r="Z70"/>
      <c r="AA70"/>
      <c r="AB70"/>
    </row>
    <row r="71" spans="1:28" s="813" customFormat="1" ht="24.95" customHeight="1" x14ac:dyDescent="0.35">
      <c r="A71" s="968">
        <v>46057</v>
      </c>
      <c r="B71" s="930" t="s">
        <v>545</v>
      </c>
      <c r="C71" s="925"/>
      <c r="D71" s="925" t="s">
        <v>90</v>
      </c>
      <c r="E71" s="925"/>
      <c r="F71" s="964"/>
      <c r="G71" s="964"/>
      <c r="H71" s="964" t="s">
        <v>768</v>
      </c>
      <c r="I71" s="965" t="s">
        <v>419</v>
      </c>
      <c r="J71"/>
      <c r="K71"/>
      <c r="L71"/>
      <c r="M71"/>
      <c r="N71"/>
      <c r="O71"/>
      <c r="P71"/>
      <c r="Q71"/>
      <c r="R71"/>
      <c r="S71"/>
      <c r="T71"/>
      <c r="U71"/>
      <c r="V71"/>
      <c r="W71"/>
      <c r="X71"/>
      <c r="Y71"/>
      <c r="Z71"/>
      <c r="AA71"/>
      <c r="AB71"/>
    </row>
    <row r="72" spans="1:28" s="813" customFormat="1" ht="24.95" customHeight="1" x14ac:dyDescent="0.35">
      <c r="A72" s="968"/>
      <c r="B72" s="930" t="s">
        <v>545</v>
      </c>
      <c r="C72" s="925"/>
      <c r="D72" s="925" t="s">
        <v>90</v>
      </c>
      <c r="E72" s="925"/>
      <c r="F72" s="964"/>
      <c r="G72" s="964"/>
      <c r="H72" s="964" t="s">
        <v>780</v>
      </c>
      <c r="I72" s="965" t="s">
        <v>419</v>
      </c>
      <c r="J72"/>
      <c r="K72"/>
      <c r="L72"/>
      <c r="M72"/>
      <c r="N72"/>
      <c r="O72"/>
      <c r="P72"/>
      <c r="Q72"/>
      <c r="R72"/>
      <c r="S72"/>
      <c r="T72"/>
      <c r="U72"/>
      <c r="V72"/>
      <c r="W72"/>
      <c r="X72"/>
      <c r="Y72"/>
      <c r="Z72"/>
      <c r="AA72"/>
      <c r="AB72"/>
    </row>
    <row r="73" spans="1:28" s="813" customFormat="1" ht="24.95" customHeight="1" x14ac:dyDescent="0.35">
      <c r="A73" s="968"/>
      <c r="B73" s="930" t="s">
        <v>545</v>
      </c>
      <c r="C73" s="925"/>
      <c r="D73" s="925" t="s">
        <v>90</v>
      </c>
      <c r="E73" s="925"/>
      <c r="F73" s="964"/>
      <c r="G73" s="964"/>
      <c r="H73" s="964" t="s">
        <v>781</v>
      </c>
      <c r="I73" s="965" t="s">
        <v>419</v>
      </c>
      <c r="J73"/>
      <c r="K73"/>
      <c r="L73"/>
      <c r="M73"/>
      <c r="N73"/>
      <c r="O73"/>
      <c r="P73"/>
      <c r="Q73"/>
      <c r="R73"/>
      <c r="S73"/>
      <c r="T73"/>
      <c r="U73"/>
      <c r="V73"/>
      <c r="W73"/>
      <c r="X73"/>
      <c r="Y73"/>
      <c r="Z73"/>
      <c r="AA73"/>
      <c r="AB73"/>
    </row>
    <row r="74" spans="1:28" s="813" customFormat="1" ht="24.95" customHeight="1" x14ac:dyDescent="0.35">
      <c r="A74" s="968">
        <v>46106</v>
      </c>
      <c r="B74" s="930" t="s">
        <v>545</v>
      </c>
      <c r="C74" s="925"/>
      <c r="D74" s="925" t="s">
        <v>90</v>
      </c>
      <c r="E74" s="925"/>
      <c r="F74" s="964"/>
      <c r="G74" s="964"/>
      <c r="H74" s="964" t="s">
        <v>836</v>
      </c>
      <c r="I74" s="965" t="s">
        <v>419</v>
      </c>
      <c r="J74"/>
      <c r="K74"/>
      <c r="L74"/>
      <c r="M74"/>
      <c r="N74"/>
      <c r="O74"/>
      <c r="P74"/>
      <c r="Q74"/>
      <c r="R74"/>
      <c r="S74"/>
      <c r="T74"/>
      <c r="U74"/>
      <c r="V74"/>
      <c r="W74"/>
      <c r="X74"/>
      <c r="Y74"/>
      <c r="Z74"/>
      <c r="AA74"/>
      <c r="AB74"/>
    </row>
    <row r="75" spans="1:28" s="813" customFormat="1" ht="24.95" customHeight="1" x14ac:dyDescent="0.35">
      <c r="A75" s="968">
        <v>46106</v>
      </c>
      <c r="B75" s="930" t="s">
        <v>545</v>
      </c>
      <c r="C75" s="925"/>
      <c r="D75" s="925" t="s">
        <v>90</v>
      </c>
      <c r="E75" s="925"/>
      <c r="F75" s="964"/>
      <c r="G75" s="964"/>
      <c r="H75" s="964" t="s">
        <v>837</v>
      </c>
      <c r="I75" s="965" t="s">
        <v>419</v>
      </c>
      <c r="J75"/>
      <c r="K75"/>
      <c r="L75"/>
      <c r="M75"/>
      <c r="N75"/>
      <c r="O75"/>
      <c r="P75"/>
      <c r="Q75"/>
      <c r="R75"/>
      <c r="S75"/>
      <c r="T75"/>
      <c r="U75"/>
      <c r="V75"/>
      <c r="W75"/>
      <c r="X75"/>
      <c r="Y75"/>
      <c r="Z75"/>
      <c r="AA75"/>
      <c r="AB75"/>
    </row>
    <row r="76" spans="1:28" s="813" customFormat="1" ht="24.95" customHeight="1" x14ac:dyDescent="0.35">
      <c r="A76" s="968">
        <v>45630</v>
      </c>
      <c r="B76" s="930" t="s">
        <v>466</v>
      </c>
      <c r="C76" s="925"/>
      <c r="D76" s="925" t="s">
        <v>92</v>
      </c>
      <c r="E76" s="925"/>
      <c r="F76" s="964"/>
      <c r="G76" s="964"/>
      <c r="H76" s="964">
        <v>5939</v>
      </c>
      <c r="I76" s="965">
        <v>297900</v>
      </c>
      <c r="J76"/>
      <c r="K76"/>
      <c r="L76"/>
      <c r="M76"/>
      <c r="N76"/>
      <c r="O76"/>
      <c r="P76"/>
      <c r="Q76"/>
      <c r="R76"/>
      <c r="S76"/>
      <c r="T76"/>
      <c r="U76"/>
      <c r="V76"/>
      <c r="W76"/>
      <c r="X76"/>
      <c r="Y76"/>
      <c r="Z76"/>
      <c r="AA76"/>
      <c r="AB76"/>
    </row>
    <row r="77" spans="1:28" s="813" customFormat="1" ht="24.95" customHeight="1" x14ac:dyDescent="0.35">
      <c r="A77" s="968">
        <v>45749</v>
      </c>
      <c r="B77" s="930" t="s">
        <v>657</v>
      </c>
      <c r="C77" s="925"/>
      <c r="D77" s="925" t="s">
        <v>92</v>
      </c>
      <c r="E77" s="925"/>
      <c r="F77" s="964"/>
      <c r="G77" s="964"/>
      <c r="H77" s="964" t="s">
        <v>493</v>
      </c>
      <c r="I77" s="965">
        <v>1000</v>
      </c>
      <c r="J77"/>
      <c r="K77"/>
      <c r="L77"/>
      <c r="M77"/>
      <c r="N77"/>
      <c r="O77"/>
      <c r="P77"/>
      <c r="Q77"/>
      <c r="R77"/>
      <c r="S77"/>
      <c r="T77"/>
      <c r="U77"/>
      <c r="V77"/>
      <c r="W77"/>
      <c r="X77"/>
      <c r="Y77"/>
      <c r="Z77"/>
      <c r="AA77"/>
      <c r="AB77"/>
    </row>
    <row r="78" spans="1:28" s="813" customFormat="1" ht="24.95" customHeight="1" x14ac:dyDescent="0.35">
      <c r="A78" s="968">
        <v>45749</v>
      </c>
      <c r="B78" s="930" t="s">
        <v>657</v>
      </c>
      <c r="C78" s="925"/>
      <c r="D78" s="925" t="s">
        <v>92</v>
      </c>
      <c r="E78" s="925"/>
      <c r="F78" s="964"/>
      <c r="G78" s="964"/>
      <c r="H78" s="964" t="s">
        <v>494</v>
      </c>
      <c r="I78" s="965">
        <v>7500</v>
      </c>
      <c r="J78"/>
      <c r="K78"/>
      <c r="L78"/>
      <c r="M78"/>
      <c r="N78"/>
      <c r="O78"/>
      <c r="P78"/>
      <c r="Q78"/>
      <c r="R78"/>
      <c r="S78"/>
      <c r="T78"/>
      <c r="U78"/>
      <c r="V78"/>
      <c r="W78"/>
      <c r="X78"/>
      <c r="Y78"/>
      <c r="Z78"/>
      <c r="AA78"/>
      <c r="AB78"/>
    </row>
    <row r="79" spans="1:28" s="813" customFormat="1" ht="24.95" customHeight="1" x14ac:dyDescent="0.35">
      <c r="A79" s="968" t="s">
        <v>421</v>
      </c>
      <c r="B79" s="930" t="s">
        <v>270</v>
      </c>
      <c r="C79" s="925"/>
      <c r="D79" s="925" t="s">
        <v>90</v>
      </c>
      <c r="E79" s="925"/>
      <c r="F79" s="964"/>
      <c r="G79" s="964"/>
      <c r="H79" s="964">
        <v>5950</v>
      </c>
      <c r="I79" s="965" t="s">
        <v>419</v>
      </c>
      <c r="J79"/>
      <c r="K79"/>
      <c r="L79"/>
      <c r="M79"/>
      <c r="N79"/>
      <c r="O79"/>
      <c r="P79"/>
      <c r="Q79"/>
      <c r="R79"/>
      <c r="S79"/>
      <c r="T79"/>
      <c r="U79"/>
      <c r="V79"/>
      <c r="W79"/>
      <c r="X79"/>
      <c r="Y79"/>
      <c r="Z79"/>
      <c r="AA79"/>
      <c r="AB79"/>
    </row>
    <row r="80" spans="1:28" s="813" customFormat="1" ht="24.95" customHeight="1" x14ac:dyDescent="0.35">
      <c r="A80" s="968">
        <v>45700</v>
      </c>
      <c r="B80" s="930" t="s">
        <v>270</v>
      </c>
      <c r="C80" s="925"/>
      <c r="D80" s="925" t="s">
        <v>90</v>
      </c>
      <c r="E80" s="925"/>
      <c r="F80" s="964"/>
      <c r="G80" s="964"/>
      <c r="H80" s="964"/>
      <c r="I80" s="965">
        <v>1200</v>
      </c>
      <c r="J80"/>
      <c r="K80"/>
      <c r="L80"/>
      <c r="M80"/>
      <c r="N80"/>
      <c r="O80"/>
      <c r="P80"/>
      <c r="Q80"/>
      <c r="R80"/>
      <c r="S80"/>
      <c r="T80"/>
      <c r="U80"/>
      <c r="V80"/>
      <c r="W80"/>
      <c r="X80"/>
      <c r="Y80"/>
      <c r="Z80"/>
      <c r="AA80"/>
      <c r="AB80"/>
    </row>
    <row r="81" spans="1:28" s="813" customFormat="1" ht="24.95" customHeight="1" x14ac:dyDescent="0.35">
      <c r="A81" s="968">
        <v>45896</v>
      </c>
      <c r="B81" s="930" t="s">
        <v>270</v>
      </c>
      <c r="C81" s="925"/>
      <c r="D81" s="925" t="s">
        <v>90</v>
      </c>
      <c r="E81" s="925"/>
      <c r="F81" s="964"/>
      <c r="G81" s="964"/>
      <c r="H81" s="964" t="s">
        <v>601</v>
      </c>
      <c r="I81" s="965" t="s">
        <v>419</v>
      </c>
      <c r="J81"/>
      <c r="K81"/>
      <c r="L81"/>
      <c r="M81"/>
      <c r="N81"/>
      <c r="O81"/>
      <c r="P81"/>
      <c r="Q81"/>
      <c r="R81"/>
      <c r="S81"/>
      <c r="T81"/>
      <c r="U81"/>
      <c r="V81"/>
      <c r="W81"/>
      <c r="X81"/>
      <c r="Y81"/>
      <c r="Z81"/>
      <c r="AA81"/>
      <c r="AB81"/>
    </row>
    <row r="82" spans="1:28" s="813" customFormat="1" ht="24.95" customHeight="1" x14ac:dyDescent="0.35">
      <c r="A82" s="968">
        <v>45946</v>
      </c>
      <c r="B82" s="930" t="s">
        <v>270</v>
      </c>
      <c r="C82" s="925"/>
      <c r="D82" s="925" t="s">
        <v>90</v>
      </c>
      <c r="E82" s="925"/>
      <c r="F82" s="964"/>
      <c r="G82" s="964"/>
      <c r="H82" s="964" t="s">
        <v>638</v>
      </c>
      <c r="I82" s="965">
        <v>100000</v>
      </c>
      <c r="J82"/>
      <c r="K82"/>
      <c r="L82"/>
      <c r="M82"/>
      <c r="N82"/>
      <c r="O82"/>
      <c r="P82"/>
      <c r="Q82"/>
      <c r="R82"/>
      <c r="S82"/>
      <c r="T82"/>
      <c r="U82"/>
      <c r="V82"/>
      <c r="W82"/>
      <c r="X82"/>
      <c r="Y82"/>
      <c r="Z82"/>
      <c r="AA82"/>
      <c r="AB82"/>
    </row>
    <row r="83" spans="1:28" s="813" customFormat="1" ht="24.95" customHeight="1" x14ac:dyDescent="0.35">
      <c r="A83" s="968">
        <v>45946</v>
      </c>
      <c r="B83" s="930" t="s">
        <v>270</v>
      </c>
      <c r="C83" s="925"/>
      <c r="D83" s="925" t="s">
        <v>90</v>
      </c>
      <c r="E83" s="925"/>
      <c r="F83" s="964"/>
      <c r="G83" s="964"/>
      <c r="H83" s="964" t="s">
        <v>639</v>
      </c>
      <c r="I83" s="965">
        <v>89000</v>
      </c>
      <c r="J83"/>
      <c r="K83"/>
      <c r="L83"/>
      <c r="M83"/>
      <c r="N83"/>
      <c r="O83"/>
      <c r="P83"/>
      <c r="Q83"/>
      <c r="R83"/>
      <c r="S83"/>
      <c r="T83"/>
      <c r="U83"/>
      <c r="V83"/>
      <c r="W83"/>
      <c r="X83"/>
      <c r="Y83"/>
      <c r="Z83"/>
      <c r="AA83"/>
      <c r="AB83"/>
    </row>
    <row r="84" spans="1:28" s="813" customFormat="1" ht="24.95" customHeight="1" x14ac:dyDescent="0.35">
      <c r="A84" s="968">
        <v>45946</v>
      </c>
      <c r="B84" s="930" t="s">
        <v>270</v>
      </c>
      <c r="C84" s="925"/>
      <c r="D84" s="925" t="s">
        <v>90</v>
      </c>
      <c r="E84" s="925"/>
      <c r="F84" s="964"/>
      <c r="G84" s="964"/>
      <c r="H84" s="964" t="s">
        <v>640</v>
      </c>
      <c r="I84" s="965">
        <v>105000</v>
      </c>
      <c r="J84"/>
      <c r="K84"/>
      <c r="L84"/>
      <c r="M84"/>
      <c r="N84"/>
      <c r="O84"/>
      <c r="P84"/>
      <c r="Q84"/>
      <c r="R84"/>
      <c r="S84"/>
      <c r="T84"/>
      <c r="U84"/>
      <c r="V84"/>
      <c r="W84"/>
      <c r="X84"/>
      <c r="Y84"/>
      <c r="Z84"/>
      <c r="AA84"/>
      <c r="AB84"/>
    </row>
    <row r="85" spans="1:28" s="813" customFormat="1" ht="24.95" customHeight="1" x14ac:dyDescent="0.35">
      <c r="A85" s="968">
        <v>45817</v>
      </c>
      <c r="B85" s="983" t="s">
        <v>560</v>
      </c>
      <c r="C85" s="925"/>
      <c r="D85" s="964" t="s">
        <v>90</v>
      </c>
      <c r="E85" s="964"/>
      <c r="F85" s="964"/>
      <c r="G85" s="964"/>
      <c r="H85" s="964" t="s">
        <v>556</v>
      </c>
      <c r="I85" s="965" t="s">
        <v>419</v>
      </c>
      <c r="J85"/>
      <c r="K85"/>
      <c r="L85"/>
      <c r="M85"/>
      <c r="N85"/>
      <c r="O85"/>
      <c r="P85"/>
      <c r="Q85"/>
      <c r="R85"/>
      <c r="S85"/>
      <c r="T85"/>
      <c r="U85"/>
      <c r="V85"/>
      <c r="W85"/>
      <c r="X85"/>
      <c r="Y85"/>
      <c r="Z85"/>
      <c r="AA85"/>
      <c r="AB85"/>
    </row>
    <row r="86" spans="1:28" s="813" customFormat="1" ht="24.95" customHeight="1" x14ac:dyDescent="0.35">
      <c r="A86" s="968">
        <v>45854</v>
      </c>
      <c r="B86" s="983" t="s">
        <v>560</v>
      </c>
      <c r="C86" s="925"/>
      <c r="D86" s="964" t="s">
        <v>90</v>
      </c>
      <c r="E86" s="964"/>
      <c r="F86" s="964"/>
      <c r="G86" s="964"/>
      <c r="H86" s="964" t="s">
        <v>562</v>
      </c>
      <c r="I86" s="965" t="s">
        <v>419</v>
      </c>
      <c r="J86"/>
      <c r="K86"/>
      <c r="L86"/>
      <c r="M86"/>
      <c r="N86"/>
      <c r="O86"/>
      <c r="P86"/>
      <c r="Q86"/>
      <c r="R86"/>
      <c r="S86"/>
      <c r="T86"/>
      <c r="U86"/>
      <c r="V86"/>
      <c r="W86"/>
      <c r="X86"/>
      <c r="Y86"/>
      <c r="Z86"/>
      <c r="AA86"/>
      <c r="AB86"/>
    </row>
    <row r="87" spans="1:28" s="813" customFormat="1" ht="24.95" customHeight="1" x14ac:dyDescent="0.35">
      <c r="A87" s="968">
        <v>45973</v>
      </c>
      <c r="B87" s="983" t="s">
        <v>560</v>
      </c>
      <c r="C87" s="925"/>
      <c r="D87" s="964" t="s">
        <v>90</v>
      </c>
      <c r="E87" s="964"/>
      <c r="F87" s="964"/>
      <c r="G87" s="964"/>
      <c r="H87" s="964" t="s">
        <v>801</v>
      </c>
      <c r="I87" s="965" t="s">
        <v>419</v>
      </c>
      <c r="J87"/>
      <c r="K87"/>
      <c r="L87"/>
      <c r="M87"/>
      <c r="N87"/>
      <c r="O87"/>
      <c r="P87"/>
      <c r="Q87"/>
      <c r="R87"/>
      <c r="S87"/>
      <c r="T87"/>
      <c r="U87"/>
      <c r="V87"/>
      <c r="W87"/>
      <c r="X87"/>
      <c r="Y87"/>
      <c r="Z87"/>
      <c r="AA87"/>
      <c r="AB87"/>
    </row>
    <row r="88" spans="1:28" s="813" customFormat="1" ht="24.95" customHeight="1" x14ac:dyDescent="0.35">
      <c r="A88" s="968">
        <v>45993</v>
      </c>
      <c r="B88" s="983" t="s">
        <v>432</v>
      </c>
      <c r="C88" s="925"/>
      <c r="D88" s="964" t="s">
        <v>90</v>
      </c>
      <c r="E88" s="964"/>
      <c r="F88" s="964"/>
      <c r="G88" s="964"/>
      <c r="H88" s="964" t="s">
        <v>692</v>
      </c>
      <c r="I88" s="965" t="s">
        <v>419</v>
      </c>
      <c r="J88"/>
      <c r="K88"/>
      <c r="L88"/>
      <c r="M88"/>
      <c r="N88"/>
      <c r="O88"/>
      <c r="P88"/>
      <c r="Q88"/>
      <c r="R88"/>
      <c r="S88"/>
      <c r="T88"/>
      <c r="U88"/>
      <c r="V88"/>
      <c r="W88"/>
      <c r="X88"/>
      <c r="Y88"/>
      <c r="Z88"/>
      <c r="AA88"/>
      <c r="AB88"/>
    </row>
    <row r="89" spans="1:28" s="813" customFormat="1" ht="24.95" customHeight="1" x14ac:dyDescent="0.35">
      <c r="A89" s="968">
        <v>46000</v>
      </c>
      <c r="B89" s="983" t="s">
        <v>432</v>
      </c>
      <c r="C89" s="925"/>
      <c r="D89" s="964" t="s">
        <v>90</v>
      </c>
      <c r="E89" s="964"/>
      <c r="F89" s="964"/>
      <c r="G89" s="964"/>
      <c r="H89" s="964" t="s">
        <v>702</v>
      </c>
      <c r="I89" s="965">
        <v>254250</v>
      </c>
      <c r="J89" t="s">
        <v>478</v>
      </c>
      <c r="K89"/>
      <c r="L89"/>
      <c r="M89"/>
      <c r="N89"/>
      <c r="O89"/>
      <c r="P89"/>
      <c r="Q89"/>
      <c r="R89"/>
      <c r="S89"/>
      <c r="T89"/>
      <c r="U89"/>
      <c r="V89"/>
      <c r="W89"/>
      <c r="X89"/>
      <c r="Y89"/>
      <c r="Z89"/>
      <c r="AA89"/>
      <c r="AB89"/>
    </row>
    <row r="90" spans="1:28" s="813" customFormat="1" ht="24.95" customHeight="1" x14ac:dyDescent="0.35">
      <c r="A90" s="968">
        <v>46032</v>
      </c>
      <c r="B90" s="983" t="s">
        <v>432</v>
      </c>
      <c r="C90" s="925"/>
      <c r="D90" s="964" t="s">
        <v>90</v>
      </c>
      <c r="E90" s="964"/>
      <c r="F90" s="964"/>
      <c r="G90" s="964"/>
      <c r="H90" s="964" t="s">
        <v>803</v>
      </c>
      <c r="I90" s="965">
        <v>415000</v>
      </c>
      <c r="J90"/>
      <c r="K90"/>
      <c r="L90"/>
      <c r="M90"/>
      <c r="N90"/>
      <c r="O90"/>
      <c r="P90"/>
      <c r="Q90"/>
      <c r="R90"/>
      <c r="S90"/>
      <c r="T90"/>
      <c r="U90"/>
      <c r="V90"/>
      <c r="W90"/>
      <c r="X90"/>
      <c r="Y90"/>
      <c r="Z90"/>
      <c r="AA90"/>
      <c r="AB90"/>
    </row>
    <row r="91" spans="1:28" s="813" customFormat="1" ht="24.95" customHeight="1" x14ac:dyDescent="0.35">
      <c r="A91" s="968">
        <v>46083</v>
      </c>
      <c r="B91" s="983" t="s">
        <v>560</v>
      </c>
      <c r="C91" s="925"/>
      <c r="D91" s="964" t="s">
        <v>90</v>
      </c>
      <c r="E91" s="964"/>
      <c r="F91" s="964"/>
      <c r="G91" s="964"/>
      <c r="H91" s="964" t="s">
        <v>802</v>
      </c>
      <c r="I91" s="965" t="s">
        <v>419</v>
      </c>
      <c r="J91"/>
      <c r="K91"/>
      <c r="L91"/>
      <c r="M91"/>
      <c r="N91"/>
      <c r="O91"/>
      <c r="P91"/>
      <c r="Q91"/>
      <c r="R91"/>
      <c r="S91"/>
      <c r="T91"/>
      <c r="U91"/>
      <c r="V91"/>
      <c r="W91"/>
      <c r="X91"/>
      <c r="Y91"/>
      <c r="Z91"/>
      <c r="AA91"/>
      <c r="AB91"/>
    </row>
    <row r="92" spans="1:28" s="813" customFormat="1" ht="24.95" customHeight="1" x14ac:dyDescent="0.35">
      <c r="A92" s="968" t="s">
        <v>421</v>
      </c>
      <c r="B92" s="983" t="s">
        <v>432</v>
      </c>
      <c r="C92" s="925"/>
      <c r="D92" s="964" t="s">
        <v>90</v>
      </c>
      <c r="E92" s="964"/>
      <c r="F92" s="964"/>
      <c r="G92" s="964"/>
      <c r="H92" s="964" t="s">
        <v>835</v>
      </c>
      <c r="I92" s="965" t="s">
        <v>419</v>
      </c>
      <c r="J92"/>
      <c r="K92"/>
      <c r="L92"/>
      <c r="M92"/>
      <c r="N92"/>
      <c r="O92"/>
      <c r="P92"/>
      <c r="Q92"/>
      <c r="R92"/>
      <c r="S92"/>
      <c r="T92"/>
      <c r="U92"/>
      <c r="V92"/>
      <c r="W92"/>
      <c r="X92"/>
      <c r="Y92"/>
      <c r="Z92"/>
      <c r="AA92"/>
      <c r="AB92"/>
    </row>
    <row r="93" spans="1:28" s="813" customFormat="1" ht="24.95" customHeight="1" x14ac:dyDescent="0.35">
      <c r="A93" s="968">
        <v>45708</v>
      </c>
      <c r="B93" s="930" t="s">
        <v>436</v>
      </c>
      <c r="C93" s="925"/>
      <c r="D93" s="964" t="s">
        <v>92</v>
      </c>
      <c r="E93" s="964"/>
      <c r="F93" s="964"/>
      <c r="G93" s="964"/>
      <c r="H93" s="964" t="s">
        <v>443</v>
      </c>
      <c r="I93" s="965"/>
      <c r="J93"/>
      <c r="K93"/>
      <c r="L93"/>
      <c r="M93"/>
      <c r="N93"/>
      <c r="O93"/>
      <c r="P93"/>
      <c r="Q93"/>
      <c r="R93"/>
      <c r="S93"/>
      <c r="T93"/>
      <c r="U93"/>
      <c r="V93"/>
      <c r="W93"/>
      <c r="X93"/>
      <c r="Y93"/>
      <c r="Z93"/>
      <c r="AA93"/>
      <c r="AB93"/>
    </row>
    <row r="94" spans="1:28" s="813" customFormat="1" ht="24.95" customHeight="1" x14ac:dyDescent="0.35">
      <c r="A94" s="968" t="s">
        <v>421</v>
      </c>
      <c r="B94" s="930" t="s">
        <v>434</v>
      </c>
      <c r="C94" s="925"/>
      <c r="D94" s="964" t="s">
        <v>90</v>
      </c>
      <c r="E94" s="964"/>
      <c r="F94" s="964"/>
      <c r="G94" s="964"/>
      <c r="H94" s="964" t="s">
        <v>665</v>
      </c>
      <c r="I94" s="965">
        <v>2977500</v>
      </c>
      <c r="J94"/>
      <c r="K94"/>
      <c r="L94"/>
      <c r="M94"/>
      <c r="N94"/>
      <c r="O94"/>
      <c r="P94"/>
      <c r="Q94"/>
      <c r="R94"/>
      <c r="S94"/>
      <c r="T94"/>
      <c r="U94"/>
      <c r="V94"/>
      <c r="W94"/>
      <c r="X94"/>
      <c r="Y94"/>
      <c r="Z94"/>
      <c r="AA94"/>
      <c r="AB94"/>
    </row>
    <row r="95" spans="1:28" s="813" customFormat="1" ht="24.95" customHeight="1" x14ac:dyDescent="0.35">
      <c r="A95" s="968">
        <v>45965</v>
      </c>
      <c r="B95" s="930" t="s">
        <v>434</v>
      </c>
      <c r="C95" s="925"/>
      <c r="D95" s="964" t="s">
        <v>90</v>
      </c>
      <c r="E95" s="964"/>
      <c r="F95" s="964"/>
      <c r="G95" s="964"/>
      <c r="H95" s="964" t="s">
        <v>672</v>
      </c>
      <c r="I95" s="965">
        <v>592500</v>
      </c>
      <c r="J95" t="s">
        <v>478</v>
      </c>
      <c r="K95"/>
      <c r="L95"/>
      <c r="M95"/>
      <c r="N95"/>
      <c r="O95"/>
      <c r="P95"/>
      <c r="Q95"/>
      <c r="R95"/>
      <c r="S95"/>
      <c r="T95"/>
      <c r="U95"/>
      <c r="V95"/>
      <c r="W95"/>
      <c r="X95"/>
      <c r="Y95"/>
      <c r="Z95"/>
      <c r="AA95"/>
      <c r="AB95"/>
    </row>
    <row r="96" spans="1:28" s="813" customFormat="1" ht="24.95" customHeight="1" x14ac:dyDescent="0.35">
      <c r="A96" s="968">
        <v>45723</v>
      </c>
      <c r="B96" s="930" t="s">
        <v>428</v>
      </c>
      <c r="C96" s="925"/>
      <c r="D96" s="964" t="s">
        <v>92</v>
      </c>
      <c r="E96" s="964"/>
      <c r="F96" s="964"/>
      <c r="G96" s="964"/>
      <c r="H96" s="964" t="s">
        <v>501</v>
      </c>
      <c r="I96" s="965">
        <v>8000</v>
      </c>
      <c r="J96"/>
      <c r="K96"/>
      <c r="L96"/>
      <c r="M96"/>
      <c r="N96"/>
      <c r="O96"/>
      <c r="P96"/>
      <c r="Q96"/>
      <c r="R96"/>
      <c r="S96"/>
      <c r="T96"/>
      <c r="U96"/>
      <c r="V96"/>
      <c r="W96"/>
      <c r="X96"/>
      <c r="Y96"/>
      <c r="Z96"/>
      <c r="AA96"/>
      <c r="AB96"/>
    </row>
    <row r="97" spans="1:28" s="813" customFormat="1" ht="24.95" customHeight="1" x14ac:dyDescent="0.35">
      <c r="A97" s="968">
        <v>45828</v>
      </c>
      <c r="B97" s="930" t="s">
        <v>428</v>
      </c>
      <c r="C97" s="925"/>
      <c r="D97" s="964" t="s">
        <v>92</v>
      </c>
      <c r="E97" s="964"/>
      <c r="F97" s="964"/>
      <c r="G97" s="964"/>
      <c r="H97" s="964" t="s">
        <v>559</v>
      </c>
      <c r="I97" s="965" t="s">
        <v>419</v>
      </c>
      <c r="J97"/>
      <c r="K97"/>
      <c r="L97"/>
      <c r="M97"/>
      <c r="N97"/>
      <c r="O97"/>
      <c r="P97"/>
      <c r="Q97"/>
      <c r="R97"/>
      <c r="S97"/>
      <c r="T97"/>
      <c r="U97"/>
      <c r="V97"/>
      <c r="W97"/>
      <c r="X97"/>
      <c r="Y97"/>
      <c r="Z97"/>
      <c r="AA97"/>
      <c r="AB97"/>
    </row>
    <row r="98" spans="1:28" s="813" customFormat="1" ht="24.95" customHeight="1" x14ac:dyDescent="0.35">
      <c r="A98" s="968">
        <v>46053</v>
      </c>
      <c r="B98" s="930" t="s">
        <v>428</v>
      </c>
      <c r="C98" s="925"/>
      <c r="D98" s="964" t="s">
        <v>92</v>
      </c>
      <c r="E98" s="964"/>
      <c r="F98" s="964"/>
      <c r="G98" s="964"/>
      <c r="H98" s="964" t="s">
        <v>746</v>
      </c>
      <c r="I98" s="965" t="s">
        <v>419</v>
      </c>
      <c r="J98"/>
      <c r="K98"/>
      <c r="L98"/>
      <c r="M98"/>
      <c r="N98"/>
      <c r="O98"/>
      <c r="P98"/>
      <c r="Q98"/>
      <c r="R98"/>
      <c r="S98"/>
      <c r="T98"/>
      <c r="U98"/>
      <c r="V98"/>
      <c r="W98"/>
      <c r="X98"/>
      <c r="Y98"/>
      <c r="Z98"/>
      <c r="AA98"/>
      <c r="AB98"/>
    </row>
    <row r="99" spans="1:28" s="813" customFormat="1" ht="24.95" customHeight="1" x14ac:dyDescent="0.35">
      <c r="A99" s="968">
        <v>46057</v>
      </c>
      <c r="B99" s="930" t="s">
        <v>428</v>
      </c>
      <c r="C99" s="925"/>
      <c r="D99" s="964" t="s">
        <v>92</v>
      </c>
      <c r="E99" s="964"/>
      <c r="F99" s="964"/>
      <c r="G99" s="964"/>
      <c r="H99" s="964" t="s">
        <v>769</v>
      </c>
      <c r="I99" s="965" t="s">
        <v>419</v>
      </c>
      <c r="J99"/>
      <c r="K99"/>
      <c r="L99"/>
      <c r="M99"/>
      <c r="N99"/>
      <c r="O99"/>
      <c r="P99"/>
      <c r="Q99"/>
      <c r="R99"/>
      <c r="S99"/>
      <c r="T99"/>
      <c r="U99"/>
      <c r="V99"/>
      <c r="W99"/>
      <c r="X99"/>
      <c r="Y99"/>
      <c r="Z99"/>
      <c r="AA99"/>
      <c r="AB99"/>
    </row>
    <row r="100" spans="1:28" s="813" customFormat="1" ht="24.95" customHeight="1" x14ac:dyDescent="0.35">
      <c r="A100" s="968">
        <v>46087</v>
      </c>
      <c r="B100" s="930" t="s">
        <v>428</v>
      </c>
      <c r="C100" s="925"/>
      <c r="D100" s="964" t="s">
        <v>92</v>
      </c>
      <c r="E100" s="964"/>
      <c r="F100" s="964"/>
      <c r="G100" s="964"/>
      <c r="H100" s="964" t="s">
        <v>813</v>
      </c>
      <c r="I100" s="965">
        <v>57000</v>
      </c>
      <c r="J100"/>
      <c r="K100"/>
      <c r="L100"/>
      <c r="M100"/>
      <c r="N100"/>
      <c r="O100"/>
      <c r="P100"/>
      <c r="Q100"/>
      <c r="R100"/>
      <c r="S100"/>
      <c r="T100"/>
      <c r="U100"/>
      <c r="V100"/>
      <c r="W100"/>
      <c r="X100"/>
      <c r="Y100"/>
      <c r="Z100"/>
      <c r="AA100"/>
      <c r="AB100"/>
    </row>
    <row r="101" spans="1:28" s="782" customFormat="1" ht="24.95" customHeight="1" x14ac:dyDescent="0.35">
      <c r="A101" s="968">
        <v>45750</v>
      </c>
      <c r="B101" s="930" t="s">
        <v>438</v>
      </c>
      <c r="C101" s="925"/>
      <c r="D101" s="964" t="s">
        <v>90</v>
      </c>
      <c r="E101" s="964"/>
      <c r="F101" s="964"/>
      <c r="G101" s="964"/>
      <c r="H101" s="964" t="s">
        <v>496</v>
      </c>
      <c r="I101" s="965">
        <v>339500</v>
      </c>
      <c r="J101"/>
      <c r="K101"/>
      <c r="L101"/>
      <c r="M101"/>
      <c r="N101"/>
      <c r="O101"/>
      <c r="P101"/>
      <c r="Q101"/>
      <c r="R101"/>
      <c r="S101"/>
      <c r="T101"/>
      <c r="U101"/>
      <c r="V101"/>
      <c r="W101"/>
      <c r="X101"/>
      <c r="Y101"/>
      <c r="Z101"/>
      <c r="AA101"/>
      <c r="AB101"/>
    </row>
    <row r="102" spans="1:28" s="782" customFormat="1" ht="24.95" customHeight="1" x14ac:dyDescent="0.35">
      <c r="A102" s="968">
        <v>46045</v>
      </c>
      <c r="B102" s="930" t="s">
        <v>438</v>
      </c>
      <c r="C102" s="925" t="s">
        <v>740</v>
      </c>
      <c r="D102" s="964" t="s">
        <v>90</v>
      </c>
      <c r="E102" s="964"/>
      <c r="F102" s="964"/>
      <c r="G102" s="964"/>
      <c r="H102" s="964" t="s">
        <v>738</v>
      </c>
      <c r="I102" s="965" t="s">
        <v>419</v>
      </c>
      <c r="J102"/>
      <c r="K102"/>
      <c r="L102"/>
      <c r="M102"/>
      <c r="N102"/>
      <c r="O102"/>
      <c r="P102"/>
      <c r="Q102"/>
      <c r="R102"/>
      <c r="S102"/>
      <c r="T102"/>
      <c r="U102"/>
      <c r="V102"/>
      <c r="W102"/>
      <c r="X102"/>
      <c r="Y102"/>
      <c r="Z102"/>
      <c r="AA102"/>
      <c r="AB102"/>
    </row>
    <row r="103" spans="1:28" s="749" customFormat="1" ht="24.95" customHeight="1" x14ac:dyDescent="0.35">
      <c r="A103" s="968"/>
      <c r="B103" s="930" t="s">
        <v>446</v>
      </c>
      <c r="C103" s="925"/>
      <c r="D103" s="964" t="s">
        <v>90</v>
      </c>
      <c r="E103" s="964"/>
      <c r="F103" s="964"/>
      <c r="G103" s="964"/>
      <c r="H103" s="964" t="s">
        <v>774</v>
      </c>
      <c r="I103" s="965">
        <v>260000</v>
      </c>
      <c r="J103"/>
      <c r="K103"/>
      <c r="L103"/>
      <c r="M103"/>
      <c r="N103"/>
      <c r="O103"/>
      <c r="P103"/>
      <c r="Q103"/>
      <c r="R103"/>
      <c r="S103"/>
      <c r="T103"/>
      <c r="U103"/>
      <c r="V103"/>
      <c r="W103"/>
      <c r="X103"/>
      <c r="Y103"/>
      <c r="Z103"/>
      <c r="AA103"/>
      <c r="AB103"/>
    </row>
    <row r="104" spans="1:28" s="749" customFormat="1" ht="24.95" customHeight="1" x14ac:dyDescent="0.35">
      <c r="A104" s="968"/>
      <c r="B104" s="930" t="s">
        <v>446</v>
      </c>
      <c r="C104" s="925" t="s">
        <v>740</v>
      </c>
      <c r="D104" s="964" t="s">
        <v>90</v>
      </c>
      <c r="E104" s="964"/>
      <c r="F104" s="964"/>
      <c r="G104" s="964"/>
      <c r="H104" s="964" t="s">
        <v>833</v>
      </c>
      <c r="I104" s="965" t="s">
        <v>419</v>
      </c>
      <c r="J104"/>
      <c r="K104"/>
      <c r="L104"/>
      <c r="M104"/>
      <c r="N104"/>
      <c r="O104"/>
      <c r="P104"/>
      <c r="Q104"/>
      <c r="R104"/>
      <c r="S104"/>
      <c r="T104"/>
      <c r="U104"/>
      <c r="V104"/>
      <c r="W104"/>
      <c r="X104"/>
      <c r="Y104"/>
      <c r="Z104"/>
      <c r="AA104"/>
      <c r="AB104"/>
    </row>
    <row r="105" spans="1:28" s="749" customFormat="1" ht="24.95" customHeight="1" x14ac:dyDescent="0.35">
      <c r="A105" s="968"/>
      <c r="B105" s="930" t="s">
        <v>446</v>
      </c>
      <c r="C105" s="925"/>
      <c r="D105" s="964" t="s">
        <v>90</v>
      </c>
      <c r="E105" s="964"/>
      <c r="F105" s="964"/>
      <c r="G105" s="964"/>
      <c r="H105" s="964" t="s">
        <v>834</v>
      </c>
      <c r="I105" s="965" t="s">
        <v>419</v>
      </c>
      <c r="J105"/>
      <c r="K105"/>
      <c r="L105"/>
      <c r="M105"/>
      <c r="N105"/>
      <c r="O105"/>
      <c r="P105"/>
      <c r="Q105"/>
      <c r="R105"/>
      <c r="S105"/>
      <c r="T105"/>
      <c r="U105"/>
      <c r="V105"/>
      <c r="W105"/>
      <c r="X105"/>
      <c r="Y105"/>
      <c r="Z105"/>
      <c r="AA105"/>
      <c r="AB105"/>
    </row>
    <row r="106" spans="1:28" s="749" customFormat="1" ht="24.95" customHeight="1" x14ac:dyDescent="0.35">
      <c r="A106" s="968" t="s">
        <v>421</v>
      </c>
      <c r="B106" s="930" t="s">
        <v>299</v>
      </c>
      <c r="C106" s="925"/>
      <c r="D106" s="925" t="s">
        <v>92</v>
      </c>
      <c r="E106" s="925"/>
      <c r="F106" s="964"/>
      <c r="G106" s="964"/>
      <c r="H106" s="964" t="s">
        <v>506</v>
      </c>
      <c r="I106" s="965">
        <v>77261.850000000006</v>
      </c>
      <c r="J106"/>
      <c r="K106"/>
      <c r="L106"/>
      <c r="M106"/>
      <c r="N106"/>
      <c r="O106"/>
      <c r="P106"/>
      <c r="Q106"/>
      <c r="R106"/>
      <c r="S106"/>
      <c r="T106"/>
      <c r="U106"/>
      <c r="V106"/>
      <c r="W106"/>
      <c r="X106"/>
      <c r="Y106"/>
      <c r="Z106"/>
      <c r="AA106"/>
      <c r="AB106"/>
    </row>
    <row r="107" spans="1:28" s="749" customFormat="1" ht="24.95" customHeight="1" x14ac:dyDescent="0.35">
      <c r="A107" s="968" t="s">
        <v>421</v>
      </c>
      <c r="B107" s="930" t="s">
        <v>299</v>
      </c>
      <c r="C107" s="925"/>
      <c r="D107" s="925" t="s">
        <v>92</v>
      </c>
      <c r="E107" s="925"/>
      <c r="F107" s="964"/>
      <c r="G107" s="964"/>
      <c r="H107" s="964" t="s">
        <v>525</v>
      </c>
      <c r="I107" s="965">
        <v>86950</v>
      </c>
      <c r="J107"/>
      <c r="K107"/>
      <c r="L107"/>
      <c r="M107"/>
      <c r="N107"/>
      <c r="O107"/>
      <c r="P107"/>
      <c r="Q107"/>
      <c r="R107"/>
      <c r="S107"/>
      <c r="T107"/>
      <c r="U107"/>
      <c r="V107"/>
      <c r="W107"/>
      <c r="X107"/>
      <c r="Y107"/>
      <c r="Z107"/>
      <c r="AA107"/>
      <c r="AB107"/>
    </row>
    <row r="108" spans="1:28" s="782" customFormat="1" ht="24.95" customHeight="1" x14ac:dyDescent="0.35">
      <c r="A108" s="968">
        <v>45790</v>
      </c>
      <c r="B108" s="930" t="s">
        <v>660</v>
      </c>
      <c r="C108" s="925"/>
      <c r="D108" s="925" t="s">
        <v>90</v>
      </c>
      <c r="E108" s="925"/>
      <c r="F108" s="964"/>
      <c r="G108" s="964"/>
      <c r="H108" s="964" t="s">
        <v>520</v>
      </c>
      <c r="I108" s="965">
        <v>487467.5</v>
      </c>
      <c r="J108"/>
      <c r="K108"/>
      <c r="L108"/>
      <c r="M108"/>
      <c r="N108"/>
      <c r="O108"/>
      <c r="P108"/>
      <c r="Q108"/>
      <c r="R108"/>
      <c r="S108"/>
      <c r="T108"/>
      <c r="U108"/>
      <c r="V108"/>
      <c r="W108"/>
      <c r="X108"/>
      <c r="Y108"/>
      <c r="Z108"/>
      <c r="AA108"/>
      <c r="AB108"/>
    </row>
    <row r="109" spans="1:28" s="782" customFormat="1" ht="24.95" customHeight="1" x14ac:dyDescent="0.35">
      <c r="A109" s="968">
        <v>45897</v>
      </c>
      <c r="B109" s="930" t="s">
        <v>660</v>
      </c>
      <c r="C109" s="925"/>
      <c r="D109" s="925" t="s">
        <v>90</v>
      </c>
      <c r="E109" s="925"/>
      <c r="F109" s="964"/>
      <c r="G109" s="964"/>
      <c r="H109" s="964" t="s">
        <v>606</v>
      </c>
      <c r="I109" s="965">
        <v>476000</v>
      </c>
      <c r="J109"/>
      <c r="K109"/>
      <c r="L109"/>
      <c r="M109"/>
      <c r="N109"/>
      <c r="O109"/>
      <c r="P109"/>
      <c r="Q109"/>
      <c r="R109"/>
      <c r="S109"/>
      <c r="T109"/>
      <c r="U109"/>
      <c r="V109"/>
      <c r="W109"/>
      <c r="X109"/>
      <c r="Y109"/>
      <c r="Z109"/>
      <c r="AA109"/>
      <c r="AB109"/>
    </row>
    <row r="110" spans="1:28" s="782" customFormat="1" ht="24.95" customHeight="1" x14ac:dyDescent="0.35">
      <c r="A110" s="968">
        <v>45973</v>
      </c>
      <c r="B110" s="930" t="s">
        <v>660</v>
      </c>
      <c r="C110" s="925"/>
      <c r="D110" s="925" t="s">
        <v>90</v>
      </c>
      <c r="E110" s="925"/>
      <c r="F110" s="964"/>
      <c r="G110" s="964"/>
      <c r="H110" s="964" t="s">
        <v>677</v>
      </c>
      <c r="I110" s="965">
        <v>39180</v>
      </c>
      <c r="J110"/>
      <c r="K110"/>
      <c r="L110"/>
      <c r="M110"/>
      <c r="N110"/>
      <c r="O110"/>
      <c r="P110"/>
      <c r="Q110"/>
      <c r="R110"/>
      <c r="S110"/>
      <c r="T110"/>
      <c r="U110"/>
      <c r="V110"/>
      <c r="W110"/>
      <c r="X110"/>
      <c r="Y110"/>
      <c r="Z110"/>
      <c r="AA110"/>
      <c r="AB110"/>
    </row>
    <row r="111" spans="1:28" s="782" customFormat="1" ht="24.95" customHeight="1" x14ac:dyDescent="0.35">
      <c r="A111" s="968">
        <v>46052</v>
      </c>
      <c r="B111" s="930" t="s">
        <v>660</v>
      </c>
      <c r="C111" s="925"/>
      <c r="D111" s="925" t="s">
        <v>90</v>
      </c>
      <c r="E111" s="925"/>
      <c r="F111" s="964" t="s">
        <v>749</v>
      </c>
      <c r="G111" s="964"/>
      <c r="H111" s="964" t="s">
        <v>748</v>
      </c>
      <c r="I111" s="965">
        <v>1700300</v>
      </c>
      <c r="J111"/>
      <c r="K111"/>
      <c r="L111"/>
      <c r="M111"/>
      <c r="N111"/>
      <c r="O111"/>
      <c r="P111"/>
      <c r="Q111"/>
      <c r="R111"/>
      <c r="S111"/>
      <c r="T111"/>
      <c r="U111"/>
      <c r="V111"/>
      <c r="W111"/>
      <c r="X111"/>
      <c r="Y111"/>
      <c r="Z111"/>
      <c r="AA111"/>
      <c r="AB111"/>
    </row>
    <row r="112" spans="1:28" s="782" customFormat="1" ht="24.95" customHeight="1" x14ac:dyDescent="0.35">
      <c r="A112" s="968">
        <v>45804</v>
      </c>
      <c r="B112" s="930" t="s">
        <v>533</v>
      </c>
      <c r="C112" s="925"/>
      <c r="D112" s="925" t="s">
        <v>92</v>
      </c>
      <c r="E112" s="925"/>
      <c r="F112" s="964"/>
      <c r="G112" s="964"/>
      <c r="H112" s="964" t="s">
        <v>534</v>
      </c>
      <c r="I112" s="965" t="s">
        <v>419</v>
      </c>
      <c r="J112"/>
      <c r="K112"/>
      <c r="L112"/>
      <c r="M112"/>
      <c r="N112"/>
      <c r="O112"/>
      <c r="P112"/>
      <c r="Q112"/>
      <c r="R112"/>
      <c r="S112"/>
      <c r="T112"/>
      <c r="U112"/>
      <c r="V112"/>
      <c r="W112"/>
      <c r="X112"/>
      <c r="Y112"/>
      <c r="Z112"/>
      <c r="AA112"/>
      <c r="AB112"/>
    </row>
    <row r="113" spans="1:28" s="782" customFormat="1" ht="24.95" customHeight="1" x14ac:dyDescent="0.35">
      <c r="A113" s="968" t="s">
        <v>557</v>
      </c>
      <c r="B113" s="930" t="s">
        <v>662</v>
      </c>
      <c r="C113" s="925"/>
      <c r="D113" s="964" t="s">
        <v>92</v>
      </c>
      <c r="E113" s="964"/>
      <c r="F113" s="964"/>
      <c r="G113" s="964"/>
      <c r="H113" s="964" t="s">
        <v>564</v>
      </c>
      <c r="I113" s="965">
        <v>115000</v>
      </c>
      <c r="J113"/>
      <c r="K113"/>
      <c r="L113"/>
      <c r="M113"/>
      <c r="N113"/>
      <c r="O113"/>
      <c r="P113"/>
      <c r="Q113"/>
      <c r="R113"/>
      <c r="S113"/>
      <c r="T113"/>
      <c r="U113"/>
      <c r="V113"/>
      <c r="W113"/>
      <c r="X113"/>
      <c r="Y113"/>
      <c r="Z113"/>
      <c r="AA113"/>
      <c r="AB113"/>
    </row>
    <row r="114" spans="1:28" s="782" customFormat="1" ht="24.95" customHeight="1" x14ac:dyDescent="0.35">
      <c r="A114" s="968" t="s">
        <v>421</v>
      </c>
      <c r="B114" s="930" t="s">
        <v>662</v>
      </c>
      <c r="C114" s="925"/>
      <c r="D114" s="964" t="s">
        <v>92</v>
      </c>
      <c r="E114" s="964"/>
      <c r="F114" s="964"/>
      <c r="G114" s="964"/>
      <c r="H114" s="964" t="s">
        <v>565</v>
      </c>
      <c r="I114" s="965">
        <v>25895</v>
      </c>
      <c r="J114"/>
      <c r="K114"/>
      <c r="L114"/>
      <c r="M114"/>
      <c r="N114"/>
      <c r="O114"/>
      <c r="P114"/>
      <c r="Q114"/>
      <c r="R114"/>
      <c r="S114"/>
      <c r="T114"/>
      <c r="U114"/>
      <c r="V114"/>
      <c r="W114"/>
      <c r="X114"/>
      <c r="Y114"/>
      <c r="Z114"/>
      <c r="AA114"/>
      <c r="AB114"/>
    </row>
    <row r="115" spans="1:28" s="782" customFormat="1" ht="24.95" customHeight="1" x14ac:dyDescent="0.35">
      <c r="A115" s="968" t="s">
        <v>421</v>
      </c>
      <c r="B115" s="930" t="s">
        <v>663</v>
      </c>
      <c r="C115" s="925"/>
      <c r="D115" s="964" t="s">
        <v>90</v>
      </c>
      <c r="E115" s="964"/>
      <c r="F115" s="964"/>
      <c r="G115" s="964"/>
      <c r="H115" s="964" t="s">
        <v>571</v>
      </c>
      <c r="I115" s="965">
        <v>45000</v>
      </c>
      <c r="J115"/>
      <c r="K115"/>
      <c r="L115"/>
      <c r="M115"/>
      <c r="N115"/>
      <c r="O115"/>
      <c r="P115"/>
      <c r="Q115"/>
      <c r="R115"/>
      <c r="S115"/>
      <c r="T115"/>
      <c r="U115"/>
      <c r="V115"/>
      <c r="W115"/>
      <c r="X115"/>
      <c r="Y115"/>
      <c r="Z115"/>
      <c r="AA115"/>
      <c r="AB115"/>
    </row>
    <row r="116" spans="1:28" s="782" customFormat="1" ht="24.95" customHeight="1" x14ac:dyDescent="0.35">
      <c r="A116" s="968">
        <v>45883</v>
      </c>
      <c r="B116" s="930" t="s">
        <v>663</v>
      </c>
      <c r="C116" s="925"/>
      <c r="D116" s="964" t="s">
        <v>90</v>
      </c>
      <c r="E116" s="964"/>
      <c r="F116" s="964"/>
      <c r="G116" s="964"/>
      <c r="H116" s="964" t="s">
        <v>595</v>
      </c>
      <c r="I116" s="965">
        <v>152000</v>
      </c>
      <c r="J116"/>
      <c r="K116"/>
      <c r="L116"/>
      <c r="M116"/>
      <c r="N116"/>
      <c r="O116"/>
      <c r="P116"/>
      <c r="Q116"/>
      <c r="R116"/>
      <c r="S116"/>
      <c r="T116"/>
      <c r="U116"/>
      <c r="V116"/>
      <c r="W116"/>
      <c r="X116"/>
      <c r="Y116"/>
      <c r="Z116"/>
      <c r="AA116"/>
      <c r="AB116"/>
    </row>
    <row r="117" spans="1:28" s="941" customFormat="1" ht="24.95" customHeight="1" x14ac:dyDescent="0.35">
      <c r="A117" s="968">
        <v>45874</v>
      </c>
      <c r="B117" s="930" t="s">
        <v>664</v>
      </c>
      <c r="C117" s="925"/>
      <c r="D117" s="964" t="s">
        <v>92</v>
      </c>
      <c r="E117" s="964"/>
      <c r="F117" s="964"/>
      <c r="G117" s="964"/>
      <c r="H117" s="964" t="s">
        <v>585</v>
      </c>
      <c r="I117" s="965">
        <v>105000</v>
      </c>
      <c r="J117"/>
      <c r="K117"/>
      <c r="L117"/>
      <c r="M117"/>
      <c r="N117"/>
      <c r="O117"/>
      <c r="P117"/>
      <c r="Q117"/>
      <c r="R117"/>
      <c r="S117"/>
      <c r="T117"/>
      <c r="U117"/>
      <c r="V117"/>
      <c r="W117"/>
      <c r="X117"/>
      <c r="Y117"/>
      <c r="Z117"/>
      <c r="AA117"/>
      <c r="AB117"/>
    </row>
    <row r="118" spans="1:28" s="749" customFormat="1" ht="24.95" customHeight="1" x14ac:dyDescent="0.35">
      <c r="A118" s="968">
        <v>46000</v>
      </c>
      <c r="B118" s="930" t="s">
        <v>281</v>
      </c>
      <c r="C118" s="925"/>
      <c r="D118" s="964" t="s">
        <v>282</v>
      </c>
      <c r="E118" s="964"/>
      <c r="F118" s="964"/>
      <c r="G118" s="964"/>
      <c r="H118" s="964" t="s">
        <v>701</v>
      </c>
      <c r="I118" s="965">
        <v>306438.21999999997</v>
      </c>
      <c r="J118"/>
      <c r="K118"/>
      <c r="L118"/>
      <c r="M118"/>
      <c r="N118"/>
      <c r="O118"/>
      <c r="P118"/>
      <c r="Q118"/>
      <c r="R118"/>
      <c r="S118"/>
      <c r="T118"/>
      <c r="U118"/>
      <c r="V118"/>
      <c r="W118"/>
      <c r="X118"/>
      <c r="Y118"/>
      <c r="Z118"/>
      <c r="AA118"/>
      <c r="AB118"/>
    </row>
    <row r="119" spans="1:28" s="749" customFormat="1" ht="24.95" customHeight="1" x14ac:dyDescent="0.35">
      <c r="A119" s="968">
        <v>46008</v>
      </c>
      <c r="B119" s="930" t="s">
        <v>281</v>
      </c>
      <c r="C119" s="925"/>
      <c r="D119" s="964" t="s">
        <v>282</v>
      </c>
      <c r="E119" s="964"/>
      <c r="F119" s="964"/>
      <c r="G119" s="964"/>
      <c r="H119" s="964" t="s">
        <v>707</v>
      </c>
      <c r="I119" s="965" t="s">
        <v>419</v>
      </c>
      <c r="J119"/>
      <c r="K119"/>
      <c r="L119"/>
      <c r="M119"/>
      <c r="N119"/>
      <c r="O119"/>
      <c r="P119"/>
      <c r="Q119"/>
      <c r="R119"/>
      <c r="S119"/>
      <c r="T119"/>
      <c r="U119"/>
      <c r="V119"/>
      <c r="W119"/>
      <c r="X119"/>
      <c r="Y119"/>
      <c r="Z119"/>
      <c r="AA119"/>
      <c r="AB119"/>
    </row>
    <row r="120" spans="1:28" s="749" customFormat="1" ht="24.95" customHeight="1" x14ac:dyDescent="0.35">
      <c r="A120" s="968">
        <v>46069</v>
      </c>
      <c r="B120" s="930" t="s">
        <v>281</v>
      </c>
      <c r="C120" s="925"/>
      <c r="D120" s="964" t="s">
        <v>282</v>
      </c>
      <c r="E120" s="964"/>
      <c r="F120" s="964" t="s">
        <v>831</v>
      </c>
      <c r="G120" s="964"/>
      <c r="H120" s="964" t="s">
        <v>830</v>
      </c>
      <c r="I120" s="965">
        <v>998000</v>
      </c>
      <c r="J120"/>
      <c r="K120"/>
      <c r="L120"/>
      <c r="M120"/>
      <c r="N120"/>
      <c r="O120"/>
      <c r="P120"/>
      <c r="Q120"/>
      <c r="R120"/>
      <c r="S120"/>
      <c r="T120"/>
      <c r="U120"/>
      <c r="V120"/>
      <c r="W120"/>
      <c r="X120"/>
      <c r="Y120"/>
      <c r="Z120"/>
      <c r="AA120"/>
      <c r="AB120"/>
    </row>
    <row r="121" spans="1:28" s="749" customFormat="1" ht="24.95" customHeight="1" x14ac:dyDescent="0.35">
      <c r="A121" s="968">
        <v>45772</v>
      </c>
      <c r="B121" s="930" t="s">
        <v>596</v>
      </c>
      <c r="C121" s="925"/>
      <c r="D121" s="964" t="s">
        <v>92</v>
      </c>
      <c r="E121" s="964"/>
      <c r="F121" s="964"/>
      <c r="G121" s="964"/>
      <c r="H121" s="964" t="s">
        <v>597</v>
      </c>
      <c r="I121" s="965">
        <v>142240</v>
      </c>
      <c r="J121"/>
      <c r="K121"/>
      <c r="L121"/>
      <c r="M121"/>
      <c r="N121"/>
      <c r="O121"/>
      <c r="P121"/>
      <c r="Q121"/>
      <c r="R121"/>
      <c r="S121"/>
      <c r="T121"/>
      <c r="U121"/>
      <c r="V121"/>
      <c r="W121"/>
      <c r="X121"/>
      <c r="Y121"/>
      <c r="Z121"/>
      <c r="AA121"/>
      <c r="AB121"/>
    </row>
    <row r="122" spans="1:28" s="749" customFormat="1" ht="24.95" customHeight="1" x14ac:dyDescent="0.35">
      <c r="A122" s="968">
        <v>45896</v>
      </c>
      <c r="B122" s="930" t="s">
        <v>619</v>
      </c>
      <c r="C122" s="925"/>
      <c r="D122" s="964" t="s">
        <v>221</v>
      </c>
      <c r="E122" s="964"/>
      <c r="F122" s="964"/>
      <c r="G122" s="964"/>
      <c r="H122" s="964" t="s">
        <v>620</v>
      </c>
      <c r="I122" s="965">
        <v>176994</v>
      </c>
      <c r="J122"/>
      <c r="K122"/>
      <c r="L122"/>
      <c r="M122"/>
      <c r="N122"/>
      <c r="O122"/>
      <c r="P122"/>
      <c r="Q122"/>
      <c r="R122"/>
      <c r="S122"/>
      <c r="T122"/>
      <c r="U122"/>
      <c r="V122"/>
      <c r="W122"/>
      <c r="X122"/>
      <c r="Y122"/>
      <c r="Z122"/>
      <c r="AA122"/>
      <c r="AB122"/>
    </row>
    <row r="123" spans="1:28" s="782" customFormat="1" ht="24.95" customHeight="1" x14ac:dyDescent="0.35">
      <c r="A123" s="968">
        <v>45897</v>
      </c>
      <c r="B123" s="930" t="s">
        <v>666</v>
      </c>
      <c r="C123" s="925"/>
      <c r="D123" s="964" t="s">
        <v>92</v>
      </c>
      <c r="E123" s="964"/>
      <c r="F123" s="964"/>
      <c r="G123" s="964"/>
      <c r="H123" s="964" t="s">
        <v>602</v>
      </c>
      <c r="I123" s="965">
        <v>3500</v>
      </c>
      <c r="J123"/>
      <c r="K123"/>
      <c r="L123"/>
      <c r="M123"/>
      <c r="N123"/>
      <c r="O123"/>
      <c r="P123"/>
      <c r="Q123"/>
      <c r="R123"/>
      <c r="S123"/>
      <c r="T123"/>
      <c r="U123"/>
      <c r="V123"/>
      <c r="W123"/>
      <c r="X123"/>
      <c r="Y123"/>
      <c r="Z123"/>
      <c r="AA123"/>
      <c r="AB123"/>
    </row>
    <row r="124" spans="1:28" s="782" customFormat="1" ht="24.95" customHeight="1" x14ac:dyDescent="0.35">
      <c r="A124" s="968">
        <v>45908</v>
      </c>
      <c r="B124" s="930" t="s">
        <v>614</v>
      </c>
      <c r="C124" s="925"/>
      <c r="D124" s="964" t="s">
        <v>92</v>
      </c>
      <c r="E124" s="964"/>
      <c r="F124" s="964"/>
      <c r="G124" s="964"/>
      <c r="H124" s="964" t="s">
        <v>615</v>
      </c>
      <c r="I124" s="965" t="s">
        <v>419</v>
      </c>
      <c r="J124"/>
      <c r="K124"/>
      <c r="L124"/>
      <c r="M124"/>
      <c r="N124"/>
      <c r="O124"/>
      <c r="P124"/>
      <c r="Q124"/>
      <c r="R124"/>
      <c r="S124"/>
      <c r="T124"/>
      <c r="U124"/>
      <c r="V124"/>
      <c r="W124"/>
      <c r="X124"/>
      <c r="Y124"/>
      <c r="Z124"/>
      <c r="AA124"/>
      <c r="AB124"/>
    </row>
    <row r="125" spans="1:28" s="782" customFormat="1" ht="24.95" customHeight="1" x14ac:dyDescent="0.35">
      <c r="A125" s="968">
        <v>45923</v>
      </c>
      <c r="B125" s="930" t="s">
        <v>614</v>
      </c>
      <c r="C125" s="925"/>
      <c r="D125" s="964" t="s">
        <v>92</v>
      </c>
      <c r="E125" s="964"/>
      <c r="F125" s="964"/>
      <c r="G125" s="964"/>
      <c r="H125" s="964" t="s">
        <v>626</v>
      </c>
      <c r="I125" s="965" t="s">
        <v>419</v>
      </c>
      <c r="J125"/>
      <c r="K125"/>
      <c r="L125"/>
      <c r="M125"/>
      <c r="N125"/>
      <c r="O125"/>
      <c r="P125"/>
      <c r="Q125"/>
      <c r="R125"/>
      <c r="S125"/>
      <c r="T125"/>
      <c r="U125"/>
      <c r="V125"/>
      <c r="W125"/>
      <c r="X125"/>
      <c r="Y125"/>
      <c r="Z125"/>
      <c r="AA125"/>
      <c r="AB125"/>
    </row>
    <row r="126" spans="1:28" s="782" customFormat="1" ht="24.95" customHeight="1" x14ac:dyDescent="0.35">
      <c r="A126" s="968">
        <v>45909</v>
      </c>
      <c r="B126" s="930" t="s">
        <v>617</v>
      </c>
      <c r="C126" s="925"/>
      <c r="D126" s="964" t="s">
        <v>92</v>
      </c>
      <c r="E126" s="964"/>
      <c r="F126" s="964"/>
      <c r="G126" s="964"/>
      <c r="H126" s="964" t="s">
        <v>618</v>
      </c>
      <c r="I126" s="965">
        <v>93995</v>
      </c>
      <c r="J126"/>
      <c r="K126"/>
      <c r="L126"/>
      <c r="M126"/>
      <c r="N126"/>
      <c r="O126"/>
      <c r="P126"/>
      <c r="Q126"/>
      <c r="R126"/>
      <c r="S126"/>
      <c r="T126"/>
      <c r="U126"/>
      <c r="V126"/>
      <c r="W126"/>
      <c r="X126"/>
      <c r="Y126"/>
      <c r="Z126"/>
      <c r="AA126"/>
      <c r="AB126"/>
    </row>
    <row r="127" spans="1:28" s="782" customFormat="1" ht="24.95" customHeight="1" x14ac:dyDescent="0.35">
      <c r="A127" s="968">
        <v>45911</v>
      </c>
      <c r="B127" s="930" t="s">
        <v>617</v>
      </c>
      <c r="C127" s="925"/>
      <c r="D127" s="964" t="s">
        <v>92</v>
      </c>
      <c r="E127" s="964"/>
      <c r="F127" s="964"/>
      <c r="G127" s="964"/>
      <c r="H127" s="964" t="s">
        <v>624</v>
      </c>
      <c r="I127" s="965">
        <v>5400</v>
      </c>
      <c r="J127"/>
      <c r="K127"/>
      <c r="L127"/>
      <c r="M127"/>
      <c r="N127"/>
      <c r="O127"/>
      <c r="P127"/>
      <c r="Q127"/>
      <c r="R127"/>
      <c r="S127"/>
      <c r="T127"/>
      <c r="U127"/>
      <c r="V127"/>
      <c r="W127"/>
      <c r="X127"/>
      <c r="Y127"/>
      <c r="Z127"/>
      <c r="AA127"/>
      <c r="AB127"/>
    </row>
    <row r="128" spans="1:28" s="941" customFormat="1" ht="24.95" customHeight="1" x14ac:dyDescent="0.35">
      <c r="A128" s="968">
        <v>45912</v>
      </c>
      <c r="B128" s="930" t="s">
        <v>617</v>
      </c>
      <c r="C128" s="925"/>
      <c r="D128" s="964" t="s">
        <v>92</v>
      </c>
      <c r="E128" s="964"/>
      <c r="F128" s="964"/>
      <c r="G128" s="964"/>
      <c r="H128" s="964" t="s">
        <v>625</v>
      </c>
      <c r="I128" s="965">
        <v>5400</v>
      </c>
      <c r="J128"/>
      <c r="K128"/>
      <c r="L128"/>
      <c r="M128"/>
      <c r="N128"/>
      <c r="O128"/>
      <c r="P128"/>
      <c r="Q128"/>
      <c r="R128"/>
      <c r="S128"/>
      <c r="T128"/>
      <c r="U128"/>
      <c r="V128"/>
      <c r="W128"/>
      <c r="X128"/>
      <c r="Y128"/>
      <c r="Z128"/>
      <c r="AA128"/>
      <c r="AB128"/>
    </row>
    <row r="129" spans="1:28" s="749" customFormat="1" ht="24.95" customHeight="1" x14ac:dyDescent="0.35">
      <c r="A129" s="968">
        <v>45929</v>
      </c>
      <c r="B129" s="930" t="s">
        <v>617</v>
      </c>
      <c r="C129" s="925"/>
      <c r="D129" s="964" t="s">
        <v>92</v>
      </c>
      <c r="E129" s="964"/>
      <c r="F129" s="964"/>
      <c r="G129" s="964"/>
      <c r="H129" s="964" t="s">
        <v>667</v>
      </c>
      <c r="I129" s="965">
        <v>180000</v>
      </c>
      <c r="J129"/>
      <c r="K129"/>
      <c r="L129"/>
      <c r="M129"/>
      <c r="N129"/>
      <c r="O129"/>
      <c r="P129"/>
      <c r="Q129"/>
      <c r="R129"/>
      <c r="S129"/>
      <c r="T129"/>
      <c r="U129"/>
      <c r="V129"/>
      <c r="W129"/>
      <c r="X129"/>
      <c r="Y129"/>
      <c r="Z129"/>
      <c r="AA129"/>
      <c r="AB129"/>
    </row>
    <row r="130" spans="1:28" s="749" customFormat="1" ht="24.95" customHeight="1" x14ac:dyDescent="0.35">
      <c r="A130" s="968">
        <v>46000</v>
      </c>
      <c r="B130" s="930" t="s">
        <v>617</v>
      </c>
      <c r="C130" s="925"/>
      <c r="D130" s="964" t="s">
        <v>92</v>
      </c>
      <c r="E130" s="964"/>
      <c r="F130" s="964"/>
      <c r="G130" s="964"/>
      <c r="H130" s="964" t="s">
        <v>698</v>
      </c>
      <c r="I130" s="965">
        <v>92000</v>
      </c>
      <c r="J130"/>
      <c r="K130"/>
      <c r="L130"/>
      <c r="M130"/>
      <c r="N130"/>
      <c r="O130"/>
      <c r="P130"/>
      <c r="Q130"/>
      <c r="R130"/>
      <c r="S130"/>
      <c r="T130"/>
      <c r="U130"/>
      <c r="V130"/>
      <c r="W130"/>
      <c r="X130"/>
      <c r="Y130"/>
      <c r="Z130"/>
      <c r="AA130"/>
      <c r="AB130"/>
    </row>
    <row r="131" spans="1:28" s="749" customFormat="1" ht="24.95" customHeight="1" x14ac:dyDescent="0.35">
      <c r="A131" s="968">
        <v>45663</v>
      </c>
      <c r="B131" s="930" t="s">
        <v>717</v>
      </c>
      <c r="C131" s="925"/>
      <c r="D131" s="964" t="s">
        <v>92</v>
      </c>
      <c r="E131" s="964"/>
      <c r="F131" s="964"/>
      <c r="G131" s="964"/>
      <c r="H131" s="964" t="s">
        <v>718</v>
      </c>
      <c r="I131" s="965">
        <v>5400</v>
      </c>
      <c r="J131"/>
      <c r="K131"/>
      <c r="L131"/>
      <c r="M131"/>
      <c r="N131"/>
      <c r="O131"/>
      <c r="P131"/>
      <c r="Q131"/>
      <c r="R131"/>
      <c r="S131"/>
      <c r="T131"/>
      <c r="U131"/>
      <c r="V131"/>
      <c r="W131"/>
      <c r="X131"/>
      <c r="Y131"/>
      <c r="Z131"/>
      <c r="AA131"/>
      <c r="AB131"/>
    </row>
    <row r="132" spans="1:28" s="749" customFormat="1" ht="24.95" customHeight="1" x14ac:dyDescent="0.35">
      <c r="A132" s="968" t="s">
        <v>421</v>
      </c>
      <c r="B132" s="930" t="s">
        <v>617</v>
      </c>
      <c r="C132" s="925"/>
      <c r="D132" s="964" t="s">
        <v>92</v>
      </c>
      <c r="E132" s="964"/>
      <c r="F132" s="964"/>
      <c r="G132" s="964"/>
      <c r="H132" s="964" t="s">
        <v>824</v>
      </c>
      <c r="I132" s="965">
        <v>31540</v>
      </c>
      <c r="J132"/>
      <c r="K132"/>
      <c r="L132"/>
      <c r="M132"/>
      <c r="N132"/>
      <c r="O132"/>
      <c r="P132"/>
      <c r="Q132"/>
      <c r="R132"/>
      <c r="S132"/>
      <c r="T132"/>
      <c r="U132"/>
      <c r="V132"/>
      <c r="W132"/>
      <c r="X132"/>
      <c r="Y132"/>
      <c r="Z132"/>
      <c r="AA132"/>
      <c r="AB132"/>
    </row>
    <row r="133" spans="1:28" s="749" customFormat="1" ht="24.95" customHeight="1" x14ac:dyDescent="0.35">
      <c r="A133" s="968" t="s">
        <v>421</v>
      </c>
      <c r="B133" s="930" t="s">
        <v>617</v>
      </c>
      <c r="C133" s="925"/>
      <c r="D133" s="964" t="s">
        <v>92</v>
      </c>
      <c r="E133" s="964"/>
      <c r="F133" s="964"/>
      <c r="G133" s="964"/>
      <c r="H133" s="964" t="s">
        <v>825</v>
      </c>
      <c r="I133" s="965">
        <v>80900</v>
      </c>
      <c r="J133"/>
      <c r="K133"/>
      <c r="L133"/>
      <c r="M133"/>
      <c r="N133"/>
      <c r="O133"/>
      <c r="P133"/>
      <c r="Q133"/>
      <c r="R133"/>
      <c r="S133"/>
      <c r="T133"/>
      <c r="U133"/>
      <c r="V133"/>
      <c r="W133"/>
      <c r="X133"/>
      <c r="Y133"/>
      <c r="Z133"/>
      <c r="AA133"/>
      <c r="AB133"/>
    </row>
    <row r="134" spans="1:28" s="749" customFormat="1" ht="24.95" customHeight="1" x14ac:dyDescent="0.35">
      <c r="A134" s="968">
        <v>45944</v>
      </c>
      <c r="B134" s="930" t="s">
        <v>636</v>
      </c>
      <c r="C134" s="925"/>
      <c r="D134" s="964" t="s">
        <v>92</v>
      </c>
      <c r="E134" s="964"/>
      <c r="F134" s="964"/>
      <c r="G134" s="964"/>
      <c r="H134" s="964" t="s">
        <v>637</v>
      </c>
      <c r="I134" s="965">
        <v>79500</v>
      </c>
      <c r="J134"/>
      <c r="K134"/>
      <c r="L134"/>
      <c r="M134"/>
      <c r="N134"/>
      <c r="O134"/>
      <c r="P134"/>
      <c r="Q134"/>
      <c r="R134"/>
      <c r="S134"/>
      <c r="T134"/>
      <c r="U134"/>
      <c r="V134"/>
      <c r="W134"/>
      <c r="X134"/>
      <c r="Y134"/>
      <c r="Z134"/>
      <c r="AA134"/>
      <c r="AB134"/>
    </row>
    <row r="135" spans="1:28" s="749" customFormat="1" ht="24.95" customHeight="1" x14ac:dyDescent="0.35">
      <c r="A135" s="968">
        <v>45964</v>
      </c>
      <c r="B135" s="930" t="s">
        <v>669</v>
      </c>
      <c r="C135" s="925"/>
      <c r="D135" s="964" t="s">
        <v>282</v>
      </c>
      <c r="E135" s="964"/>
      <c r="F135" s="964"/>
      <c r="G135" s="964"/>
      <c r="H135" s="964" t="s">
        <v>670</v>
      </c>
      <c r="I135" s="965">
        <v>81575</v>
      </c>
      <c r="J135"/>
      <c r="K135"/>
      <c r="L135"/>
      <c r="M135"/>
      <c r="N135"/>
      <c r="O135"/>
      <c r="P135"/>
      <c r="Q135"/>
      <c r="R135"/>
      <c r="S135"/>
      <c r="T135"/>
      <c r="U135"/>
      <c r="V135"/>
      <c r="W135"/>
      <c r="X135"/>
      <c r="Y135"/>
      <c r="Z135"/>
      <c r="AA135"/>
      <c r="AB135"/>
    </row>
    <row r="136" spans="1:28" s="749" customFormat="1" ht="24.95" customHeight="1" x14ac:dyDescent="0.35">
      <c r="A136" s="968">
        <v>45978</v>
      </c>
      <c r="B136" s="930" t="s">
        <v>669</v>
      </c>
      <c r="C136" s="925"/>
      <c r="D136" s="964" t="s">
        <v>282</v>
      </c>
      <c r="E136" s="964"/>
      <c r="F136" s="964"/>
      <c r="G136" s="964"/>
      <c r="H136" s="964" t="s">
        <v>493</v>
      </c>
      <c r="I136" s="965">
        <v>134000</v>
      </c>
      <c r="J136"/>
      <c r="K136"/>
      <c r="L136"/>
      <c r="M136"/>
      <c r="N136"/>
      <c r="O136"/>
      <c r="P136"/>
      <c r="Q136"/>
      <c r="R136"/>
      <c r="S136"/>
      <c r="T136"/>
      <c r="U136"/>
      <c r="V136"/>
      <c r="W136"/>
      <c r="X136"/>
      <c r="Y136"/>
      <c r="Z136"/>
      <c r="AA136"/>
      <c r="AB136"/>
    </row>
    <row r="137" spans="1:28" s="749" customFormat="1" ht="24.95" customHeight="1" x14ac:dyDescent="0.35">
      <c r="A137" s="968">
        <v>45981</v>
      </c>
      <c r="B137" s="930" t="s">
        <v>683</v>
      </c>
      <c r="C137" s="925"/>
      <c r="D137" s="964" t="s">
        <v>92</v>
      </c>
      <c r="E137" s="964"/>
      <c r="F137" s="964"/>
      <c r="G137" s="964"/>
      <c r="H137" s="964" t="s">
        <v>684</v>
      </c>
      <c r="I137" s="965">
        <v>72550</v>
      </c>
      <c r="J137"/>
      <c r="K137"/>
      <c r="L137"/>
      <c r="M137"/>
      <c r="N137"/>
      <c r="O137"/>
      <c r="P137"/>
      <c r="Q137"/>
      <c r="R137"/>
      <c r="S137"/>
      <c r="T137"/>
      <c r="U137"/>
      <c r="V137"/>
      <c r="W137"/>
      <c r="X137"/>
      <c r="Y137"/>
      <c r="Z137"/>
      <c r="AA137"/>
      <c r="AB137"/>
    </row>
    <row r="138" spans="1:28" s="749" customFormat="1" ht="24.95" customHeight="1" x14ac:dyDescent="0.35">
      <c r="A138" s="968">
        <v>46006</v>
      </c>
      <c r="B138" s="930" t="s">
        <v>683</v>
      </c>
      <c r="C138" s="925"/>
      <c r="D138" s="964" t="s">
        <v>92</v>
      </c>
      <c r="E138" s="964"/>
      <c r="F138" s="964"/>
      <c r="G138" s="964"/>
      <c r="H138" s="964" t="s">
        <v>709</v>
      </c>
      <c r="I138" s="965">
        <v>72550</v>
      </c>
      <c r="J138"/>
      <c r="K138"/>
      <c r="L138"/>
      <c r="M138"/>
      <c r="N138"/>
      <c r="O138"/>
      <c r="P138"/>
      <c r="Q138"/>
      <c r="R138"/>
      <c r="S138"/>
      <c r="T138"/>
      <c r="U138"/>
      <c r="V138"/>
      <c r="W138"/>
      <c r="X138"/>
      <c r="Y138"/>
      <c r="Z138"/>
      <c r="AA138"/>
      <c r="AB138"/>
    </row>
    <row r="139" spans="1:28" s="749" customFormat="1" ht="24.95" customHeight="1" x14ac:dyDescent="0.35">
      <c r="A139" s="968">
        <v>45985</v>
      </c>
      <c r="B139" s="930" t="s">
        <v>681</v>
      </c>
      <c r="C139" s="925"/>
      <c r="D139" s="964" t="s">
        <v>92</v>
      </c>
      <c r="E139" s="964"/>
      <c r="F139" s="964"/>
      <c r="G139" s="964"/>
      <c r="H139" s="964" t="s">
        <v>682</v>
      </c>
      <c r="I139" s="965">
        <v>1850000</v>
      </c>
      <c r="J139"/>
      <c r="K139"/>
      <c r="L139"/>
      <c r="M139"/>
      <c r="N139"/>
      <c r="O139"/>
      <c r="P139"/>
      <c r="Q139"/>
      <c r="R139"/>
      <c r="S139"/>
      <c r="T139"/>
      <c r="U139"/>
      <c r="V139"/>
      <c r="W139"/>
      <c r="X139"/>
      <c r="Y139"/>
      <c r="Z139"/>
      <c r="AA139"/>
      <c r="AB139"/>
    </row>
    <row r="140" spans="1:28" s="749" customFormat="1" ht="24.95" customHeight="1" x14ac:dyDescent="0.35">
      <c r="A140" s="968">
        <v>45986</v>
      </c>
      <c r="B140" s="930" t="s">
        <v>686</v>
      </c>
      <c r="C140" s="925"/>
      <c r="D140" s="964" t="s">
        <v>90</v>
      </c>
      <c r="E140" s="964"/>
      <c r="F140" s="964" t="s">
        <v>732</v>
      </c>
      <c r="G140" s="964"/>
      <c r="H140" s="964" t="s">
        <v>758</v>
      </c>
      <c r="I140" s="965">
        <v>3378144.26</v>
      </c>
      <c r="J140" t="s">
        <v>478</v>
      </c>
      <c r="K140"/>
      <c r="L140"/>
      <c r="M140"/>
      <c r="N140"/>
      <c r="O140"/>
      <c r="P140"/>
      <c r="Q140"/>
      <c r="R140"/>
      <c r="S140"/>
      <c r="T140"/>
      <c r="U140"/>
      <c r="V140"/>
      <c r="W140"/>
      <c r="X140"/>
      <c r="Y140"/>
      <c r="Z140"/>
      <c r="AA140"/>
      <c r="AB140"/>
    </row>
    <row r="141" spans="1:28" s="749" customFormat="1" ht="24.95" customHeight="1" x14ac:dyDescent="0.35">
      <c r="A141" s="968">
        <v>45965</v>
      </c>
      <c r="B141" s="930" t="s">
        <v>695</v>
      </c>
      <c r="C141" s="925"/>
      <c r="D141" s="964" t="s">
        <v>90</v>
      </c>
      <c r="E141" s="964"/>
      <c r="F141" s="964"/>
      <c r="G141" s="964"/>
      <c r="H141" s="964" t="s">
        <v>696</v>
      </c>
      <c r="I141" s="965" t="s">
        <v>419</v>
      </c>
      <c r="J141"/>
      <c r="K141"/>
      <c r="L141"/>
      <c r="M141"/>
      <c r="N141"/>
      <c r="O141"/>
      <c r="P141"/>
      <c r="Q141"/>
      <c r="R141"/>
      <c r="S141"/>
      <c r="T141"/>
      <c r="U141"/>
      <c r="V141"/>
      <c r="W141"/>
      <c r="X141"/>
      <c r="Y141"/>
      <c r="Z141"/>
      <c r="AA141"/>
      <c r="AB141"/>
    </row>
    <row r="142" spans="1:28" s="749" customFormat="1" ht="24.95" customHeight="1" x14ac:dyDescent="0.35">
      <c r="A142" s="968">
        <v>45995</v>
      </c>
      <c r="B142" s="930" t="s">
        <v>699</v>
      </c>
      <c r="C142" s="925"/>
      <c r="D142" s="964" t="s">
        <v>90</v>
      </c>
      <c r="E142" s="964"/>
      <c r="F142" s="964"/>
      <c r="G142" s="964"/>
      <c r="H142" s="964" t="s">
        <v>700</v>
      </c>
      <c r="I142" s="965" t="s">
        <v>419</v>
      </c>
      <c r="J142"/>
      <c r="K142"/>
      <c r="L142"/>
      <c r="M142"/>
      <c r="N142"/>
      <c r="O142"/>
      <c r="P142"/>
      <c r="Q142"/>
      <c r="R142"/>
      <c r="S142"/>
      <c r="T142"/>
      <c r="U142"/>
      <c r="V142"/>
      <c r="W142"/>
      <c r="X142"/>
      <c r="Y142"/>
      <c r="Z142"/>
      <c r="AA142"/>
      <c r="AB142"/>
    </row>
    <row r="143" spans="1:28" s="749" customFormat="1" ht="24.95" customHeight="1" x14ac:dyDescent="0.35">
      <c r="A143" s="968" t="s">
        <v>705</v>
      </c>
      <c r="B143" s="930" t="s">
        <v>485</v>
      </c>
      <c r="C143" s="925"/>
      <c r="D143" s="964" t="s">
        <v>282</v>
      </c>
      <c r="E143" s="964"/>
      <c r="F143" s="964" t="s">
        <v>734</v>
      </c>
      <c r="G143" s="964"/>
      <c r="H143" s="964" t="s">
        <v>706</v>
      </c>
      <c r="I143" s="965">
        <v>18800</v>
      </c>
      <c r="J143"/>
      <c r="K143"/>
      <c r="L143"/>
      <c r="M143"/>
      <c r="N143"/>
      <c r="O143"/>
      <c r="P143"/>
      <c r="Q143"/>
      <c r="R143"/>
      <c r="S143"/>
      <c r="T143"/>
      <c r="U143"/>
      <c r="V143"/>
      <c r="W143"/>
      <c r="X143"/>
      <c r="Y143"/>
      <c r="Z143"/>
      <c r="AA143"/>
      <c r="AB143"/>
    </row>
    <row r="144" spans="1:28" s="749" customFormat="1" ht="24.95" customHeight="1" x14ac:dyDescent="0.35">
      <c r="A144" s="968">
        <v>46008</v>
      </c>
      <c r="B144" s="930" t="s">
        <v>485</v>
      </c>
      <c r="C144" s="925"/>
      <c r="D144" s="964" t="s">
        <v>282</v>
      </c>
      <c r="E144" s="964"/>
      <c r="F144" s="964" t="s">
        <v>735</v>
      </c>
      <c r="G144" s="964"/>
      <c r="H144" s="964" t="s">
        <v>710</v>
      </c>
      <c r="I144" s="965">
        <v>23868</v>
      </c>
      <c r="J144"/>
      <c r="K144"/>
      <c r="L144"/>
      <c r="M144"/>
      <c r="N144"/>
      <c r="O144"/>
      <c r="P144"/>
      <c r="Q144"/>
      <c r="R144"/>
      <c r="S144"/>
      <c r="T144"/>
      <c r="U144"/>
      <c r="V144"/>
      <c r="W144"/>
      <c r="X144"/>
      <c r="Y144"/>
      <c r="Z144"/>
      <c r="AA144"/>
      <c r="AB144"/>
    </row>
    <row r="145" spans="1:28" s="749" customFormat="1" ht="24.95" customHeight="1" x14ac:dyDescent="0.35">
      <c r="A145" s="968">
        <v>46092</v>
      </c>
      <c r="B145" s="930" t="s">
        <v>485</v>
      </c>
      <c r="C145" s="925"/>
      <c r="D145" s="964" t="s">
        <v>282</v>
      </c>
      <c r="E145" s="964"/>
      <c r="F145" s="964"/>
      <c r="G145" s="964"/>
      <c r="H145" s="964" t="s">
        <v>821</v>
      </c>
      <c r="I145" s="965">
        <v>45201.75</v>
      </c>
      <c r="J145"/>
      <c r="K145"/>
      <c r="L145"/>
      <c r="M145"/>
      <c r="N145"/>
      <c r="O145"/>
      <c r="P145"/>
      <c r="Q145"/>
      <c r="R145"/>
      <c r="S145"/>
      <c r="T145"/>
      <c r="U145"/>
      <c r="V145"/>
      <c r="W145"/>
      <c r="X145"/>
      <c r="Y145"/>
      <c r="Z145"/>
      <c r="AA145"/>
      <c r="AB145"/>
    </row>
    <row r="146" spans="1:28" s="749" customFormat="1" ht="24.95" customHeight="1" x14ac:dyDescent="0.35">
      <c r="A146" s="968">
        <v>46002</v>
      </c>
      <c r="B146" s="930" t="s">
        <v>753</v>
      </c>
      <c r="C146" s="925"/>
      <c r="D146" s="964" t="s">
        <v>221</v>
      </c>
      <c r="E146" s="964"/>
      <c r="F146" s="964" t="s">
        <v>754</v>
      </c>
      <c r="G146" s="964"/>
      <c r="H146" s="964" t="s">
        <v>755</v>
      </c>
      <c r="I146" s="965">
        <v>294990</v>
      </c>
      <c r="J146"/>
      <c r="K146"/>
      <c r="L146"/>
      <c r="M146"/>
      <c r="N146"/>
      <c r="O146"/>
      <c r="P146"/>
      <c r="Q146"/>
      <c r="R146"/>
      <c r="S146"/>
      <c r="T146"/>
      <c r="U146"/>
      <c r="V146"/>
      <c r="W146"/>
      <c r="X146"/>
      <c r="Y146"/>
      <c r="Z146"/>
      <c r="AA146"/>
      <c r="AB146"/>
    </row>
    <row r="147" spans="1:28" s="749" customFormat="1" ht="24.95" customHeight="1" x14ac:dyDescent="0.35">
      <c r="A147" s="968">
        <v>46002</v>
      </c>
      <c r="B147" s="930" t="s">
        <v>753</v>
      </c>
      <c r="C147" s="925"/>
      <c r="D147" s="964" t="s">
        <v>221</v>
      </c>
      <c r="E147" s="964"/>
      <c r="F147" s="964" t="s">
        <v>756</v>
      </c>
      <c r="G147" s="964"/>
      <c r="H147" s="964" t="s">
        <v>757</v>
      </c>
      <c r="I147" s="965">
        <v>112996</v>
      </c>
      <c r="J147"/>
      <c r="K147"/>
      <c r="L147"/>
      <c r="M147"/>
      <c r="N147"/>
      <c r="O147"/>
      <c r="P147"/>
      <c r="Q147"/>
      <c r="R147"/>
      <c r="S147"/>
      <c r="T147"/>
      <c r="U147"/>
      <c r="V147"/>
      <c r="W147"/>
      <c r="X147"/>
      <c r="Y147"/>
      <c r="Z147"/>
      <c r="AA147"/>
      <c r="AB147"/>
    </row>
    <row r="148" spans="1:28" s="749" customFormat="1" ht="24.95" customHeight="1" x14ac:dyDescent="0.35">
      <c r="A148" s="968">
        <v>45662</v>
      </c>
      <c r="B148" s="930" t="s">
        <v>683</v>
      </c>
      <c r="C148" s="925"/>
      <c r="D148" s="964" t="s">
        <v>92</v>
      </c>
      <c r="E148" s="964"/>
      <c r="F148" s="964"/>
      <c r="G148" s="964"/>
      <c r="H148" s="964" t="s">
        <v>719</v>
      </c>
      <c r="I148" s="965">
        <v>3500</v>
      </c>
      <c r="J148"/>
      <c r="K148"/>
      <c r="L148"/>
      <c r="M148"/>
      <c r="N148"/>
      <c r="O148"/>
      <c r="P148"/>
      <c r="Q148"/>
      <c r="R148"/>
      <c r="S148"/>
      <c r="T148"/>
      <c r="U148"/>
      <c r="V148"/>
      <c r="W148"/>
      <c r="X148"/>
      <c r="Y148"/>
      <c r="Z148"/>
      <c r="AA148"/>
      <c r="AB148"/>
    </row>
    <row r="149" spans="1:28" s="749" customFormat="1" ht="24.95" customHeight="1" x14ac:dyDescent="0.35">
      <c r="A149" s="968">
        <v>45662</v>
      </c>
      <c r="B149" s="930" t="s">
        <v>683</v>
      </c>
      <c r="C149" s="925"/>
      <c r="D149" s="964" t="s">
        <v>92</v>
      </c>
      <c r="E149" s="964"/>
      <c r="F149" s="964"/>
      <c r="G149" s="964"/>
      <c r="H149" s="964" t="s">
        <v>720</v>
      </c>
      <c r="I149" s="965">
        <v>3500</v>
      </c>
      <c r="J149"/>
      <c r="K149"/>
      <c r="L149"/>
      <c r="M149"/>
      <c r="N149"/>
      <c r="O149"/>
      <c r="P149"/>
      <c r="Q149"/>
      <c r="R149"/>
      <c r="S149"/>
      <c r="T149"/>
      <c r="U149"/>
      <c r="V149"/>
      <c r="W149"/>
      <c r="X149"/>
      <c r="Y149"/>
      <c r="Z149"/>
      <c r="AA149"/>
      <c r="AB149"/>
    </row>
    <row r="150" spans="1:28" s="749" customFormat="1" ht="24.95" customHeight="1" x14ac:dyDescent="0.35">
      <c r="A150" s="968">
        <v>46041</v>
      </c>
      <c r="B150" s="930" t="s">
        <v>417</v>
      </c>
      <c r="C150" s="925"/>
      <c r="D150" s="964" t="s">
        <v>90</v>
      </c>
      <c r="E150" s="964"/>
      <c r="F150" s="964"/>
      <c r="G150" s="964"/>
      <c r="H150" s="964" t="s">
        <v>724</v>
      </c>
      <c r="I150" s="965" t="s">
        <v>419</v>
      </c>
      <c r="J150"/>
      <c r="K150"/>
      <c r="L150"/>
      <c r="M150"/>
      <c r="N150"/>
      <c r="O150"/>
      <c r="P150"/>
      <c r="Q150"/>
      <c r="R150"/>
      <c r="S150"/>
      <c r="T150"/>
      <c r="U150"/>
      <c r="V150"/>
      <c r="W150"/>
      <c r="X150"/>
      <c r="Y150"/>
      <c r="Z150"/>
      <c r="AA150"/>
      <c r="AB150"/>
    </row>
    <row r="151" spans="1:28" s="749" customFormat="1" ht="24.95" customHeight="1" x14ac:dyDescent="0.35">
      <c r="A151" s="968">
        <v>46042</v>
      </c>
      <c r="B151" s="930" t="s">
        <v>730</v>
      </c>
      <c r="C151" s="925"/>
      <c r="D151" s="964" t="s">
        <v>90</v>
      </c>
      <c r="E151" s="964"/>
      <c r="F151" s="964"/>
      <c r="G151" s="964"/>
      <c r="H151" s="964" t="s">
        <v>731</v>
      </c>
      <c r="I151" s="965" t="s">
        <v>419</v>
      </c>
      <c r="J151"/>
      <c r="K151"/>
      <c r="L151"/>
      <c r="M151"/>
      <c r="N151"/>
      <c r="O151"/>
      <c r="P151"/>
      <c r="Q151"/>
      <c r="R151"/>
      <c r="S151"/>
      <c r="T151"/>
      <c r="U151"/>
      <c r="V151"/>
      <c r="W151"/>
      <c r="X151"/>
      <c r="Y151"/>
      <c r="Z151"/>
      <c r="AA151"/>
      <c r="AB151"/>
    </row>
    <row r="152" spans="1:28" s="749" customFormat="1" ht="24.95" customHeight="1" x14ac:dyDescent="0.35">
      <c r="A152" s="968">
        <v>46048</v>
      </c>
      <c r="B152" s="930" t="s">
        <v>155</v>
      </c>
      <c r="C152" s="925"/>
      <c r="D152" s="964" t="s">
        <v>94</v>
      </c>
      <c r="E152" s="964"/>
      <c r="F152" s="964"/>
      <c r="G152" s="964"/>
      <c r="H152" s="964" t="s">
        <v>818</v>
      </c>
      <c r="I152" s="965">
        <v>1425260</v>
      </c>
      <c r="J152"/>
      <c r="K152"/>
      <c r="L152"/>
      <c r="M152"/>
      <c r="N152"/>
      <c r="O152"/>
      <c r="P152"/>
      <c r="Q152"/>
      <c r="R152"/>
      <c r="S152"/>
      <c r="T152"/>
      <c r="U152"/>
      <c r="V152"/>
      <c r="W152"/>
      <c r="X152"/>
      <c r="Y152"/>
      <c r="Z152"/>
      <c r="AA152"/>
      <c r="AB152"/>
    </row>
    <row r="153" spans="1:28" s="749" customFormat="1" ht="24.95" customHeight="1" x14ac:dyDescent="0.35">
      <c r="A153" s="968">
        <v>46051</v>
      </c>
      <c r="B153" s="930" t="s">
        <v>741</v>
      </c>
      <c r="C153" s="925"/>
      <c r="D153" s="964" t="s">
        <v>92</v>
      </c>
      <c r="E153" s="964"/>
      <c r="F153" s="964"/>
      <c r="G153" s="964"/>
      <c r="H153" s="964" t="s">
        <v>742</v>
      </c>
      <c r="I153" s="965" t="s">
        <v>419</v>
      </c>
      <c r="J153"/>
      <c r="K153"/>
      <c r="L153"/>
      <c r="M153"/>
      <c r="N153"/>
      <c r="O153"/>
      <c r="P153"/>
      <c r="Q153"/>
      <c r="R153"/>
      <c r="S153"/>
      <c r="T153"/>
      <c r="U153"/>
      <c r="V153"/>
      <c r="W153"/>
      <c r="X153"/>
      <c r="Y153"/>
      <c r="Z153"/>
      <c r="AA153"/>
      <c r="AB153"/>
    </row>
    <row r="154" spans="1:28" s="749" customFormat="1" ht="24.95" customHeight="1" x14ac:dyDescent="0.35">
      <c r="A154" s="968">
        <v>46051</v>
      </c>
      <c r="B154" s="930" t="s">
        <v>741</v>
      </c>
      <c r="C154" s="925"/>
      <c r="D154" s="964" t="s">
        <v>92</v>
      </c>
      <c r="E154" s="964"/>
      <c r="F154" s="964"/>
      <c r="G154" s="964"/>
      <c r="H154" s="964" t="s">
        <v>743</v>
      </c>
      <c r="I154" s="965" t="s">
        <v>419</v>
      </c>
      <c r="J154"/>
      <c r="K154"/>
      <c r="L154"/>
      <c r="M154"/>
      <c r="N154"/>
      <c r="O154"/>
      <c r="P154"/>
      <c r="Q154"/>
      <c r="R154"/>
      <c r="S154"/>
      <c r="T154"/>
      <c r="U154"/>
      <c r="V154"/>
      <c r="W154"/>
      <c r="X154"/>
      <c r="Y154"/>
      <c r="Z154"/>
      <c r="AA154"/>
      <c r="AB154"/>
    </row>
    <row r="155" spans="1:28" s="749" customFormat="1" ht="24.95" customHeight="1" x14ac:dyDescent="0.35">
      <c r="A155" s="968">
        <v>46055</v>
      </c>
      <c r="B155" s="930" t="s">
        <v>759</v>
      </c>
      <c r="C155" s="925"/>
      <c r="D155" s="964" t="s">
        <v>92</v>
      </c>
      <c r="E155" s="964"/>
      <c r="F155" s="964"/>
      <c r="G155" s="964"/>
      <c r="H155" s="964" t="s">
        <v>760</v>
      </c>
      <c r="I155" s="965" t="s">
        <v>419</v>
      </c>
      <c r="J155"/>
      <c r="K155"/>
      <c r="L155"/>
      <c r="M155"/>
      <c r="N155"/>
      <c r="O155"/>
      <c r="P155"/>
      <c r="Q155"/>
      <c r="R155"/>
      <c r="S155"/>
      <c r="T155"/>
      <c r="U155"/>
      <c r="V155"/>
      <c r="W155"/>
      <c r="X155"/>
      <c r="Y155"/>
      <c r="Z155"/>
      <c r="AA155"/>
      <c r="AB155"/>
    </row>
    <row r="156" spans="1:28" s="749" customFormat="1" ht="24.95" customHeight="1" x14ac:dyDescent="0.35">
      <c r="A156" s="968">
        <v>46057</v>
      </c>
      <c r="B156" s="930" t="s">
        <v>761</v>
      </c>
      <c r="C156" s="925"/>
      <c r="D156" s="964" t="s">
        <v>282</v>
      </c>
      <c r="E156" s="964"/>
      <c r="F156" s="964"/>
      <c r="G156" s="964"/>
      <c r="H156" s="964" t="s">
        <v>762</v>
      </c>
      <c r="I156" s="965">
        <v>8800</v>
      </c>
      <c r="J156"/>
      <c r="K156"/>
      <c r="L156"/>
      <c r="M156"/>
      <c r="N156"/>
      <c r="O156"/>
      <c r="P156"/>
      <c r="Q156"/>
      <c r="R156"/>
      <c r="S156"/>
      <c r="T156"/>
      <c r="U156"/>
      <c r="V156"/>
      <c r="W156"/>
      <c r="X156"/>
      <c r="Y156"/>
      <c r="Z156"/>
      <c r="AA156"/>
      <c r="AB156"/>
    </row>
    <row r="157" spans="1:28" s="749" customFormat="1" ht="24.95" customHeight="1" x14ac:dyDescent="0.35">
      <c r="A157" s="968" t="s">
        <v>421</v>
      </c>
      <c r="B157" s="930" t="s">
        <v>763</v>
      </c>
      <c r="C157" s="925"/>
      <c r="D157" s="964" t="s">
        <v>92</v>
      </c>
      <c r="E157" s="964"/>
      <c r="F157" s="964"/>
      <c r="G157" s="964"/>
      <c r="H157" s="964" t="s">
        <v>764</v>
      </c>
      <c r="I157" s="965" t="s">
        <v>419</v>
      </c>
      <c r="J157"/>
      <c r="K157"/>
      <c r="L157"/>
      <c r="M157"/>
      <c r="N157"/>
      <c r="O157"/>
      <c r="P157"/>
      <c r="Q157"/>
      <c r="R157"/>
      <c r="S157"/>
      <c r="T157"/>
      <c r="U157"/>
      <c r="V157"/>
      <c r="W157"/>
      <c r="X157"/>
      <c r="Y157"/>
      <c r="Z157"/>
      <c r="AA157"/>
      <c r="AB157"/>
    </row>
    <row r="158" spans="1:28" s="749" customFormat="1" ht="24.95" customHeight="1" x14ac:dyDescent="0.35">
      <c r="A158" s="968">
        <v>46057</v>
      </c>
      <c r="B158" s="930" t="s">
        <v>765</v>
      </c>
      <c r="C158" s="925"/>
      <c r="D158" s="964" t="s">
        <v>92</v>
      </c>
      <c r="E158" s="964"/>
      <c r="F158" s="964"/>
      <c r="G158" s="964"/>
      <c r="H158" s="964" t="s">
        <v>766</v>
      </c>
      <c r="I158" s="965" t="s">
        <v>419</v>
      </c>
      <c r="J158"/>
      <c r="K158"/>
      <c r="L158"/>
      <c r="M158"/>
      <c r="N158"/>
      <c r="O158"/>
      <c r="P158"/>
      <c r="Q158"/>
      <c r="R158"/>
      <c r="S158"/>
      <c r="T158"/>
      <c r="U158"/>
      <c r="V158"/>
      <c r="W158"/>
      <c r="X158"/>
      <c r="Y158"/>
      <c r="Z158"/>
      <c r="AA158"/>
      <c r="AB158"/>
    </row>
    <row r="159" spans="1:28" s="749" customFormat="1" ht="24.95" customHeight="1" x14ac:dyDescent="0.35">
      <c r="A159" s="968">
        <v>46057</v>
      </c>
      <c r="B159" s="930" t="s">
        <v>765</v>
      </c>
      <c r="C159" s="925"/>
      <c r="D159" s="964" t="s">
        <v>92</v>
      </c>
      <c r="E159" s="964"/>
      <c r="F159" s="964"/>
      <c r="G159" s="964"/>
      <c r="H159" s="964" t="s">
        <v>767</v>
      </c>
      <c r="I159" s="965" t="s">
        <v>419</v>
      </c>
      <c r="J159"/>
      <c r="K159"/>
      <c r="L159"/>
      <c r="M159"/>
      <c r="N159"/>
      <c r="O159"/>
      <c r="P159"/>
      <c r="Q159"/>
      <c r="R159"/>
      <c r="S159"/>
      <c r="T159"/>
      <c r="U159"/>
      <c r="V159"/>
      <c r="W159"/>
      <c r="X159"/>
      <c r="Y159"/>
      <c r="Z159"/>
      <c r="AA159"/>
      <c r="AB159"/>
    </row>
    <row r="160" spans="1:28" s="749" customFormat="1" ht="24.95" customHeight="1" x14ac:dyDescent="0.35">
      <c r="A160" s="968">
        <v>46057</v>
      </c>
      <c r="B160" s="930" t="s">
        <v>770</v>
      </c>
      <c r="C160" s="925"/>
      <c r="D160" s="964" t="s">
        <v>92</v>
      </c>
      <c r="E160" s="964"/>
      <c r="F160" s="964"/>
      <c r="G160" s="964"/>
      <c r="H160" s="964" t="s">
        <v>771</v>
      </c>
      <c r="I160" s="965" t="s">
        <v>419</v>
      </c>
      <c r="J160"/>
      <c r="K160"/>
      <c r="L160"/>
      <c r="M160"/>
      <c r="N160"/>
      <c r="O160"/>
      <c r="P160"/>
      <c r="Q160"/>
      <c r="R160"/>
      <c r="S160"/>
      <c r="T160"/>
      <c r="U160"/>
      <c r="V160"/>
      <c r="W160"/>
      <c r="X160"/>
      <c r="Y160"/>
      <c r="Z160"/>
      <c r="AA160"/>
      <c r="AB160"/>
    </row>
    <row r="161" spans="1:28" s="749" customFormat="1" ht="24.95" customHeight="1" x14ac:dyDescent="0.35">
      <c r="A161" s="968"/>
      <c r="B161" s="930" t="s">
        <v>772</v>
      </c>
      <c r="C161" s="925"/>
      <c r="D161" s="964" t="s">
        <v>92</v>
      </c>
      <c r="E161" s="964"/>
      <c r="F161" s="964"/>
      <c r="G161" s="964"/>
      <c r="H161" s="964" t="s">
        <v>773</v>
      </c>
      <c r="I161" s="965" t="s">
        <v>419</v>
      </c>
      <c r="J161"/>
      <c r="K161"/>
      <c r="L161"/>
      <c r="M161"/>
      <c r="N161"/>
      <c r="O161"/>
      <c r="P161"/>
      <c r="Q161"/>
      <c r="R161"/>
      <c r="S161"/>
      <c r="T161"/>
      <c r="U161"/>
      <c r="V161"/>
      <c r="W161"/>
      <c r="X161"/>
      <c r="Y161"/>
      <c r="Z161"/>
      <c r="AA161"/>
      <c r="AB161"/>
    </row>
    <row r="162" spans="1:28" s="749" customFormat="1" ht="24.95" customHeight="1" x14ac:dyDescent="0.35">
      <c r="A162" s="968">
        <v>46071</v>
      </c>
      <c r="B162" s="930" t="s">
        <v>772</v>
      </c>
      <c r="C162" s="925"/>
      <c r="D162" s="964" t="s">
        <v>92</v>
      </c>
      <c r="E162" s="964"/>
      <c r="F162" s="964"/>
      <c r="G162" s="964"/>
      <c r="H162" s="964" t="s">
        <v>787</v>
      </c>
      <c r="I162" s="965" t="s">
        <v>419</v>
      </c>
      <c r="J162"/>
      <c r="K162"/>
      <c r="L162"/>
      <c r="M162"/>
      <c r="N162"/>
      <c r="O162"/>
      <c r="P162"/>
      <c r="Q162"/>
      <c r="R162"/>
      <c r="S162"/>
      <c r="T162"/>
      <c r="U162"/>
      <c r="V162"/>
      <c r="W162"/>
      <c r="X162"/>
      <c r="Y162"/>
      <c r="Z162"/>
      <c r="AA162"/>
      <c r="AB162"/>
    </row>
    <row r="163" spans="1:28" s="749" customFormat="1" ht="24.95" customHeight="1" x14ac:dyDescent="0.35">
      <c r="A163" s="968">
        <v>46059</v>
      </c>
      <c r="B163" s="930" t="s">
        <v>775</v>
      </c>
      <c r="C163" s="925"/>
      <c r="D163" s="964" t="s">
        <v>92</v>
      </c>
      <c r="E163" s="964"/>
      <c r="F163" s="964"/>
      <c r="G163" s="964"/>
      <c r="H163" s="964" t="s">
        <v>776</v>
      </c>
      <c r="I163" s="965" t="s">
        <v>419</v>
      </c>
      <c r="J163"/>
      <c r="K163"/>
      <c r="L163"/>
      <c r="M163"/>
      <c r="N163"/>
      <c r="O163"/>
      <c r="P163"/>
      <c r="Q163"/>
      <c r="R163"/>
      <c r="S163"/>
      <c r="T163"/>
      <c r="U163"/>
      <c r="V163"/>
      <c r="W163"/>
      <c r="X163"/>
      <c r="Y163"/>
      <c r="Z163"/>
      <c r="AA163"/>
      <c r="AB163"/>
    </row>
    <row r="164" spans="1:28" s="749" customFormat="1" ht="24.95" customHeight="1" x14ac:dyDescent="0.35">
      <c r="A164" s="968"/>
      <c r="B164" s="930" t="s">
        <v>777</v>
      </c>
      <c r="C164" s="925"/>
      <c r="D164" s="964" t="s">
        <v>92</v>
      </c>
      <c r="E164" s="964"/>
      <c r="F164" s="964"/>
      <c r="G164" s="964"/>
      <c r="H164" s="964" t="s">
        <v>778</v>
      </c>
      <c r="I164" s="965" t="s">
        <v>419</v>
      </c>
      <c r="J164"/>
      <c r="K164"/>
      <c r="L164"/>
      <c r="M164"/>
      <c r="N164"/>
      <c r="O164"/>
      <c r="P164"/>
      <c r="Q164"/>
      <c r="R164"/>
      <c r="S164"/>
      <c r="T164"/>
      <c r="U164"/>
      <c r="V164"/>
      <c r="W164"/>
      <c r="X164"/>
      <c r="Y164"/>
      <c r="Z164"/>
      <c r="AA164"/>
      <c r="AB164"/>
    </row>
    <row r="165" spans="1:28" s="749" customFormat="1" ht="24.95" customHeight="1" x14ac:dyDescent="0.35">
      <c r="A165" s="968">
        <v>46063</v>
      </c>
      <c r="B165" s="930" t="s">
        <v>777</v>
      </c>
      <c r="C165" s="925"/>
      <c r="D165" s="964" t="s">
        <v>92</v>
      </c>
      <c r="E165" s="964"/>
      <c r="F165" s="964"/>
      <c r="G165" s="964"/>
      <c r="H165" s="964" t="s">
        <v>779</v>
      </c>
      <c r="I165" s="965" t="s">
        <v>419</v>
      </c>
      <c r="J165"/>
      <c r="K165"/>
      <c r="L165"/>
      <c r="M165"/>
      <c r="N165"/>
      <c r="O165"/>
      <c r="P165"/>
      <c r="Q165"/>
      <c r="R165"/>
      <c r="S165"/>
      <c r="T165"/>
      <c r="U165"/>
      <c r="V165"/>
      <c r="W165"/>
      <c r="X165"/>
      <c r="Y165"/>
      <c r="Z165"/>
      <c r="AA165"/>
      <c r="AB165"/>
    </row>
    <row r="166" spans="1:28" s="749" customFormat="1" ht="24.95" customHeight="1" x14ac:dyDescent="0.35">
      <c r="A166" s="968"/>
      <c r="B166" s="930" t="s">
        <v>782</v>
      </c>
      <c r="C166" s="925"/>
      <c r="D166" s="964" t="s">
        <v>92</v>
      </c>
      <c r="E166" s="964"/>
      <c r="F166" s="964" t="s">
        <v>795</v>
      </c>
      <c r="G166" s="964"/>
      <c r="H166" s="964" t="s">
        <v>783</v>
      </c>
      <c r="I166" s="965">
        <v>59500</v>
      </c>
      <c r="J166"/>
      <c r="K166"/>
      <c r="L166"/>
      <c r="M166"/>
      <c r="N166"/>
      <c r="O166"/>
      <c r="P166"/>
      <c r="Q166"/>
      <c r="R166"/>
      <c r="S166"/>
      <c r="T166"/>
      <c r="U166"/>
      <c r="V166"/>
      <c r="W166"/>
      <c r="X166"/>
      <c r="Y166"/>
      <c r="Z166"/>
      <c r="AA166"/>
      <c r="AB166"/>
    </row>
    <row r="167" spans="1:28" s="749" customFormat="1" ht="24.95" customHeight="1" x14ac:dyDescent="0.35">
      <c r="A167" s="968">
        <v>46069</v>
      </c>
      <c r="B167" s="986" t="s">
        <v>785</v>
      </c>
      <c r="C167" s="925"/>
      <c r="D167" s="964" t="s">
        <v>92</v>
      </c>
      <c r="E167" s="964"/>
      <c r="F167" s="964"/>
      <c r="G167" s="964"/>
      <c r="H167" s="964" t="s">
        <v>788</v>
      </c>
      <c r="I167" s="965">
        <v>1800</v>
      </c>
      <c r="J167"/>
      <c r="K167"/>
      <c r="L167"/>
      <c r="M167"/>
      <c r="N167"/>
      <c r="O167"/>
      <c r="P167"/>
      <c r="Q167"/>
      <c r="R167"/>
      <c r="S167"/>
      <c r="T167"/>
      <c r="U167"/>
      <c r="V167"/>
      <c r="W167"/>
      <c r="X167"/>
      <c r="Y167"/>
      <c r="Z167"/>
      <c r="AA167"/>
      <c r="AB167"/>
    </row>
    <row r="168" spans="1:28" s="749" customFormat="1" ht="24.95" customHeight="1" x14ac:dyDescent="0.35">
      <c r="A168" s="968"/>
      <c r="B168" s="986" t="s">
        <v>822</v>
      </c>
      <c r="C168" s="925"/>
      <c r="D168" s="964" t="s">
        <v>92</v>
      </c>
      <c r="E168" s="964"/>
      <c r="F168" s="964"/>
      <c r="G168" s="964"/>
      <c r="H168" s="964" t="s">
        <v>823</v>
      </c>
      <c r="I168" s="965">
        <v>8815</v>
      </c>
      <c r="J168"/>
      <c r="K168"/>
      <c r="L168"/>
      <c r="M168"/>
      <c r="N168"/>
      <c r="O168"/>
      <c r="P168"/>
      <c r="Q168"/>
      <c r="R168"/>
      <c r="S168"/>
      <c r="T168"/>
      <c r="U168"/>
      <c r="V168"/>
      <c r="W168"/>
      <c r="X168"/>
      <c r="Y168"/>
      <c r="Z168"/>
      <c r="AA168"/>
      <c r="AB168"/>
    </row>
    <row r="169" spans="1:28" s="749" customFormat="1" ht="24.95" customHeight="1" x14ac:dyDescent="0.35">
      <c r="A169" s="968"/>
      <c r="B169" s="986" t="s">
        <v>785</v>
      </c>
      <c r="C169" s="925"/>
      <c r="D169" s="964" t="s">
        <v>92</v>
      </c>
      <c r="E169" s="964"/>
      <c r="F169" s="964"/>
      <c r="G169" s="964"/>
      <c r="H169" s="964" t="s">
        <v>826</v>
      </c>
      <c r="I169" s="965">
        <v>20560</v>
      </c>
      <c r="J169"/>
      <c r="K169"/>
      <c r="L169"/>
      <c r="M169"/>
      <c r="N169"/>
      <c r="O169"/>
      <c r="P169"/>
      <c r="Q169"/>
      <c r="R169"/>
      <c r="S169"/>
      <c r="T169"/>
      <c r="U169"/>
      <c r="V169"/>
      <c r="W169"/>
      <c r="X169"/>
      <c r="Y169"/>
      <c r="Z169"/>
      <c r="AA169"/>
      <c r="AB169"/>
    </row>
    <row r="170" spans="1:28" s="749" customFormat="1" ht="24.95" customHeight="1" x14ac:dyDescent="0.35">
      <c r="A170" s="968"/>
      <c r="B170" s="986" t="s">
        <v>785</v>
      </c>
      <c r="C170" s="925"/>
      <c r="D170" s="964" t="s">
        <v>92</v>
      </c>
      <c r="E170" s="964"/>
      <c r="F170" s="964"/>
      <c r="G170" s="964"/>
      <c r="H170" s="964" t="s">
        <v>827</v>
      </c>
      <c r="I170" s="965">
        <v>4340</v>
      </c>
      <c r="J170"/>
      <c r="K170"/>
      <c r="L170"/>
      <c r="M170"/>
      <c r="N170"/>
      <c r="O170"/>
      <c r="P170"/>
      <c r="Q170"/>
      <c r="R170"/>
      <c r="S170"/>
      <c r="T170"/>
      <c r="U170"/>
      <c r="V170"/>
      <c r="W170"/>
      <c r="X170"/>
      <c r="Y170"/>
      <c r="Z170"/>
      <c r="AA170"/>
      <c r="AB170"/>
    </row>
    <row r="171" spans="1:28" s="749" customFormat="1" ht="24.95" customHeight="1" x14ac:dyDescent="0.35">
      <c r="A171" s="968">
        <v>46071</v>
      </c>
      <c r="B171" s="986" t="s">
        <v>789</v>
      </c>
      <c r="C171" s="925"/>
      <c r="D171" s="964" t="s">
        <v>92</v>
      </c>
      <c r="E171" s="964"/>
      <c r="F171" s="964"/>
      <c r="G171" s="964"/>
      <c r="H171" s="964" t="s">
        <v>790</v>
      </c>
      <c r="I171" s="965">
        <v>254750</v>
      </c>
      <c r="J171"/>
      <c r="K171"/>
      <c r="L171"/>
      <c r="M171"/>
      <c r="N171"/>
      <c r="O171"/>
      <c r="P171"/>
      <c r="Q171"/>
      <c r="R171"/>
      <c r="S171"/>
      <c r="T171"/>
      <c r="U171"/>
      <c r="V171"/>
      <c r="W171"/>
      <c r="X171"/>
      <c r="Y171"/>
      <c r="Z171"/>
      <c r="AA171"/>
      <c r="AB171"/>
    </row>
    <row r="172" spans="1:28" s="749" customFormat="1" ht="24.95" customHeight="1" x14ac:dyDescent="0.35">
      <c r="A172" s="968">
        <v>46077</v>
      </c>
      <c r="B172" s="986" t="s">
        <v>796</v>
      </c>
      <c r="C172" s="925"/>
      <c r="D172" s="964" t="s">
        <v>92</v>
      </c>
      <c r="E172" s="964"/>
      <c r="F172" s="964"/>
      <c r="G172" s="964"/>
      <c r="H172" s="964" t="s">
        <v>797</v>
      </c>
      <c r="I172" s="965" t="s">
        <v>419</v>
      </c>
      <c r="J172"/>
      <c r="K172"/>
      <c r="L172"/>
      <c r="M172"/>
      <c r="N172"/>
      <c r="O172"/>
      <c r="P172"/>
      <c r="Q172"/>
      <c r="R172"/>
      <c r="S172"/>
      <c r="T172"/>
      <c r="U172"/>
      <c r="V172"/>
      <c r="W172"/>
      <c r="X172"/>
      <c r="Y172"/>
      <c r="Z172"/>
      <c r="AA172"/>
      <c r="AB172"/>
    </row>
    <row r="173" spans="1:28" s="749" customFormat="1" ht="24.95" customHeight="1" x14ac:dyDescent="0.35">
      <c r="A173" s="968"/>
      <c r="B173" s="986" t="s">
        <v>798</v>
      </c>
      <c r="C173" s="925"/>
      <c r="D173" s="964" t="s">
        <v>92</v>
      </c>
      <c r="E173" s="964"/>
      <c r="F173" s="964"/>
      <c r="G173" s="964"/>
      <c r="H173" s="964" t="s">
        <v>799</v>
      </c>
      <c r="I173" s="965" t="s">
        <v>419</v>
      </c>
      <c r="J173"/>
      <c r="K173"/>
      <c r="L173"/>
      <c r="M173"/>
      <c r="N173"/>
      <c r="O173"/>
      <c r="P173"/>
      <c r="Q173"/>
      <c r="R173"/>
      <c r="S173"/>
      <c r="T173"/>
      <c r="U173"/>
      <c r="V173"/>
      <c r="W173"/>
      <c r="X173"/>
      <c r="Y173"/>
      <c r="Z173"/>
      <c r="AA173"/>
      <c r="AB173"/>
    </row>
    <row r="174" spans="1:28" s="749" customFormat="1" ht="24.95" customHeight="1" x14ac:dyDescent="0.35">
      <c r="A174" s="968">
        <v>46084</v>
      </c>
      <c r="B174" s="986" t="s">
        <v>430</v>
      </c>
      <c r="C174" s="925"/>
      <c r="D174" s="964" t="s">
        <v>92</v>
      </c>
      <c r="E174" s="964"/>
      <c r="F174" s="964"/>
      <c r="G174" s="964"/>
      <c r="H174" s="964" t="s">
        <v>807</v>
      </c>
      <c r="I174" s="965">
        <v>79500</v>
      </c>
      <c r="J174"/>
      <c r="K174"/>
      <c r="L174"/>
      <c r="M174"/>
      <c r="N174"/>
      <c r="O174"/>
      <c r="P174"/>
      <c r="Q174"/>
      <c r="R174"/>
      <c r="S174"/>
      <c r="T174"/>
      <c r="U174"/>
      <c r="V174"/>
      <c r="W174"/>
      <c r="X174"/>
      <c r="Y174"/>
      <c r="Z174"/>
      <c r="AA174"/>
      <c r="AB174"/>
    </row>
    <row r="175" spans="1:28" s="749" customFormat="1" ht="24.95" customHeight="1" x14ac:dyDescent="0.35">
      <c r="A175" s="968">
        <v>46083</v>
      </c>
      <c r="B175" s="986" t="s">
        <v>808</v>
      </c>
      <c r="C175" s="925"/>
      <c r="D175" s="964" t="s">
        <v>92</v>
      </c>
      <c r="E175" s="964"/>
      <c r="F175" s="964"/>
      <c r="G175" s="964"/>
      <c r="H175" s="964" t="s">
        <v>809</v>
      </c>
      <c r="I175" s="965">
        <v>90000</v>
      </c>
      <c r="J175"/>
      <c r="K175"/>
      <c r="L175"/>
      <c r="M175"/>
      <c r="N175"/>
      <c r="O175"/>
      <c r="P175"/>
      <c r="Q175"/>
      <c r="R175"/>
      <c r="S175"/>
      <c r="T175"/>
      <c r="U175"/>
      <c r="V175"/>
      <c r="W175"/>
      <c r="X175"/>
      <c r="Y175"/>
      <c r="Z175"/>
      <c r="AA175"/>
      <c r="AB175"/>
    </row>
    <row r="176" spans="1:28" s="749" customFormat="1" ht="24.95" customHeight="1" x14ac:dyDescent="0.35">
      <c r="A176" s="968">
        <v>46087</v>
      </c>
      <c r="B176" s="986" t="s">
        <v>808</v>
      </c>
      <c r="C176" s="925"/>
      <c r="D176" s="964" t="s">
        <v>92</v>
      </c>
      <c r="E176" s="964"/>
      <c r="F176" s="964"/>
      <c r="G176" s="964"/>
      <c r="H176" s="964" t="s">
        <v>814</v>
      </c>
      <c r="I176" s="965">
        <v>68500</v>
      </c>
      <c r="J176"/>
      <c r="K176"/>
      <c r="L176"/>
      <c r="M176"/>
      <c r="N176"/>
      <c r="O176"/>
      <c r="P176"/>
      <c r="Q176"/>
      <c r="R176"/>
      <c r="S176"/>
      <c r="T176"/>
      <c r="U176"/>
      <c r="V176"/>
      <c r="W176"/>
      <c r="X176"/>
      <c r="Y176"/>
      <c r="Z176"/>
      <c r="AA176"/>
      <c r="AB176"/>
    </row>
    <row r="177" spans="1:28" s="749" customFormat="1" ht="24.95" customHeight="1" x14ac:dyDescent="0.35">
      <c r="A177" s="968">
        <v>46086</v>
      </c>
      <c r="B177" s="986" t="s">
        <v>811</v>
      </c>
      <c r="C177" s="925"/>
      <c r="D177" s="964" t="s">
        <v>92</v>
      </c>
      <c r="E177" s="964"/>
      <c r="F177" s="964"/>
      <c r="G177" s="964"/>
      <c r="H177" s="964" t="s">
        <v>812</v>
      </c>
      <c r="I177" s="965">
        <v>49050</v>
      </c>
      <c r="J177"/>
      <c r="K177"/>
      <c r="L177"/>
      <c r="M177"/>
      <c r="N177"/>
      <c r="O177"/>
      <c r="P177"/>
      <c r="Q177"/>
      <c r="R177"/>
      <c r="S177"/>
      <c r="T177"/>
      <c r="U177"/>
      <c r="V177"/>
      <c r="W177"/>
      <c r="X177"/>
      <c r="Y177"/>
      <c r="Z177"/>
      <c r="AA177"/>
      <c r="AB177"/>
    </row>
    <row r="178" spans="1:28" s="749" customFormat="1" ht="24.95" customHeight="1" x14ac:dyDescent="0.35">
      <c r="A178" s="968">
        <v>46090</v>
      </c>
      <c r="B178" s="986" t="s">
        <v>815</v>
      </c>
      <c r="C178" s="925"/>
      <c r="D178" s="964" t="s">
        <v>90</v>
      </c>
      <c r="E178" s="964"/>
      <c r="F178" s="964"/>
      <c r="G178" s="964"/>
      <c r="H178" s="964" t="s">
        <v>816</v>
      </c>
      <c r="I178" s="965">
        <v>79000</v>
      </c>
      <c r="J178"/>
      <c r="K178"/>
      <c r="L178"/>
      <c r="M178"/>
      <c r="N178"/>
      <c r="O178"/>
      <c r="P178"/>
      <c r="Q178"/>
      <c r="R178"/>
      <c r="S178"/>
      <c r="T178"/>
      <c r="U178"/>
      <c r="V178"/>
      <c r="W178"/>
      <c r="X178"/>
      <c r="Y178"/>
      <c r="Z178"/>
      <c r="AA178"/>
      <c r="AB178"/>
    </row>
    <row r="179" spans="1:28" s="749" customFormat="1" ht="24.95" customHeight="1" x14ac:dyDescent="0.35">
      <c r="A179" s="968">
        <v>46091</v>
      </c>
      <c r="B179" s="986" t="s">
        <v>576</v>
      </c>
      <c r="C179" s="925"/>
      <c r="D179" s="964" t="s">
        <v>90</v>
      </c>
      <c r="E179" s="964"/>
      <c r="F179" s="964" t="s">
        <v>832</v>
      </c>
      <c r="G179" s="964"/>
      <c r="H179" s="964" t="s">
        <v>820</v>
      </c>
      <c r="I179" s="965">
        <v>17410</v>
      </c>
      <c r="J179"/>
      <c r="K179"/>
      <c r="L179"/>
      <c r="M179"/>
      <c r="N179"/>
      <c r="O179"/>
      <c r="P179"/>
      <c r="Q179"/>
      <c r="R179"/>
      <c r="S179"/>
      <c r="T179"/>
      <c r="U179"/>
      <c r="V179"/>
      <c r="W179"/>
      <c r="X179"/>
      <c r="Y179"/>
      <c r="Z179"/>
      <c r="AA179"/>
      <c r="AB179"/>
    </row>
    <row r="180" spans="1:28" s="749" customFormat="1" ht="24.95" customHeight="1" x14ac:dyDescent="0.35">
      <c r="A180" s="968">
        <v>46093</v>
      </c>
      <c r="B180" s="986" t="s">
        <v>828</v>
      </c>
      <c r="C180" s="925"/>
      <c r="D180" s="964" t="s">
        <v>92</v>
      </c>
      <c r="E180" s="964"/>
      <c r="F180" s="964"/>
      <c r="G180" s="964"/>
      <c r="H180" s="964" t="s">
        <v>829</v>
      </c>
      <c r="I180" s="965">
        <v>2750</v>
      </c>
      <c r="J180"/>
      <c r="K180"/>
      <c r="L180"/>
      <c r="M180"/>
      <c r="N180"/>
      <c r="O180"/>
      <c r="P180"/>
      <c r="Q180"/>
      <c r="R180"/>
      <c r="S180"/>
      <c r="T180"/>
      <c r="U180"/>
      <c r="V180"/>
      <c r="W180"/>
      <c r="X180"/>
      <c r="Y180"/>
      <c r="Z180"/>
      <c r="AA180"/>
      <c r="AB180"/>
    </row>
    <row r="181" spans="1:28" s="749" customFormat="1" ht="24.95" customHeight="1" x14ac:dyDescent="0.35">
      <c r="A181" s="968">
        <v>46107</v>
      </c>
      <c r="B181" s="986" t="s">
        <v>838</v>
      </c>
      <c r="C181" s="925"/>
      <c r="D181" s="964" t="s">
        <v>92</v>
      </c>
      <c r="E181" s="964"/>
      <c r="F181" s="964"/>
      <c r="G181" s="964"/>
      <c r="H181" s="964" t="s">
        <v>839</v>
      </c>
      <c r="I181" s="965" t="s">
        <v>419</v>
      </c>
      <c r="J181"/>
      <c r="K181"/>
      <c r="L181"/>
      <c r="M181"/>
      <c r="N181"/>
      <c r="O181"/>
      <c r="P181"/>
      <c r="Q181"/>
      <c r="R181"/>
      <c r="S181"/>
      <c r="T181"/>
      <c r="U181"/>
      <c r="V181"/>
      <c r="W181"/>
      <c r="X181"/>
      <c r="Y181"/>
      <c r="Z181"/>
      <c r="AA181"/>
      <c r="AB181"/>
    </row>
    <row r="182" spans="1:28" s="889" customFormat="1" ht="24.95" customHeight="1" x14ac:dyDescent="0.35">
      <c r="A182" s="939"/>
      <c r="B182" s="984" t="s">
        <v>7</v>
      </c>
      <c r="C182" s="700"/>
      <c r="D182" s="612" t="s">
        <v>140</v>
      </c>
      <c r="E182" s="612"/>
      <c r="F182" s="700"/>
      <c r="G182" s="700"/>
      <c r="H182" s="614"/>
      <c r="I182" s="985">
        <f>SUM(I7:I180)</f>
        <v>28469964.390000001</v>
      </c>
      <c r="J182"/>
      <c r="K182"/>
      <c r="L182"/>
      <c r="M182"/>
      <c r="N182"/>
      <c r="O182"/>
      <c r="P182"/>
      <c r="Q182"/>
      <c r="R182"/>
      <c r="S182"/>
      <c r="T182"/>
      <c r="U182"/>
      <c r="V182"/>
      <c r="W182"/>
      <c r="X182"/>
      <c r="Y182"/>
      <c r="Z182"/>
      <c r="AA182"/>
      <c r="AB182"/>
    </row>
    <row r="183" spans="1:28" ht="24.95" customHeight="1" x14ac:dyDescent="0.35">
      <c r="A183" s="940" t="s">
        <v>64</v>
      </c>
      <c r="G183" s="658" t="s">
        <v>64</v>
      </c>
    </row>
    <row r="184" spans="1:28" ht="24.95" customHeight="1" x14ac:dyDescent="0.35"/>
    <row r="185" spans="1:28" ht="24.95" customHeight="1" x14ac:dyDescent="0.35">
      <c r="F185" s="524" t="s">
        <v>486</v>
      </c>
    </row>
    <row r="186" spans="1:28" ht="24.95" customHeight="1" x14ac:dyDescent="0.35">
      <c r="G186" s="658" t="s">
        <v>64</v>
      </c>
    </row>
    <row r="187" spans="1:28" ht="23.25" customHeight="1" x14ac:dyDescent="0.35">
      <c r="D187" s="524"/>
      <c r="E187" s="524"/>
      <c r="H187" s="524"/>
      <c r="I187" s="524"/>
    </row>
    <row r="188" spans="1:28" ht="24.95" customHeight="1" x14ac:dyDescent="0.35"/>
    <row r="189" spans="1:28" ht="24.95" customHeight="1" x14ac:dyDescent="0.35"/>
    <row r="190" spans="1:28" ht="24.95" customHeight="1" x14ac:dyDescent="0.35"/>
    <row r="191" spans="1:28" ht="24.95" customHeight="1" x14ac:dyDescent="0.35"/>
    <row r="192" spans="1:28" ht="24.95" customHeight="1" x14ac:dyDescent="0.35"/>
    <row r="193" ht="24.95" customHeight="1" x14ac:dyDescent="0.35"/>
    <row r="194" ht="24.95" customHeight="1" x14ac:dyDescent="0.35"/>
    <row r="195" ht="24.95" customHeight="1" x14ac:dyDescent="0.35"/>
    <row r="196" ht="24.95" customHeight="1" x14ac:dyDescent="0.35"/>
    <row r="197" ht="24.95" customHeight="1" x14ac:dyDescent="0.35"/>
    <row r="198" ht="24.95" customHeight="1" x14ac:dyDescent="0.35"/>
    <row r="199" ht="24.95" customHeight="1" x14ac:dyDescent="0.35"/>
    <row r="200" ht="24.95" customHeight="1"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election activeCell="B17" sqref="B17"/>
    </sheetView>
  </sheetViews>
  <sheetFormatPr defaultColWidth="23.85546875" defaultRowHeight="23.25" x14ac:dyDescent="0.35"/>
  <cols>
    <col min="1" max="1" width="23.85546875" style="940"/>
    <col min="2" max="2" width="56.28515625" style="657" customWidth="1"/>
    <col min="3" max="3" width="20.140625" style="524" customWidth="1"/>
    <col min="4" max="5" width="13" style="657" customWidth="1"/>
    <col min="6" max="6" width="14.28515625" style="524" customWidth="1"/>
    <col min="7" max="7" width="12.28515625" style="658" customWidth="1"/>
    <col min="8" max="8" width="38"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840</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739</v>
      </c>
      <c r="D6" s="547" t="s">
        <v>89</v>
      </c>
      <c r="E6" s="547" t="s">
        <v>104</v>
      </c>
      <c r="F6" s="546" t="s">
        <v>646</v>
      </c>
      <c r="G6" s="546" t="s">
        <v>3</v>
      </c>
      <c r="H6" s="546" t="s">
        <v>4</v>
      </c>
      <c r="I6" s="550" t="s">
        <v>11</v>
      </c>
      <c r="J6"/>
      <c r="K6"/>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c r="K7"/>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c r="K8"/>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c r="K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c r="K10"/>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c r="K11"/>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c r="K12"/>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c r="K13"/>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c r="K14"/>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c r="K15"/>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c r="K16"/>
      <c r="L16"/>
      <c r="M16"/>
      <c r="N16"/>
      <c r="O16"/>
      <c r="P16"/>
      <c r="Q16"/>
      <c r="R16"/>
      <c r="S16"/>
      <c r="T16"/>
      <c r="U16"/>
      <c r="V16"/>
      <c r="W16"/>
      <c r="X16"/>
      <c r="Y16"/>
      <c r="Z16"/>
      <c r="AA16"/>
      <c r="AB16"/>
    </row>
    <row r="17" spans="1:28" s="775" customFormat="1" ht="24.95" customHeight="1" x14ac:dyDescent="0.35">
      <c r="A17" s="968" t="s">
        <v>421</v>
      </c>
      <c r="B17" s="930" t="s">
        <v>43</v>
      </c>
      <c r="C17" s="925"/>
      <c r="D17" s="964" t="s">
        <v>90</v>
      </c>
      <c r="E17" s="964"/>
      <c r="F17" s="964"/>
      <c r="G17" s="925"/>
      <c r="H17" s="964" t="s">
        <v>600</v>
      </c>
      <c r="I17" s="965">
        <v>250952.38</v>
      </c>
      <c r="J17"/>
      <c r="K17"/>
      <c r="L17"/>
      <c r="M17"/>
      <c r="N17"/>
      <c r="O17"/>
      <c r="P17"/>
      <c r="Q17"/>
      <c r="R17"/>
      <c r="S17"/>
      <c r="T17"/>
      <c r="U17"/>
      <c r="V17"/>
      <c r="W17"/>
      <c r="X17"/>
      <c r="Y17"/>
      <c r="Z17"/>
      <c r="AA17"/>
      <c r="AB17"/>
    </row>
    <row r="18" spans="1:28" s="775" customFormat="1" ht="24.95" customHeight="1" x14ac:dyDescent="0.35">
      <c r="A18" s="968">
        <v>46087</v>
      </c>
      <c r="B18" s="930" t="s">
        <v>43</v>
      </c>
      <c r="C18" s="925"/>
      <c r="D18" s="964" t="s">
        <v>90</v>
      </c>
      <c r="E18" s="964"/>
      <c r="F18" s="964"/>
      <c r="G18" s="925"/>
      <c r="H18" s="964" t="s">
        <v>817</v>
      </c>
      <c r="I18" s="965" t="s">
        <v>419</v>
      </c>
      <c r="J18"/>
      <c r="K18"/>
      <c r="L18"/>
      <c r="M18"/>
      <c r="N18"/>
      <c r="O18"/>
      <c r="P18"/>
      <c r="Q18"/>
      <c r="R18"/>
      <c r="S18"/>
      <c r="T18"/>
      <c r="U18"/>
      <c r="V18"/>
      <c r="W18"/>
      <c r="X18"/>
      <c r="Y18"/>
      <c r="Z18"/>
      <c r="AA18"/>
      <c r="AB18"/>
    </row>
    <row r="19" spans="1:28" s="775" customFormat="1" ht="24.95" customHeight="1" x14ac:dyDescent="0.35">
      <c r="A19" s="968">
        <v>46085</v>
      </c>
      <c r="B19" s="930" t="s">
        <v>43</v>
      </c>
      <c r="C19" s="925"/>
      <c r="D19" s="964" t="s">
        <v>90</v>
      </c>
      <c r="E19" s="964"/>
      <c r="F19" s="964"/>
      <c r="G19" s="925"/>
      <c r="H19" s="964" t="s">
        <v>810</v>
      </c>
      <c r="I19" s="965" t="s">
        <v>419</v>
      </c>
      <c r="J19"/>
      <c r="K19"/>
      <c r="L19"/>
      <c r="M19"/>
      <c r="N19"/>
      <c r="O19"/>
      <c r="P19"/>
      <c r="Q19"/>
      <c r="R19"/>
      <c r="S19"/>
      <c r="T19"/>
      <c r="U19"/>
      <c r="V19"/>
      <c r="W19"/>
      <c r="X19"/>
      <c r="Y19"/>
      <c r="Z19"/>
      <c r="AA19"/>
      <c r="AB19"/>
    </row>
    <row r="20" spans="1:28" s="782" customFormat="1" ht="24.95" customHeight="1" x14ac:dyDescent="0.35">
      <c r="A20" s="968">
        <v>44589</v>
      </c>
      <c r="B20" s="930" t="s">
        <v>125</v>
      </c>
      <c r="C20" s="925"/>
      <c r="D20" s="925" t="s">
        <v>90</v>
      </c>
      <c r="E20" s="925"/>
      <c r="F20" s="964"/>
      <c r="G20" s="964"/>
      <c r="H20" s="964">
        <v>4880</v>
      </c>
      <c r="I20" s="965">
        <v>37000</v>
      </c>
      <c r="J20"/>
      <c r="K20"/>
      <c r="L20"/>
      <c r="M20"/>
      <c r="N20"/>
      <c r="O20"/>
      <c r="P20"/>
      <c r="Q20"/>
      <c r="R20"/>
      <c r="S20"/>
      <c r="T20"/>
      <c r="U20"/>
      <c r="V20"/>
      <c r="W20"/>
      <c r="X20"/>
      <c r="Y20"/>
      <c r="Z20"/>
      <c r="AA20"/>
      <c r="AB20"/>
    </row>
    <row r="21" spans="1:28" s="782" customFormat="1" ht="24.95" customHeight="1" x14ac:dyDescent="0.35">
      <c r="A21" s="968">
        <v>44607</v>
      </c>
      <c r="B21" s="930" t="s">
        <v>649</v>
      </c>
      <c r="C21" s="925"/>
      <c r="D21" s="925" t="s">
        <v>90</v>
      </c>
      <c r="E21" s="925">
        <v>736</v>
      </c>
      <c r="F21" s="964"/>
      <c r="G21" s="964"/>
      <c r="H21" s="964" t="s">
        <v>131</v>
      </c>
      <c r="I21" s="965">
        <v>16076.04</v>
      </c>
      <c r="J21"/>
      <c r="K21"/>
      <c r="L21"/>
      <c r="M21"/>
      <c r="N21"/>
      <c r="O21"/>
      <c r="P21"/>
      <c r="Q21"/>
      <c r="R21"/>
      <c r="S21"/>
      <c r="T21"/>
      <c r="U21"/>
      <c r="V21"/>
      <c r="W21"/>
      <c r="X21"/>
      <c r="Y21"/>
      <c r="Z21"/>
      <c r="AA21"/>
      <c r="AB21"/>
    </row>
    <row r="22" spans="1:28" s="749" customFormat="1" ht="24.95" customHeight="1" x14ac:dyDescent="0.35">
      <c r="A22" s="968">
        <v>44609</v>
      </c>
      <c r="B22" s="930" t="s">
        <v>649</v>
      </c>
      <c r="C22" s="925"/>
      <c r="D22" s="964" t="s">
        <v>90</v>
      </c>
      <c r="E22" s="964">
        <v>734</v>
      </c>
      <c r="F22" s="964"/>
      <c r="G22" s="964"/>
      <c r="H22" s="964" t="s">
        <v>118</v>
      </c>
      <c r="I22" s="965">
        <v>7186.99</v>
      </c>
      <c r="J22"/>
      <c r="K22"/>
      <c r="L22"/>
      <c r="M22"/>
      <c r="N22"/>
      <c r="O22"/>
      <c r="P22"/>
      <c r="Q22"/>
      <c r="R22"/>
      <c r="S22"/>
      <c r="T22"/>
      <c r="U22"/>
      <c r="V22"/>
      <c r="W22"/>
      <c r="X22"/>
      <c r="Y22"/>
      <c r="Z22"/>
      <c r="AA22"/>
      <c r="AB22"/>
    </row>
    <row r="23" spans="1:28" s="749" customFormat="1" ht="24.95" customHeight="1" x14ac:dyDescent="0.35">
      <c r="A23" s="968">
        <v>44714</v>
      </c>
      <c r="B23" s="930" t="s">
        <v>649</v>
      </c>
      <c r="C23" s="925"/>
      <c r="D23" s="964" t="s">
        <v>90</v>
      </c>
      <c r="E23" s="964"/>
      <c r="F23" s="964"/>
      <c r="G23" s="964">
        <v>2062</v>
      </c>
      <c r="H23" s="964" t="s">
        <v>118</v>
      </c>
      <c r="I23" s="965">
        <v>77456</v>
      </c>
      <c r="J23"/>
      <c r="K23"/>
      <c r="L23"/>
      <c r="M23"/>
      <c r="N23"/>
      <c r="O23"/>
      <c r="P23"/>
      <c r="Q23"/>
      <c r="R23"/>
      <c r="S23"/>
      <c r="T23"/>
      <c r="U23"/>
      <c r="V23"/>
      <c r="W23"/>
      <c r="X23"/>
      <c r="Y23"/>
      <c r="Z23"/>
      <c r="AA23"/>
      <c r="AB23"/>
    </row>
    <row r="24" spans="1:28" s="749" customFormat="1" ht="24.95" customHeight="1" x14ac:dyDescent="0.35">
      <c r="A24" s="968">
        <v>44734</v>
      </c>
      <c r="B24" s="930" t="s">
        <v>649</v>
      </c>
      <c r="C24" s="925"/>
      <c r="D24" s="964" t="s">
        <v>90</v>
      </c>
      <c r="E24" s="964">
        <v>743</v>
      </c>
      <c r="F24" s="964"/>
      <c r="G24" s="964"/>
      <c r="H24" s="964" t="s">
        <v>118</v>
      </c>
      <c r="I24" s="965">
        <v>72499.08</v>
      </c>
      <c r="J24"/>
      <c r="K24"/>
      <c r="L24"/>
      <c r="M24"/>
      <c r="N24"/>
      <c r="O24"/>
      <c r="P24"/>
      <c r="Q24"/>
      <c r="R24"/>
      <c r="S24"/>
      <c r="T24"/>
      <c r="U24"/>
      <c r="V24"/>
      <c r="W24"/>
      <c r="X24"/>
      <c r="Y24"/>
      <c r="Z24"/>
      <c r="AA24"/>
      <c r="AB24"/>
    </row>
    <row r="25" spans="1:28" s="749" customFormat="1" ht="24.95" customHeight="1" x14ac:dyDescent="0.35">
      <c r="A25" s="968">
        <v>44741</v>
      </c>
      <c r="B25" s="930" t="s">
        <v>649</v>
      </c>
      <c r="C25" s="925"/>
      <c r="D25" s="964" t="s">
        <v>90</v>
      </c>
      <c r="E25" s="964">
        <v>757</v>
      </c>
      <c r="F25" s="964"/>
      <c r="G25" s="964"/>
      <c r="H25" s="964">
        <v>5908</v>
      </c>
      <c r="I25" s="965">
        <v>510</v>
      </c>
      <c r="J25"/>
      <c r="K25"/>
      <c r="L25"/>
      <c r="M25"/>
      <c r="N25"/>
      <c r="O25"/>
      <c r="P25"/>
      <c r="Q25"/>
      <c r="R25"/>
      <c r="S25"/>
      <c r="T25"/>
      <c r="U25"/>
      <c r="V25"/>
      <c r="W25"/>
      <c r="X25"/>
      <c r="Y25"/>
      <c r="Z25"/>
      <c r="AA25"/>
      <c r="AB25"/>
    </row>
    <row r="26" spans="1:28" s="749" customFormat="1" ht="24.95" customHeight="1" x14ac:dyDescent="0.35">
      <c r="A26" s="968">
        <v>44855</v>
      </c>
      <c r="B26" s="930" t="s">
        <v>649</v>
      </c>
      <c r="C26" s="925"/>
      <c r="D26" s="964" t="s">
        <v>90</v>
      </c>
      <c r="E26" s="964">
        <v>755</v>
      </c>
      <c r="F26" s="964"/>
      <c r="G26" s="964"/>
      <c r="H26" s="964">
        <v>5739</v>
      </c>
      <c r="I26" s="965">
        <v>6650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758</v>
      </c>
      <c r="F27" s="964"/>
      <c r="G27" s="964"/>
      <c r="H27" s="964" t="s">
        <v>118</v>
      </c>
      <c r="I27" s="965">
        <v>3000</v>
      </c>
      <c r="J27"/>
      <c r="K27"/>
      <c r="L27"/>
      <c r="M27"/>
      <c r="N27"/>
      <c r="O27"/>
      <c r="P27"/>
      <c r="Q27"/>
      <c r="R27"/>
      <c r="S27"/>
      <c r="T27"/>
      <c r="U27"/>
      <c r="V27"/>
      <c r="W27"/>
      <c r="X27"/>
      <c r="Y27"/>
      <c r="Z27"/>
      <c r="AA27"/>
      <c r="AB27"/>
    </row>
    <row r="28" spans="1:28" s="749" customFormat="1" ht="24.95" customHeight="1" x14ac:dyDescent="0.35">
      <c r="A28" s="968">
        <v>44916</v>
      </c>
      <c r="B28" s="930" t="s">
        <v>649</v>
      </c>
      <c r="C28" s="925"/>
      <c r="D28" s="964" t="s">
        <v>90</v>
      </c>
      <c r="E28" s="964"/>
      <c r="F28" s="964"/>
      <c r="G28" s="964">
        <v>2176</v>
      </c>
      <c r="H28" s="964" t="s">
        <v>118</v>
      </c>
      <c r="I28" s="965">
        <v>186146</v>
      </c>
      <c r="J28"/>
      <c r="K28"/>
      <c r="L28"/>
      <c r="M28"/>
      <c r="N28"/>
      <c r="O28"/>
      <c r="P28"/>
      <c r="Q28"/>
      <c r="R28"/>
      <c r="S28"/>
      <c r="T28"/>
      <c r="U28"/>
      <c r="V28"/>
      <c r="W28"/>
      <c r="X28"/>
      <c r="Y28"/>
      <c r="Z28"/>
      <c r="AA28"/>
      <c r="AB28"/>
    </row>
    <row r="29" spans="1:28" s="749" customFormat="1" ht="24.95" customHeight="1" x14ac:dyDescent="0.35">
      <c r="A29" s="968">
        <v>45343</v>
      </c>
      <c r="B29" s="930" t="s">
        <v>649</v>
      </c>
      <c r="C29" s="925"/>
      <c r="D29" s="964" t="s">
        <v>90</v>
      </c>
      <c r="E29" s="964">
        <v>826</v>
      </c>
      <c r="F29" s="964"/>
      <c r="G29" s="964"/>
      <c r="H29" s="964" t="s">
        <v>118</v>
      </c>
      <c r="I29" s="965">
        <v>22500</v>
      </c>
      <c r="J29"/>
      <c r="K29"/>
      <c r="L29"/>
      <c r="M29"/>
      <c r="N29"/>
      <c r="O29"/>
      <c r="P29"/>
      <c r="Q29"/>
      <c r="R29"/>
      <c r="S29"/>
      <c r="T29"/>
      <c r="U29"/>
      <c r="V29"/>
      <c r="W29"/>
      <c r="X29"/>
      <c r="Y29"/>
      <c r="Z29"/>
      <c r="AA29"/>
      <c r="AB29"/>
    </row>
    <row r="30" spans="1:28" s="782" customFormat="1" ht="27.75" customHeight="1" x14ac:dyDescent="0.35">
      <c r="A30" s="968">
        <v>44614</v>
      </c>
      <c r="B30" s="930" t="s">
        <v>650</v>
      </c>
      <c r="C30" s="925"/>
      <c r="D30" s="925" t="s">
        <v>92</v>
      </c>
      <c r="E30" s="925"/>
      <c r="F30" s="964"/>
      <c r="G30" s="964"/>
      <c r="H30" s="964" t="s">
        <v>376</v>
      </c>
      <c r="I30" s="965">
        <v>526625</v>
      </c>
      <c r="J30"/>
      <c r="K30"/>
      <c r="L30"/>
      <c r="M30"/>
      <c r="N30"/>
      <c r="O30"/>
      <c r="P30"/>
      <c r="Q30"/>
      <c r="R30"/>
      <c r="S30"/>
      <c r="T30"/>
      <c r="U30"/>
      <c r="V30"/>
      <c r="W30"/>
      <c r="X30"/>
      <c r="Y30"/>
      <c r="Z30"/>
      <c r="AA30"/>
      <c r="AB30"/>
    </row>
    <row r="31" spans="1:28" s="782" customFormat="1" ht="24.95" customHeight="1" x14ac:dyDescent="0.35">
      <c r="A31" s="968">
        <v>44631</v>
      </c>
      <c r="B31" s="930" t="s">
        <v>650</v>
      </c>
      <c r="C31" s="925"/>
      <c r="D31" s="925" t="s">
        <v>92</v>
      </c>
      <c r="E31" s="925"/>
      <c r="F31" s="964"/>
      <c r="G31" s="964"/>
      <c r="H31" s="964">
        <v>4943</v>
      </c>
      <c r="I31" s="965">
        <v>5975</v>
      </c>
      <c r="J31"/>
      <c r="K31"/>
      <c r="L31"/>
      <c r="M31"/>
      <c r="N31"/>
      <c r="O31"/>
      <c r="P31"/>
      <c r="Q31"/>
      <c r="R31"/>
      <c r="S31"/>
      <c r="T31"/>
      <c r="U31"/>
      <c r="V31"/>
      <c r="W31"/>
      <c r="X31"/>
      <c r="Y31"/>
      <c r="Z31"/>
      <c r="AA31"/>
      <c r="AB31"/>
    </row>
    <row r="32" spans="1:28" s="800" customFormat="1" ht="24.95" customHeight="1" x14ac:dyDescent="0.35">
      <c r="A32" s="968">
        <v>44638</v>
      </c>
      <c r="B32" s="930" t="s">
        <v>650</v>
      </c>
      <c r="C32" s="925"/>
      <c r="D32" s="925" t="s">
        <v>92</v>
      </c>
      <c r="E32" s="925"/>
      <c r="F32" s="964"/>
      <c r="G32" s="964"/>
      <c r="H32" s="964">
        <v>4953</v>
      </c>
      <c r="I32" s="965">
        <v>4950</v>
      </c>
      <c r="J32"/>
      <c r="K32"/>
      <c r="L32"/>
      <c r="M32"/>
      <c r="N32"/>
      <c r="O32"/>
      <c r="P32"/>
      <c r="Q32"/>
      <c r="R32"/>
      <c r="S32"/>
      <c r="T32"/>
      <c r="U32"/>
      <c r="V32"/>
      <c r="W32"/>
      <c r="X32"/>
      <c r="Y32"/>
      <c r="Z32"/>
      <c r="AA32"/>
      <c r="AB32"/>
    </row>
    <row r="33" spans="1:28" s="800" customFormat="1" ht="24.95" customHeight="1" x14ac:dyDescent="0.35">
      <c r="A33" s="968">
        <v>44711</v>
      </c>
      <c r="B33" s="930" t="s">
        <v>153</v>
      </c>
      <c r="C33" s="925"/>
      <c r="D33" s="925" t="s">
        <v>92</v>
      </c>
      <c r="E33" s="925"/>
      <c r="F33" s="964"/>
      <c r="G33" s="964"/>
      <c r="H33" s="964" t="s">
        <v>181</v>
      </c>
      <c r="I33" s="965">
        <v>164667</v>
      </c>
      <c r="J33"/>
      <c r="K33"/>
      <c r="L33"/>
      <c r="M33"/>
      <c r="N33"/>
      <c r="O33"/>
      <c r="P33"/>
      <c r="Q33"/>
      <c r="R33"/>
      <c r="S33"/>
      <c r="T33"/>
      <c r="U33"/>
      <c r="V33"/>
      <c r="W33"/>
      <c r="X33"/>
      <c r="Y33"/>
      <c r="Z33"/>
      <c r="AA33"/>
      <c r="AB33"/>
    </row>
    <row r="34" spans="1:28" s="800" customFormat="1" ht="24.95" customHeight="1" x14ac:dyDescent="0.35">
      <c r="A34" s="968">
        <v>44768</v>
      </c>
      <c r="B34" s="930" t="s">
        <v>651</v>
      </c>
      <c r="C34" s="925"/>
      <c r="D34" s="925" t="s">
        <v>90</v>
      </c>
      <c r="E34" s="925"/>
      <c r="F34" s="964"/>
      <c r="G34" s="964"/>
      <c r="H34" s="964" t="s">
        <v>151</v>
      </c>
      <c r="I34" s="965">
        <v>847950.4</v>
      </c>
      <c r="J34"/>
      <c r="K34"/>
      <c r="L34"/>
      <c r="M34"/>
      <c r="N34"/>
      <c r="O34"/>
      <c r="P34"/>
      <c r="Q34"/>
      <c r="R34"/>
      <c r="S34"/>
      <c r="T34"/>
      <c r="U34"/>
      <c r="V34"/>
      <c r="W34"/>
      <c r="X34"/>
      <c r="Y34"/>
      <c r="Z34"/>
      <c r="AA34"/>
      <c r="AB34"/>
    </row>
    <row r="35" spans="1:28" s="800" customFormat="1" ht="24.95" customHeight="1" x14ac:dyDescent="0.35">
      <c r="A35" s="968">
        <v>45946</v>
      </c>
      <c r="B35" s="930" t="s">
        <v>651</v>
      </c>
      <c r="C35" s="925"/>
      <c r="D35" s="925" t="s">
        <v>90</v>
      </c>
      <c r="E35" s="925"/>
      <c r="F35" s="964"/>
      <c r="G35" s="964"/>
      <c r="H35" s="964" t="s">
        <v>641</v>
      </c>
      <c r="I35" s="965" t="s">
        <v>419</v>
      </c>
      <c r="J35"/>
      <c r="K35"/>
      <c r="L35"/>
      <c r="M35"/>
      <c r="N35"/>
      <c r="O35"/>
      <c r="P35"/>
      <c r="Q35"/>
      <c r="R35"/>
      <c r="S35"/>
      <c r="T35"/>
      <c r="U35"/>
      <c r="V35"/>
      <c r="W35"/>
      <c r="X35"/>
      <c r="Y35"/>
      <c r="Z35"/>
      <c r="AA35"/>
      <c r="AB35"/>
    </row>
    <row r="36" spans="1:28" s="800" customFormat="1" ht="24.95" customHeight="1" x14ac:dyDescent="0.35">
      <c r="A36" s="968">
        <v>44786</v>
      </c>
      <c r="B36" s="930" t="s">
        <v>652</v>
      </c>
      <c r="C36" s="925"/>
      <c r="D36" s="925" t="s">
        <v>94</v>
      </c>
      <c r="E36" s="925"/>
      <c r="F36" s="964"/>
      <c r="G36" s="964">
        <v>2136</v>
      </c>
      <c r="H36" s="964" t="s">
        <v>170</v>
      </c>
      <c r="I36" s="965">
        <v>193400</v>
      </c>
      <c r="J36"/>
      <c r="K36"/>
      <c r="L36"/>
      <c r="M36"/>
      <c r="N36"/>
      <c r="O36"/>
      <c r="P36"/>
      <c r="Q36"/>
      <c r="R36"/>
      <c r="S36"/>
      <c r="T36"/>
      <c r="U36"/>
      <c r="V36"/>
      <c r="W36"/>
      <c r="X36"/>
      <c r="Y36"/>
      <c r="Z36"/>
      <c r="AA36"/>
      <c r="AB36"/>
    </row>
    <row r="37" spans="1:28" s="800" customFormat="1" ht="24.95" customHeight="1" x14ac:dyDescent="0.35">
      <c r="A37" s="968">
        <v>44954</v>
      </c>
      <c r="B37" s="930" t="s">
        <v>480</v>
      </c>
      <c r="C37" s="925"/>
      <c r="D37" s="925" t="s">
        <v>92</v>
      </c>
      <c r="E37" s="925">
        <v>832</v>
      </c>
      <c r="F37" s="964"/>
      <c r="G37" s="964"/>
      <c r="H37" s="964">
        <v>5373</v>
      </c>
      <c r="I37" s="965">
        <v>666000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833</v>
      </c>
      <c r="F38" s="964"/>
      <c r="G38" s="964"/>
      <c r="H38" s="964">
        <v>5374</v>
      </c>
      <c r="I38" s="965">
        <v>657658.5</v>
      </c>
      <c r="J38"/>
      <c r="K38"/>
      <c r="L38"/>
      <c r="M38"/>
      <c r="N38"/>
      <c r="O38"/>
      <c r="P38"/>
      <c r="Q38"/>
      <c r="R38"/>
      <c r="S38"/>
      <c r="T38"/>
      <c r="U38"/>
      <c r="V38"/>
      <c r="W38"/>
      <c r="X38"/>
      <c r="Y38"/>
      <c r="Z38"/>
      <c r="AA38"/>
      <c r="AB38"/>
    </row>
    <row r="39" spans="1:28" s="800" customFormat="1" ht="24.95" customHeight="1" x14ac:dyDescent="0.35">
      <c r="A39" s="968">
        <v>45017</v>
      </c>
      <c r="B39" s="930" t="s">
        <v>480</v>
      </c>
      <c r="C39" s="925"/>
      <c r="D39" s="925" t="s">
        <v>92</v>
      </c>
      <c r="E39" s="925"/>
      <c r="F39" s="964"/>
      <c r="G39" s="964"/>
      <c r="H39" s="964">
        <v>5460</v>
      </c>
      <c r="I39" s="965">
        <v>413995.98</v>
      </c>
      <c r="J39"/>
      <c r="K39"/>
      <c r="L39"/>
      <c r="M39"/>
      <c r="N39"/>
      <c r="O39"/>
      <c r="P39"/>
      <c r="Q39"/>
      <c r="R39"/>
      <c r="S39"/>
      <c r="T39"/>
      <c r="U39"/>
      <c r="V39"/>
      <c r="W39"/>
      <c r="X39"/>
      <c r="Y39"/>
      <c r="Z39"/>
      <c r="AA39"/>
      <c r="AB39"/>
    </row>
    <row r="40" spans="1:28" s="800" customFormat="1" ht="24.95" customHeight="1" x14ac:dyDescent="0.35">
      <c r="A40" s="968">
        <v>45181</v>
      </c>
      <c r="B40" s="930" t="s">
        <v>480</v>
      </c>
      <c r="C40" s="925"/>
      <c r="D40" s="925" t="s">
        <v>92</v>
      </c>
      <c r="E40" s="925"/>
      <c r="F40" s="964" t="s">
        <v>654</v>
      </c>
      <c r="G40" s="964"/>
      <c r="H40" s="964">
        <v>5606</v>
      </c>
      <c r="I40" s="965">
        <v>676930.8</v>
      </c>
      <c r="J40"/>
      <c r="K40"/>
      <c r="L40"/>
      <c r="M40"/>
      <c r="N40"/>
      <c r="O40"/>
      <c r="P40"/>
      <c r="Q40"/>
      <c r="R40"/>
      <c r="S40"/>
      <c r="T40"/>
      <c r="U40"/>
      <c r="V40"/>
      <c r="W40"/>
      <c r="X40"/>
      <c r="Y40"/>
      <c r="Z40"/>
      <c r="AA40"/>
      <c r="AB40"/>
    </row>
    <row r="41" spans="1:28" s="800" customFormat="1" ht="24.95" customHeight="1" x14ac:dyDescent="0.35">
      <c r="A41" s="968">
        <v>45386</v>
      </c>
      <c r="B41" s="930" t="s">
        <v>480</v>
      </c>
      <c r="C41" s="925"/>
      <c r="D41" s="925" t="s">
        <v>90</v>
      </c>
      <c r="E41" s="925"/>
      <c r="F41" s="964"/>
      <c r="G41" s="964"/>
      <c r="H41" s="964">
        <v>5776</v>
      </c>
      <c r="I41" s="965">
        <v>455997.92</v>
      </c>
      <c r="J41"/>
      <c r="K41"/>
      <c r="L41"/>
      <c r="M41"/>
      <c r="N41"/>
      <c r="O41"/>
      <c r="P41"/>
      <c r="Q41"/>
      <c r="R41"/>
      <c r="S41"/>
      <c r="T41"/>
      <c r="U41"/>
      <c r="V41"/>
      <c r="W41"/>
      <c r="X41"/>
      <c r="Y41"/>
      <c r="Z41"/>
      <c r="AA41"/>
      <c r="AB41"/>
    </row>
    <row r="42" spans="1:28" s="800" customFormat="1" ht="24.95" customHeight="1" x14ac:dyDescent="0.35">
      <c r="A42" s="968">
        <v>45601</v>
      </c>
      <c r="B42" s="930" t="s">
        <v>480</v>
      </c>
      <c r="C42" s="925"/>
      <c r="D42" s="925" t="s">
        <v>90</v>
      </c>
      <c r="E42" s="925"/>
      <c r="F42" s="964"/>
      <c r="G42" s="964"/>
      <c r="H42" s="964">
        <v>5920</v>
      </c>
      <c r="I42" s="965">
        <v>310000</v>
      </c>
      <c r="J42"/>
      <c r="K42"/>
      <c r="L42"/>
      <c r="M42"/>
      <c r="N42"/>
      <c r="O42"/>
      <c r="P42"/>
      <c r="Q42"/>
      <c r="R42"/>
      <c r="S42"/>
      <c r="T42"/>
      <c r="U42"/>
      <c r="V42"/>
      <c r="W42"/>
      <c r="X42"/>
      <c r="Y42"/>
      <c r="Z42"/>
      <c r="AA42"/>
      <c r="AB42"/>
    </row>
    <row r="43" spans="1:28" s="800" customFormat="1" ht="24.95" customHeight="1" x14ac:dyDescent="0.35">
      <c r="A43" s="968">
        <v>45680</v>
      </c>
      <c r="B43" s="930" t="s">
        <v>480</v>
      </c>
      <c r="C43" s="925"/>
      <c r="D43" s="925" t="s">
        <v>90</v>
      </c>
      <c r="E43" s="925"/>
      <c r="F43" s="964"/>
      <c r="G43" s="964">
        <v>2343</v>
      </c>
      <c r="H43" s="964">
        <v>5979</v>
      </c>
      <c r="I43" s="965">
        <v>45000</v>
      </c>
      <c r="J43"/>
      <c r="K43"/>
      <c r="L43"/>
      <c r="M43"/>
      <c r="N43"/>
      <c r="O43"/>
      <c r="P43"/>
      <c r="Q43"/>
      <c r="R43"/>
      <c r="S43"/>
      <c r="T43"/>
      <c r="U43"/>
      <c r="V43"/>
      <c r="W43"/>
      <c r="X43"/>
      <c r="Y43"/>
      <c r="Z43"/>
      <c r="AA43"/>
      <c r="AB43"/>
    </row>
    <row r="44" spans="1:28" s="800" customFormat="1" ht="24.95" customHeight="1" x14ac:dyDescent="0.35">
      <c r="A44" s="968">
        <v>45731</v>
      </c>
      <c r="B44" s="930" t="s">
        <v>480</v>
      </c>
      <c r="C44" s="925"/>
      <c r="D44" s="925" t="s">
        <v>90</v>
      </c>
      <c r="E44" s="925"/>
      <c r="F44" s="964"/>
      <c r="G44" s="964"/>
      <c r="H44" s="964" t="s">
        <v>481</v>
      </c>
      <c r="I44" s="965" t="s">
        <v>419</v>
      </c>
      <c r="J44"/>
      <c r="K44"/>
      <c r="L44"/>
      <c r="M44"/>
      <c r="N44"/>
      <c r="O44"/>
      <c r="P44"/>
      <c r="Q44"/>
      <c r="R44"/>
      <c r="S44"/>
      <c r="T44"/>
      <c r="U44"/>
      <c r="V44"/>
      <c r="W44"/>
      <c r="X44"/>
      <c r="Y44"/>
      <c r="Z44"/>
      <c r="AA44"/>
      <c r="AB44"/>
    </row>
    <row r="45" spans="1:28" s="800" customFormat="1" ht="24.95" customHeight="1" x14ac:dyDescent="0.35">
      <c r="A45" s="968">
        <v>44977</v>
      </c>
      <c r="B45" s="930" t="s">
        <v>110</v>
      </c>
      <c r="C45" s="925"/>
      <c r="D45" s="925" t="s">
        <v>92</v>
      </c>
      <c r="E45" s="925"/>
      <c r="F45" s="964"/>
      <c r="G45" s="964"/>
      <c r="H45" s="964">
        <v>5407</v>
      </c>
      <c r="I45" s="965">
        <v>24500</v>
      </c>
      <c r="J45" t="s">
        <v>478</v>
      </c>
      <c r="K45"/>
      <c r="L45"/>
      <c r="M45"/>
      <c r="N45"/>
      <c r="O45"/>
      <c r="P45"/>
      <c r="Q45"/>
      <c r="R45"/>
      <c r="S45"/>
      <c r="T45"/>
      <c r="U45"/>
      <c r="V45"/>
      <c r="W45"/>
      <c r="X45"/>
      <c r="Y45"/>
      <c r="Z45"/>
      <c r="AA45"/>
      <c r="AB45"/>
    </row>
    <row r="46" spans="1:28" s="800" customFormat="1" ht="24.95" customHeight="1" x14ac:dyDescent="0.35">
      <c r="A46" s="968">
        <v>2023</v>
      </c>
      <c r="B46" s="930" t="s">
        <v>191</v>
      </c>
      <c r="C46" s="925"/>
      <c r="D46" s="925" t="s">
        <v>92</v>
      </c>
      <c r="E46" s="925"/>
      <c r="F46" s="964"/>
      <c r="G46" s="964"/>
      <c r="H46" s="964" t="s">
        <v>118</v>
      </c>
      <c r="I46" s="965">
        <v>67000</v>
      </c>
      <c r="J46"/>
      <c r="K46"/>
      <c r="L46"/>
      <c r="M46"/>
      <c r="N46"/>
      <c r="O46"/>
      <c r="P46"/>
      <c r="Q46"/>
      <c r="R46"/>
      <c r="S46"/>
      <c r="T46"/>
      <c r="U46"/>
      <c r="V46"/>
      <c r="W46"/>
      <c r="X46"/>
      <c r="Y46"/>
      <c r="Z46"/>
      <c r="AA46"/>
      <c r="AB46"/>
    </row>
    <row r="47" spans="1:28" s="782" customFormat="1" ht="24.95" customHeight="1" x14ac:dyDescent="0.35">
      <c r="A47" s="968">
        <v>45147</v>
      </c>
      <c r="B47" s="930" t="s">
        <v>653</v>
      </c>
      <c r="C47" s="925"/>
      <c r="D47" s="925" t="s">
        <v>92</v>
      </c>
      <c r="E47" s="925"/>
      <c r="F47" s="964"/>
      <c r="G47" s="964"/>
      <c r="H47" s="964">
        <v>5568</v>
      </c>
      <c r="I47" s="965">
        <v>10000</v>
      </c>
      <c r="J47"/>
      <c r="K47"/>
      <c r="L47"/>
      <c r="M47"/>
      <c r="N47"/>
      <c r="O47"/>
      <c r="P47"/>
      <c r="Q47"/>
      <c r="R47"/>
      <c r="S47"/>
      <c r="T47"/>
      <c r="U47"/>
      <c r="V47"/>
      <c r="W47"/>
      <c r="X47"/>
      <c r="Y47"/>
      <c r="Z47"/>
      <c r="AA47"/>
      <c r="AB47"/>
    </row>
    <row r="48" spans="1:28" s="782" customFormat="1" ht="24.95" customHeight="1" x14ac:dyDescent="0.35">
      <c r="A48" s="968">
        <v>45195</v>
      </c>
      <c r="B48" s="930" t="s">
        <v>271</v>
      </c>
      <c r="C48" s="925"/>
      <c r="D48" s="925" t="s">
        <v>92</v>
      </c>
      <c r="E48" s="925"/>
      <c r="F48" s="964"/>
      <c r="G48" s="964"/>
      <c r="H48" s="964" t="s">
        <v>272</v>
      </c>
      <c r="I48" s="965">
        <v>2339.29</v>
      </c>
      <c r="J48"/>
      <c r="K48"/>
      <c r="L48"/>
      <c r="M48"/>
      <c r="N48"/>
      <c r="O48"/>
      <c r="P48"/>
      <c r="Q48"/>
      <c r="R48"/>
      <c r="S48"/>
      <c r="T48"/>
      <c r="U48"/>
      <c r="V48"/>
      <c r="W48"/>
      <c r="X48"/>
      <c r="Y48"/>
      <c r="Z48"/>
      <c r="AA48"/>
      <c r="AB48"/>
    </row>
    <row r="49" spans="1:28" s="782" customFormat="1" ht="24.95" customHeight="1" x14ac:dyDescent="0.35">
      <c r="A49" s="968">
        <v>45859</v>
      </c>
      <c r="B49" s="930" t="s">
        <v>271</v>
      </c>
      <c r="C49" s="925"/>
      <c r="D49" s="925" t="s">
        <v>282</v>
      </c>
      <c r="E49" s="925"/>
      <c r="F49" s="964"/>
      <c r="G49" s="964"/>
      <c r="H49" s="964" t="s">
        <v>572</v>
      </c>
      <c r="I49" s="965">
        <v>9850</v>
      </c>
      <c r="J49"/>
      <c r="K49"/>
      <c r="L49"/>
      <c r="M49"/>
      <c r="N49"/>
      <c r="O49"/>
      <c r="P49"/>
      <c r="Q49"/>
      <c r="R49"/>
      <c r="S49"/>
      <c r="T49"/>
      <c r="U49"/>
      <c r="V49"/>
      <c r="W49"/>
      <c r="X49"/>
      <c r="Y49"/>
      <c r="Z49"/>
      <c r="AA49"/>
      <c r="AB49"/>
    </row>
    <row r="50" spans="1:28" s="782" customFormat="1" ht="24.95" customHeight="1" x14ac:dyDescent="0.35">
      <c r="A50" s="968">
        <v>45300</v>
      </c>
      <c r="B50" s="930" t="s">
        <v>417</v>
      </c>
      <c r="C50" s="925"/>
      <c r="D50" s="925" t="s">
        <v>90</v>
      </c>
      <c r="E50" s="925"/>
      <c r="F50" s="964"/>
      <c r="G50" s="964"/>
      <c r="H50" s="964" t="s">
        <v>327</v>
      </c>
      <c r="I50" s="965">
        <v>16550</v>
      </c>
      <c r="J50"/>
      <c r="K50"/>
      <c r="L50"/>
      <c r="M50"/>
      <c r="N50"/>
      <c r="O50"/>
      <c r="P50"/>
      <c r="Q50"/>
      <c r="R50"/>
      <c r="S50"/>
      <c r="T50"/>
      <c r="U50"/>
      <c r="V50"/>
      <c r="W50"/>
      <c r="X50"/>
      <c r="Y50"/>
      <c r="Z50"/>
      <c r="AA50"/>
      <c r="AB50"/>
    </row>
    <row r="51" spans="1:28" s="782" customFormat="1" ht="24.95" customHeight="1" x14ac:dyDescent="0.35">
      <c r="A51" s="968">
        <v>45582</v>
      </c>
      <c r="B51" s="930" t="s">
        <v>417</v>
      </c>
      <c r="C51" s="925"/>
      <c r="D51" s="925" t="s">
        <v>90</v>
      </c>
      <c r="E51" s="925"/>
      <c r="F51" s="964"/>
      <c r="G51" s="964"/>
      <c r="H51" s="964" t="s">
        <v>656</v>
      </c>
      <c r="I51" s="965">
        <v>73520</v>
      </c>
      <c r="J51"/>
      <c r="K51"/>
      <c r="L51"/>
      <c r="M51"/>
      <c r="N51"/>
      <c r="O51"/>
      <c r="P51"/>
      <c r="Q51"/>
      <c r="R51"/>
      <c r="S51"/>
      <c r="T51"/>
      <c r="U51"/>
      <c r="V51"/>
      <c r="W51"/>
      <c r="X51"/>
      <c r="Y51"/>
      <c r="Z51"/>
      <c r="AA51"/>
      <c r="AB51"/>
    </row>
    <row r="52" spans="1:28" s="782" customFormat="1" ht="24.95" customHeight="1" x14ac:dyDescent="0.35">
      <c r="A52" s="968" t="s">
        <v>421</v>
      </c>
      <c r="B52" s="930" t="s">
        <v>417</v>
      </c>
      <c r="C52" s="925"/>
      <c r="D52" s="925" t="s">
        <v>90</v>
      </c>
      <c r="E52" s="925"/>
      <c r="F52" s="964"/>
      <c r="G52" s="964"/>
      <c r="H52" s="964" t="s">
        <v>456</v>
      </c>
      <c r="I52" s="965" t="s">
        <v>419</v>
      </c>
      <c r="J52"/>
      <c r="K52"/>
      <c r="L52"/>
      <c r="M52"/>
      <c r="N52"/>
      <c r="O52"/>
      <c r="P52"/>
      <c r="Q52"/>
      <c r="R52"/>
      <c r="S52"/>
      <c r="T52"/>
      <c r="U52"/>
      <c r="V52"/>
      <c r="W52"/>
      <c r="X52"/>
      <c r="Y52"/>
      <c r="Z52"/>
      <c r="AA52"/>
      <c r="AB52"/>
    </row>
    <row r="53" spans="1:28" s="782" customFormat="1" ht="24.95" customHeight="1" x14ac:dyDescent="0.35">
      <c r="A53" s="968">
        <v>45897</v>
      </c>
      <c r="B53" s="930" t="s">
        <v>417</v>
      </c>
      <c r="C53" s="925"/>
      <c r="D53" s="925" t="s">
        <v>90</v>
      </c>
      <c r="E53" s="925"/>
      <c r="F53" s="964"/>
      <c r="G53" s="964"/>
      <c r="H53" s="964" t="s">
        <v>609</v>
      </c>
      <c r="I53" s="965" t="s">
        <v>419</v>
      </c>
      <c r="J53"/>
      <c r="K53"/>
      <c r="L53"/>
      <c r="M53"/>
      <c r="N53"/>
      <c r="O53"/>
      <c r="P53"/>
      <c r="Q53"/>
      <c r="R53"/>
      <c r="S53"/>
      <c r="T53"/>
      <c r="U53"/>
      <c r="V53"/>
      <c r="W53"/>
      <c r="X53"/>
      <c r="Y53"/>
      <c r="Z53"/>
      <c r="AA53"/>
      <c r="AB53"/>
    </row>
    <row r="54" spans="1:28" s="782" customFormat="1" ht="24.95" customHeight="1" x14ac:dyDescent="0.35">
      <c r="A54" s="968">
        <v>45985</v>
      </c>
      <c r="B54" s="930" t="s">
        <v>417</v>
      </c>
      <c r="C54" s="925"/>
      <c r="D54" s="925" t="s">
        <v>90</v>
      </c>
      <c r="E54" s="925"/>
      <c r="F54" s="964"/>
      <c r="G54" s="964"/>
      <c r="H54" s="964" t="s">
        <v>688</v>
      </c>
      <c r="I54" s="965" t="s">
        <v>419</v>
      </c>
      <c r="J54"/>
      <c r="K54"/>
      <c r="L54"/>
      <c r="M54"/>
      <c r="N54"/>
      <c r="O54"/>
      <c r="P54"/>
      <c r="Q54"/>
      <c r="R54"/>
      <c r="S54"/>
      <c r="T54"/>
      <c r="U54"/>
      <c r="V54"/>
      <c r="W54"/>
      <c r="X54"/>
      <c r="Y54"/>
      <c r="Z54"/>
      <c r="AA54"/>
      <c r="AB54"/>
    </row>
    <row r="55" spans="1:28" s="782" customFormat="1" ht="24.95" customHeight="1" x14ac:dyDescent="0.35">
      <c r="A55" s="968">
        <v>45313</v>
      </c>
      <c r="B55" s="930" t="s">
        <v>230</v>
      </c>
      <c r="C55" s="925"/>
      <c r="D55" s="925" t="s">
        <v>92</v>
      </c>
      <c r="E55" s="925"/>
      <c r="F55" s="964"/>
      <c r="G55" s="964"/>
      <c r="H55" s="964">
        <v>5715</v>
      </c>
      <c r="I55" s="965">
        <v>78</v>
      </c>
      <c r="J55"/>
      <c r="K55"/>
      <c r="L55"/>
      <c r="M55"/>
      <c r="N55"/>
      <c r="O55"/>
      <c r="P55"/>
      <c r="Q55"/>
      <c r="R55"/>
      <c r="S55"/>
      <c r="T55"/>
      <c r="U55"/>
      <c r="V55"/>
      <c r="W55"/>
      <c r="X55"/>
      <c r="Y55"/>
      <c r="Z55"/>
      <c r="AA55"/>
      <c r="AB55"/>
    </row>
    <row r="56" spans="1:28" s="782" customFormat="1" ht="24.95" customHeight="1" x14ac:dyDescent="0.35">
      <c r="A56" s="968">
        <v>45371</v>
      </c>
      <c r="B56" s="930" t="s">
        <v>655</v>
      </c>
      <c r="C56" s="925"/>
      <c r="D56" s="925" t="s">
        <v>221</v>
      </c>
      <c r="E56" s="925"/>
      <c r="F56" s="964"/>
      <c r="G56" s="964"/>
      <c r="H56" s="964">
        <v>5769</v>
      </c>
      <c r="I56" s="965">
        <v>250</v>
      </c>
      <c r="J56"/>
      <c r="K56"/>
      <c r="L56"/>
      <c r="M56"/>
      <c r="N56"/>
      <c r="O56"/>
      <c r="P56"/>
      <c r="Q56"/>
      <c r="R56"/>
      <c r="S56"/>
      <c r="T56"/>
      <c r="U56"/>
      <c r="V56"/>
      <c r="W56"/>
      <c r="X56"/>
      <c r="Y56"/>
      <c r="Z56"/>
      <c r="AA56"/>
      <c r="AB56"/>
    </row>
    <row r="57" spans="1:28" s="782" customFormat="1" ht="24.95" customHeight="1" x14ac:dyDescent="0.35">
      <c r="A57" s="968">
        <v>45421</v>
      </c>
      <c r="B57" s="930" t="s">
        <v>545</v>
      </c>
      <c r="C57" s="925"/>
      <c r="D57" s="925" t="s">
        <v>90</v>
      </c>
      <c r="E57" s="925"/>
      <c r="F57" s="964"/>
      <c r="G57" s="964"/>
      <c r="H57" s="964">
        <v>5799</v>
      </c>
      <c r="I57" s="965">
        <v>101150</v>
      </c>
      <c r="J57"/>
      <c r="K57"/>
      <c r="L57"/>
      <c r="M57"/>
      <c r="N57"/>
      <c r="O57"/>
      <c r="P57"/>
      <c r="Q57"/>
      <c r="R57"/>
      <c r="S57"/>
      <c r="T57"/>
      <c r="U57"/>
      <c r="V57"/>
      <c r="W57"/>
      <c r="X57"/>
      <c r="Y57"/>
      <c r="Z57"/>
      <c r="AA57"/>
      <c r="AB57"/>
    </row>
    <row r="58" spans="1:28" s="782" customFormat="1" ht="24.95" customHeight="1" x14ac:dyDescent="0.35">
      <c r="A58" s="968">
        <v>45512</v>
      </c>
      <c r="B58" s="930" t="s">
        <v>545</v>
      </c>
      <c r="C58" s="925"/>
      <c r="D58" s="925" t="s">
        <v>90</v>
      </c>
      <c r="E58" s="925"/>
      <c r="F58" s="964"/>
      <c r="G58" s="964"/>
      <c r="H58" s="964">
        <v>5860</v>
      </c>
      <c r="I58" s="965">
        <v>194000</v>
      </c>
      <c r="J58"/>
      <c r="K58"/>
      <c r="L58"/>
      <c r="M58"/>
      <c r="N58"/>
      <c r="O58"/>
      <c r="P58"/>
      <c r="Q58"/>
      <c r="R58"/>
      <c r="S58"/>
      <c r="T58"/>
      <c r="U58"/>
      <c r="V58"/>
      <c r="W58"/>
      <c r="X58"/>
      <c r="Y58"/>
      <c r="Z58"/>
      <c r="AA58"/>
      <c r="AB58"/>
    </row>
    <row r="59" spans="1:28" s="813" customFormat="1" ht="24.95" customHeight="1" x14ac:dyDescent="0.35">
      <c r="A59" s="968">
        <v>45539</v>
      </c>
      <c r="B59" s="930" t="s">
        <v>545</v>
      </c>
      <c r="C59" s="925"/>
      <c r="D59" s="925" t="s">
        <v>90</v>
      </c>
      <c r="E59" s="925"/>
      <c r="F59" s="964"/>
      <c r="G59" s="964"/>
      <c r="H59" s="964">
        <v>5881</v>
      </c>
      <c r="I59" s="965" t="s">
        <v>419</v>
      </c>
      <c r="J59"/>
      <c r="K59"/>
      <c r="L59"/>
      <c r="M59"/>
      <c r="N59"/>
      <c r="O59"/>
      <c r="P59"/>
      <c r="Q59"/>
      <c r="R59"/>
      <c r="S59"/>
      <c r="T59"/>
      <c r="U59"/>
      <c r="V59"/>
      <c r="W59"/>
      <c r="X59"/>
      <c r="Y59"/>
      <c r="Z59"/>
      <c r="AA59"/>
      <c r="AB59"/>
    </row>
    <row r="60" spans="1:28" s="813" customFormat="1" ht="24.95" customHeight="1" x14ac:dyDescent="0.35">
      <c r="A60" s="968" t="s">
        <v>658</v>
      </c>
      <c r="B60" s="930" t="s">
        <v>545</v>
      </c>
      <c r="C60" s="925"/>
      <c r="D60" s="925" t="s">
        <v>90</v>
      </c>
      <c r="E60" s="925"/>
      <c r="F60" s="964"/>
      <c r="G60" s="964"/>
      <c r="H60" s="964" t="s">
        <v>498</v>
      </c>
      <c r="I60" s="965">
        <v>167500</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t="s">
        <v>503</v>
      </c>
      <c r="I61" s="965" t="s">
        <v>419</v>
      </c>
      <c r="J61"/>
      <c r="K61"/>
      <c r="L61"/>
      <c r="M61"/>
      <c r="N61"/>
      <c r="O61"/>
      <c r="P61"/>
      <c r="Q61"/>
      <c r="R61"/>
      <c r="S61"/>
      <c r="T61"/>
      <c r="U61"/>
      <c r="V61"/>
      <c r="W61"/>
      <c r="X61"/>
      <c r="Y61"/>
      <c r="Z61"/>
      <c r="AA61"/>
      <c r="AB61"/>
    </row>
    <row r="62" spans="1:28" s="813" customFormat="1" ht="24.95" customHeight="1" x14ac:dyDescent="0.35">
      <c r="A62" s="968" t="s">
        <v>421</v>
      </c>
      <c r="B62" s="930" t="s">
        <v>545</v>
      </c>
      <c r="C62" s="925"/>
      <c r="D62" s="925" t="s">
        <v>90</v>
      </c>
      <c r="E62" s="925"/>
      <c r="F62" s="964"/>
      <c r="G62" s="964"/>
      <c r="H62" s="964" t="s">
        <v>582</v>
      </c>
      <c r="I62" s="965">
        <v>948000</v>
      </c>
      <c r="J62"/>
      <c r="K62"/>
      <c r="L62"/>
      <c r="M62"/>
      <c r="N62"/>
      <c r="O62"/>
      <c r="P62"/>
      <c r="Q62"/>
      <c r="R62"/>
      <c r="S62"/>
      <c r="T62"/>
      <c r="U62"/>
      <c r="V62"/>
      <c r="W62"/>
      <c r="X62"/>
      <c r="Y62"/>
      <c r="Z62"/>
      <c r="AA62"/>
      <c r="AB62"/>
    </row>
    <row r="63" spans="1:28" s="813" customFormat="1" ht="24.95" customHeight="1" x14ac:dyDescent="0.35">
      <c r="A63" s="968" t="s">
        <v>421</v>
      </c>
      <c r="B63" s="930" t="s">
        <v>545</v>
      </c>
      <c r="C63" s="925"/>
      <c r="D63" s="925" t="s">
        <v>90</v>
      </c>
      <c r="E63" s="925"/>
      <c r="F63" s="964" t="s">
        <v>676</v>
      </c>
      <c r="G63" s="964"/>
      <c r="H63" s="964" t="s">
        <v>603</v>
      </c>
      <c r="I63" s="965">
        <v>685000</v>
      </c>
      <c r="J63"/>
      <c r="K63"/>
      <c r="L63"/>
      <c r="M63"/>
      <c r="N63"/>
      <c r="O63"/>
      <c r="P63"/>
      <c r="Q63"/>
      <c r="R63"/>
      <c r="S63"/>
      <c r="T63"/>
      <c r="U63"/>
      <c r="V63"/>
      <c r="W63"/>
      <c r="X63"/>
      <c r="Y63"/>
      <c r="Z63"/>
      <c r="AA63"/>
      <c r="AB63"/>
    </row>
    <row r="64" spans="1:28" s="813" customFormat="1" ht="24.95" customHeight="1" x14ac:dyDescent="0.35">
      <c r="A64" s="968">
        <v>45952</v>
      </c>
      <c r="B64" s="930" t="s">
        <v>545</v>
      </c>
      <c r="C64" s="925"/>
      <c r="D64" s="925" t="s">
        <v>90</v>
      </c>
      <c r="E64" s="925"/>
      <c r="F64" s="964"/>
      <c r="G64" s="964"/>
      <c r="H64" s="964" t="s">
        <v>645</v>
      </c>
      <c r="I64" s="965" t="s">
        <v>419</v>
      </c>
      <c r="J64"/>
      <c r="K64"/>
      <c r="L64"/>
      <c r="M64"/>
      <c r="N64"/>
      <c r="O64"/>
      <c r="P64"/>
      <c r="Q64"/>
      <c r="R64"/>
      <c r="S64"/>
      <c r="T64"/>
      <c r="U64"/>
      <c r="V64"/>
      <c r="W64"/>
      <c r="X64"/>
      <c r="Y64"/>
      <c r="Z64"/>
      <c r="AA64"/>
      <c r="AB64"/>
    </row>
    <row r="65" spans="1:28" s="813" customFormat="1" ht="24.95" customHeight="1" x14ac:dyDescent="0.35">
      <c r="A65" s="968">
        <v>45985</v>
      </c>
      <c r="B65" s="930" t="s">
        <v>545</v>
      </c>
      <c r="C65" s="925"/>
      <c r="D65" s="925" t="s">
        <v>90</v>
      </c>
      <c r="E65" s="925"/>
      <c r="F65" s="964"/>
      <c r="G65" s="964"/>
      <c r="H65" s="964" t="s">
        <v>819</v>
      </c>
      <c r="I65" s="965" t="s">
        <v>419</v>
      </c>
      <c r="J65"/>
      <c r="K65"/>
      <c r="L65"/>
      <c r="M65"/>
      <c r="N65"/>
      <c r="O65"/>
      <c r="P65"/>
      <c r="Q65"/>
      <c r="R65"/>
      <c r="S65"/>
      <c r="T65"/>
      <c r="U65"/>
      <c r="V65"/>
      <c r="W65"/>
      <c r="X65"/>
      <c r="Y65"/>
      <c r="Z65"/>
      <c r="AA65"/>
      <c r="AB65"/>
    </row>
    <row r="66" spans="1:28" s="813" customFormat="1" ht="24.95" customHeight="1" x14ac:dyDescent="0.35">
      <c r="A66" s="968">
        <v>45986</v>
      </c>
      <c r="B66" s="930" t="s">
        <v>545</v>
      </c>
      <c r="C66" s="925"/>
      <c r="D66" s="925" t="s">
        <v>90</v>
      </c>
      <c r="E66" s="925"/>
      <c r="F66" s="964"/>
      <c r="G66" s="964"/>
      <c r="H66" s="964" t="s">
        <v>689</v>
      </c>
      <c r="I66" s="965" t="s">
        <v>419</v>
      </c>
      <c r="J66"/>
      <c r="K66"/>
      <c r="L66"/>
      <c r="M66"/>
      <c r="N66"/>
      <c r="O66"/>
      <c r="P66"/>
      <c r="Q66"/>
      <c r="R66"/>
      <c r="S66"/>
      <c r="T66"/>
      <c r="U66"/>
      <c r="V66"/>
      <c r="W66"/>
      <c r="X66"/>
      <c r="Y66"/>
      <c r="Z66"/>
      <c r="AA66"/>
      <c r="AB66"/>
    </row>
    <row r="67" spans="1:28" s="813" customFormat="1" ht="24.95" customHeight="1" x14ac:dyDescent="0.35">
      <c r="A67" s="968">
        <v>46042</v>
      </c>
      <c r="B67" s="930" t="s">
        <v>545</v>
      </c>
      <c r="C67" s="925"/>
      <c r="D67" s="925" t="s">
        <v>90</v>
      </c>
      <c r="E67" s="925"/>
      <c r="F67" s="964"/>
      <c r="G67" s="964"/>
      <c r="H67" s="964" t="s">
        <v>728</v>
      </c>
      <c r="I67" s="965" t="s">
        <v>419</v>
      </c>
      <c r="J67"/>
      <c r="K67"/>
      <c r="L67"/>
      <c r="M67"/>
      <c r="N67"/>
      <c r="O67"/>
      <c r="P67"/>
      <c r="Q67"/>
      <c r="R67"/>
      <c r="S67"/>
      <c r="T67"/>
      <c r="U67"/>
      <c r="V67"/>
      <c r="W67"/>
      <c r="X67"/>
      <c r="Y67"/>
      <c r="Z67"/>
      <c r="AA67"/>
      <c r="AB67"/>
    </row>
    <row r="68" spans="1:28" s="813" customFormat="1" ht="24.95" customHeight="1" x14ac:dyDescent="0.35">
      <c r="A68" s="968">
        <v>46042</v>
      </c>
      <c r="B68" s="930" t="s">
        <v>545</v>
      </c>
      <c r="C68" s="925"/>
      <c r="D68" s="925" t="s">
        <v>90</v>
      </c>
      <c r="E68" s="925"/>
      <c r="F68" s="964"/>
      <c r="G68" s="964"/>
      <c r="H68" s="964" t="s">
        <v>729</v>
      </c>
      <c r="I68" s="965" t="s">
        <v>419</v>
      </c>
      <c r="J68"/>
      <c r="K68"/>
      <c r="L68"/>
      <c r="M68"/>
      <c r="N68"/>
      <c r="O68"/>
      <c r="P68"/>
      <c r="Q68"/>
      <c r="R68"/>
      <c r="S68"/>
      <c r="T68"/>
      <c r="U68"/>
      <c r="V68"/>
      <c r="W68"/>
      <c r="X68"/>
      <c r="Y68"/>
      <c r="Z68"/>
      <c r="AA68"/>
      <c r="AB68"/>
    </row>
    <row r="69" spans="1:28" s="813" customFormat="1" ht="24.95" customHeight="1" x14ac:dyDescent="0.35">
      <c r="A69" s="968">
        <v>46057</v>
      </c>
      <c r="B69" s="930" t="s">
        <v>545</v>
      </c>
      <c r="C69" s="925"/>
      <c r="D69" s="925" t="s">
        <v>90</v>
      </c>
      <c r="E69" s="925"/>
      <c r="F69" s="964"/>
      <c r="G69" s="964"/>
      <c r="H69" s="964" t="s">
        <v>768</v>
      </c>
      <c r="I69" s="965" t="s">
        <v>419</v>
      </c>
      <c r="J69"/>
      <c r="K69"/>
      <c r="L69"/>
      <c r="M69"/>
      <c r="N69"/>
      <c r="O69"/>
      <c r="P69"/>
      <c r="Q69"/>
      <c r="R69"/>
      <c r="S69"/>
      <c r="T69"/>
      <c r="U69"/>
      <c r="V69"/>
      <c r="W69"/>
      <c r="X69"/>
      <c r="Y69"/>
      <c r="Z69"/>
      <c r="AA69"/>
      <c r="AB69"/>
    </row>
    <row r="70" spans="1:28" s="813" customFormat="1" ht="24.95" customHeight="1" x14ac:dyDescent="0.35">
      <c r="A70" s="968"/>
      <c r="B70" s="930" t="s">
        <v>545</v>
      </c>
      <c r="C70" s="925"/>
      <c r="D70" s="925" t="s">
        <v>90</v>
      </c>
      <c r="E70" s="925"/>
      <c r="F70" s="964"/>
      <c r="G70" s="964"/>
      <c r="H70" s="964" t="s">
        <v>780</v>
      </c>
      <c r="I70" s="965" t="s">
        <v>419</v>
      </c>
      <c r="J70"/>
      <c r="K70"/>
      <c r="L70"/>
      <c r="M70"/>
      <c r="N70"/>
      <c r="O70"/>
      <c r="P70"/>
      <c r="Q70"/>
      <c r="R70"/>
      <c r="S70"/>
      <c r="T70"/>
      <c r="U70"/>
      <c r="V70"/>
      <c r="W70"/>
      <c r="X70"/>
      <c r="Y70"/>
      <c r="Z70"/>
      <c r="AA70"/>
      <c r="AB70"/>
    </row>
    <row r="71" spans="1:28" s="813" customFormat="1" ht="24.95" customHeight="1" x14ac:dyDescent="0.35">
      <c r="A71" s="968"/>
      <c r="B71" s="930" t="s">
        <v>545</v>
      </c>
      <c r="C71" s="925"/>
      <c r="D71" s="925" t="s">
        <v>90</v>
      </c>
      <c r="E71" s="925"/>
      <c r="F71" s="964"/>
      <c r="G71" s="964"/>
      <c r="H71" s="964" t="s">
        <v>781</v>
      </c>
      <c r="I71" s="965" t="s">
        <v>419</v>
      </c>
      <c r="J71"/>
      <c r="K71"/>
      <c r="L71"/>
      <c r="M71"/>
      <c r="N71"/>
      <c r="O71"/>
      <c r="P71"/>
      <c r="Q71"/>
      <c r="R71"/>
      <c r="S71"/>
      <c r="T71"/>
      <c r="U71"/>
      <c r="V71"/>
      <c r="W71"/>
      <c r="X71"/>
      <c r="Y71"/>
      <c r="Z71"/>
      <c r="AA71"/>
      <c r="AB71"/>
    </row>
    <row r="72" spans="1:28" s="813" customFormat="1" ht="24.95" customHeight="1" x14ac:dyDescent="0.35">
      <c r="A72" s="968">
        <v>46106</v>
      </c>
      <c r="B72" s="930" t="s">
        <v>545</v>
      </c>
      <c r="C72" s="925"/>
      <c r="D72" s="925" t="s">
        <v>90</v>
      </c>
      <c r="E72" s="925"/>
      <c r="F72" s="964"/>
      <c r="G72" s="964"/>
      <c r="H72" s="964" t="s">
        <v>836</v>
      </c>
      <c r="I72" s="965" t="s">
        <v>419</v>
      </c>
      <c r="J72"/>
      <c r="K72"/>
      <c r="L72"/>
      <c r="M72"/>
      <c r="N72"/>
      <c r="O72"/>
      <c r="P72"/>
      <c r="Q72"/>
      <c r="R72"/>
      <c r="S72"/>
      <c r="T72"/>
      <c r="U72"/>
      <c r="V72"/>
      <c r="W72"/>
      <c r="X72"/>
      <c r="Y72"/>
      <c r="Z72"/>
      <c r="AA72"/>
      <c r="AB72"/>
    </row>
    <row r="73" spans="1:28" s="813" customFormat="1" ht="24.95" customHeight="1" x14ac:dyDescent="0.35">
      <c r="A73" s="968">
        <v>46106</v>
      </c>
      <c r="B73" s="930" t="s">
        <v>545</v>
      </c>
      <c r="C73" s="925"/>
      <c r="D73" s="925" t="s">
        <v>90</v>
      </c>
      <c r="E73" s="925"/>
      <c r="F73" s="964"/>
      <c r="G73" s="964"/>
      <c r="H73" s="964" t="s">
        <v>837</v>
      </c>
      <c r="I73" s="965" t="s">
        <v>419</v>
      </c>
      <c r="J73"/>
      <c r="K73"/>
      <c r="L73"/>
      <c r="M73"/>
      <c r="N73"/>
      <c r="O73"/>
      <c r="P73"/>
      <c r="Q73"/>
      <c r="R73"/>
      <c r="S73"/>
      <c r="T73"/>
      <c r="U73"/>
      <c r="V73"/>
      <c r="W73"/>
      <c r="X73"/>
      <c r="Y73"/>
      <c r="Z73"/>
      <c r="AA73"/>
      <c r="AB73"/>
    </row>
    <row r="74" spans="1:28" s="813" customFormat="1" ht="24.95" customHeight="1" x14ac:dyDescent="0.35">
      <c r="A74" s="968">
        <v>45630</v>
      </c>
      <c r="B74" s="930" t="s">
        <v>466</v>
      </c>
      <c r="C74" s="925"/>
      <c r="D74" s="925" t="s">
        <v>92</v>
      </c>
      <c r="E74" s="925"/>
      <c r="F74" s="964"/>
      <c r="G74" s="964"/>
      <c r="H74" s="964">
        <v>5939</v>
      </c>
      <c r="I74" s="965">
        <v>297900</v>
      </c>
      <c r="J74"/>
      <c r="K74"/>
      <c r="L74"/>
      <c r="M74"/>
      <c r="N74"/>
      <c r="O74"/>
      <c r="P74"/>
      <c r="Q74"/>
      <c r="R74"/>
      <c r="S74"/>
      <c r="T74"/>
      <c r="U74"/>
      <c r="V74"/>
      <c r="W74"/>
      <c r="X74"/>
      <c r="Y74"/>
      <c r="Z74"/>
      <c r="AA74"/>
      <c r="AB74"/>
    </row>
    <row r="75" spans="1:28" s="813" customFormat="1" ht="24.95" customHeight="1" x14ac:dyDescent="0.35">
      <c r="A75" s="968" t="s">
        <v>421</v>
      </c>
      <c r="B75" s="930" t="s">
        <v>270</v>
      </c>
      <c r="C75" s="925"/>
      <c r="D75" s="925" t="s">
        <v>90</v>
      </c>
      <c r="E75" s="925"/>
      <c r="F75" s="964"/>
      <c r="G75" s="964"/>
      <c r="H75" s="964">
        <v>5950</v>
      </c>
      <c r="I75" s="965" t="s">
        <v>419</v>
      </c>
      <c r="J75"/>
      <c r="K75"/>
      <c r="L75"/>
      <c r="M75"/>
      <c r="N75"/>
      <c r="O75"/>
      <c r="P75"/>
      <c r="Q75"/>
      <c r="R75"/>
      <c r="S75"/>
      <c r="T75"/>
      <c r="U75"/>
      <c r="V75"/>
      <c r="W75"/>
      <c r="X75"/>
      <c r="Y75"/>
      <c r="Z75"/>
      <c r="AA75"/>
      <c r="AB75"/>
    </row>
    <row r="76" spans="1:28" s="813" customFormat="1" ht="24.95" customHeight="1" x14ac:dyDescent="0.35">
      <c r="A76" s="968">
        <v>45700</v>
      </c>
      <c r="B76" s="930" t="s">
        <v>270</v>
      </c>
      <c r="C76" s="925"/>
      <c r="D76" s="925" t="s">
        <v>90</v>
      </c>
      <c r="E76" s="925"/>
      <c r="F76" s="964"/>
      <c r="G76" s="964"/>
      <c r="H76" s="964">
        <v>5990</v>
      </c>
      <c r="I76" s="965">
        <v>1200</v>
      </c>
      <c r="J76"/>
      <c r="K76"/>
      <c r="L76"/>
      <c r="M76"/>
      <c r="N76"/>
      <c r="O76"/>
      <c r="P76"/>
      <c r="Q76"/>
      <c r="R76"/>
      <c r="S76"/>
      <c r="T76"/>
      <c r="U76"/>
      <c r="V76"/>
      <c r="W76"/>
      <c r="X76"/>
      <c r="Y76"/>
      <c r="Z76"/>
      <c r="AA76"/>
      <c r="AB76"/>
    </row>
    <row r="77" spans="1:28" s="813" customFormat="1" ht="24.95" customHeight="1" x14ac:dyDescent="0.35">
      <c r="A77" s="968">
        <v>45896</v>
      </c>
      <c r="B77" s="930" t="s">
        <v>270</v>
      </c>
      <c r="C77" s="925"/>
      <c r="D77" s="925" t="s">
        <v>90</v>
      </c>
      <c r="E77" s="925"/>
      <c r="F77" s="964"/>
      <c r="G77" s="964"/>
      <c r="H77" s="964" t="s">
        <v>601</v>
      </c>
      <c r="I77" s="965" t="s">
        <v>419</v>
      </c>
      <c r="J77"/>
      <c r="K77"/>
      <c r="L77"/>
      <c r="M77"/>
      <c r="N77"/>
      <c r="O77"/>
      <c r="P77"/>
      <c r="Q77"/>
      <c r="R77"/>
      <c r="S77"/>
      <c r="T77"/>
      <c r="U77"/>
      <c r="V77"/>
      <c r="W77"/>
      <c r="X77"/>
      <c r="Y77"/>
      <c r="Z77"/>
      <c r="AA77"/>
      <c r="AB77"/>
    </row>
    <row r="78" spans="1:28" s="813" customFormat="1" ht="24.95" customHeight="1" x14ac:dyDescent="0.35">
      <c r="A78" s="968">
        <v>45946</v>
      </c>
      <c r="B78" s="930" t="s">
        <v>270</v>
      </c>
      <c r="C78" s="925"/>
      <c r="D78" s="925" t="s">
        <v>90</v>
      </c>
      <c r="E78" s="925"/>
      <c r="F78" s="964"/>
      <c r="G78" s="964"/>
      <c r="H78" s="964" t="s">
        <v>638</v>
      </c>
      <c r="I78" s="965">
        <v>100000</v>
      </c>
      <c r="J78"/>
      <c r="K78"/>
      <c r="L78"/>
      <c r="M78"/>
      <c r="N78"/>
      <c r="O78"/>
      <c r="P78"/>
      <c r="Q78"/>
      <c r="R78"/>
      <c r="S78"/>
      <c r="T78"/>
      <c r="U78"/>
      <c r="V78"/>
      <c r="W78"/>
      <c r="X78"/>
      <c r="Y78"/>
      <c r="Z78"/>
      <c r="AA78"/>
      <c r="AB78"/>
    </row>
    <row r="79" spans="1:28" s="813" customFormat="1" ht="24.95" customHeight="1" x14ac:dyDescent="0.35">
      <c r="A79" s="968">
        <v>45946</v>
      </c>
      <c r="B79" s="930" t="s">
        <v>270</v>
      </c>
      <c r="C79" s="925"/>
      <c r="D79" s="925" t="s">
        <v>90</v>
      </c>
      <c r="E79" s="925"/>
      <c r="F79" s="964"/>
      <c r="G79" s="964"/>
      <c r="H79" s="964" t="s">
        <v>639</v>
      </c>
      <c r="I79" s="965">
        <v>89000</v>
      </c>
      <c r="J79"/>
      <c r="K79"/>
      <c r="L79"/>
      <c r="M79"/>
      <c r="N79"/>
      <c r="O79"/>
      <c r="P79"/>
      <c r="Q79"/>
      <c r="R79"/>
      <c r="S79"/>
      <c r="T79"/>
      <c r="U79"/>
      <c r="V79"/>
      <c r="W79"/>
      <c r="X79"/>
      <c r="Y79"/>
      <c r="Z79"/>
      <c r="AA79"/>
      <c r="AB79"/>
    </row>
    <row r="80" spans="1:28" s="813" customFormat="1" ht="24.95" customHeight="1" x14ac:dyDescent="0.35">
      <c r="A80" s="968">
        <v>45946</v>
      </c>
      <c r="B80" s="930" t="s">
        <v>270</v>
      </c>
      <c r="C80" s="925"/>
      <c r="D80" s="925" t="s">
        <v>90</v>
      </c>
      <c r="E80" s="925"/>
      <c r="F80" s="964"/>
      <c r="G80" s="964"/>
      <c r="H80" s="964" t="s">
        <v>640</v>
      </c>
      <c r="I80" s="965">
        <v>105000</v>
      </c>
      <c r="J80"/>
      <c r="K80"/>
      <c r="L80"/>
      <c r="M80"/>
      <c r="N80"/>
      <c r="O80"/>
      <c r="P80"/>
      <c r="Q80"/>
      <c r="R80"/>
      <c r="S80"/>
      <c r="T80"/>
      <c r="U80"/>
      <c r="V80"/>
      <c r="W80"/>
      <c r="X80"/>
      <c r="Y80"/>
      <c r="Z80"/>
      <c r="AA80"/>
      <c r="AB80"/>
    </row>
    <row r="81" spans="1:28" s="813" customFormat="1" ht="24.95" customHeight="1" x14ac:dyDescent="0.35">
      <c r="A81" s="968">
        <v>45817</v>
      </c>
      <c r="B81" s="983" t="s">
        <v>560</v>
      </c>
      <c r="C81" s="925"/>
      <c r="D81" s="964" t="s">
        <v>90</v>
      </c>
      <c r="E81" s="964"/>
      <c r="F81" s="964"/>
      <c r="G81" s="964"/>
      <c r="H81" s="964" t="s">
        <v>556</v>
      </c>
      <c r="I81" s="965" t="s">
        <v>419</v>
      </c>
      <c r="J81"/>
      <c r="K81"/>
      <c r="L81"/>
      <c r="M81"/>
      <c r="N81"/>
      <c r="O81"/>
      <c r="P81"/>
      <c r="Q81"/>
      <c r="R81"/>
      <c r="S81"/>
      <c r="T81"/>
      <c r="U81"/>
      <c r="V81"/>
      <c r="W81"/>
      <c r="X81"/>
      <c r="Y81"/>
      <c r="Z81"/>
      <c r="AA81"/>
      <c r="AB81"/>
    </row>
    <row r="82" spans="1:28" s="813" customFormat="1" ht="24.95" customHeight="1" x14ac:dyDescent="0.35">
      <c r="A82" s="968">
        <v>45854</v>
      </c>
      <c r="B82" s="983" t="s">
        <v>560</v>
      </c>
      <c r="C82" s="925"/>
      <c r="D82" s="964" t="s">
        <v>90</v>
      </c>
      <c r="E82" s="964"/>
      <c r="F82" s="964"/>
      <c r="G82" s="964"/>
      <c r="H82" s="964" t="s">
        <v>562</v>
      </c>
      <c r="I82" s="965" t="s">
        <v>419</v>
      </c>
      <c r="J82"/>
      <c r="K82"/>
      <c r="L82"/>
      <c r="M82"/>
      <c r="N82"/>
      <c r="O82"/>
      <c r="P82"/>
      <c r="Q82"/>
      <c r="R82"/>
      <c r="S82"/>
      <c r="T82"/>
      <c r="U82"/>
      <c r="V82"/>
      <c r="W82"/>
      <c r="X82"/>
      <c r="Y82"/>
      <c r="Z82"/>
      <c r="AA82"/>
      <c r="AB82"/>
    </row>
    <row r="83" spans="1:28" s="813" customFormat="1" ht="24.95" customHeight="1" x14ac:dyDescent="0.35">
      <c r="A83" s="968">
        <v>45973</v>
      </c>
      <c r="B83" s="983" t="s">
        <v>560</v>
      </c>
      <c r="C83" s="925"/>
      <c r="D83" s="964" t="s">
        <v>90</v>
      </c>
      <c r="E83" s="964"/>
      <c r="F83" s="964"/>
      <c r="G83" s="964"/>
      <c r="H83" s="964" t="s">
        <v>801</v>
      </c>
      <c r="I83" s="965" t="s">
        <v>419</v>
      </c>
      <c r="J83"/>
      <c r="K83"/>
      <c r="L83"/>
      <c r="M83"/>
      <c r="N83"/>
      <c r="O83"/>
      <c r="P83"/>
      <c r="Q83"/>
      <c r="R83"/>
      <c r="S83"/>
      <c r="T83"/>
      <c r="U83"/>
      <c r="V83"/>
      <c r="W83"/>
      <c r="X83"/>
      <c r="Y83"/>
      <c r="Z83"/>
      <c r="AA83"/>
      <c r="AB83"/>
    </row>
    <row r="84" spans="1:28" s="813" customFormat="1" ht="24.95" customHeight="1" x14ac:dyDescent="0.35">
      <c r="A84" s="968">
        <v>45993</v>
      </c>
      <c r="B84" s="983" t="s">
        <v>432</v>
      </c>
      <c r="C84" s="925"/>
      <c r="D84" s="964" t="s">
        <v>90</v>
      </c>
      <c r="E84" s="964"/>
      <c r="F84" s="964"/>
      <c r="G84" s="964"/>
      <c r="H84" s="964" t="s">
        <v>692</v>
      </c>
      <c r="I84" s="965" t="s">
        <v>419</v>
      </c>
      <c r="J84"/>
      <c r="K84"/>
      <c r="L84"/>
      <c r="M84"/>
      <c r="N84"/>
      <c r="O84"/>
      <c r="P84"/>
      <c r="Q84"/>
      <c r="R84"/>
      <c r="S84"/>
      <c r="T84"/>
      <c r="U84"/>
      <c r="V84"/>
      <c r="W84"/>
      <c r="X84"/>
      <c r="Y84"/>
      <c r="Z84"/>
      <c r="AA84"/>
      <c r="AB84"/>
    </row>
    <row r="85" spans="1:28" s="813" customFormat="1" ht="24.95" customHeight="1" x14ac:dyDescent="0.35">
      <c r="A85" s="968">
        <v>46000</v>
      </c>
      <c r="B85" s="983" t="s">
        <v>432</v>
      </c>
      <c r="C85" s="925"/>
      <c r="D85" s="964" t="s">
        <v>90</v>
      </c>
      <c r="E85" s="964"/>
      <c r="F85" s="964"/>
      <c r="G85" s="964"/>
      <c r="H85" s="964" t="s">
        <v>702</v>
      </c>
      <c r="I85" s="965">
        <v>254250</v>
      </c>
      <c r="J85" t="s">
        <v>478</v>
      </c>
      <c r="K85"/>
      <c r="L85"/>
      <c r="M85"/>
      <c r="N85"/>
      <c r="O85"/>
      <c r="P85"/>
      <c r="Q85"/>
      <c r="R85"/>
      <c r="S85"/>
      <c r="T85"/>
      <c r="U85"/>
      <c r="V85"/>
      <c r="W85"/>
      <c r="X85"/>
      <c r="Y85"/>
      <c r="Z85"/>
      <c r="AA85"/>
      <c r="AB85"/>
    </row>
    <row r="86" spans="1:28" s="813" customFormat="1" ht="24.95" customHeight="1" x14ac:dyDescent="0.35">
      <c r="A86" s="968">
        <v>46032</v>
      </c>
      <c r="B86" s="983" t="s">
        <v>432</v>
      </c>
      <c r="C86" s="925"/>
      <c r="D86" s="964" t="s">
        <v>90</v>
      </c>
      <c r="E86" s="964"/>
      <c r="F86" s="964"/>
      <c r="G86" s="964"/>
      <c r="H86" s="964" t="s">
        <v>803</v>
      </c>
      <c r="I86" s="965">
        <v>415000</v>
      </c>
      <c r="J86"/>
      <c r="K86"/>
      <c r="L86"/>
      <c r="M86"/>
      <c r="N86"/>
      <c r="O86"/>
      <c r="P86"/>
      <c r="Q86"/>
      <c r="R86"/>
      <c r="S86"/>
      <c r="T86"/>
      <c r="U86"/>
      <c r="V86"/>
      <c r="W86"/>
      <c r="X86"/>
      <c r="Y86"/>
      <c r="Z86"/>
      <c r="AA86"/>
      <c r="AB86"/>
    </row>
    <row r="87" spans="1:28" s="813" customFormat="1" ht="24.95" customHeight="1" x14ac:dyDescent="0.35">
      <c r="A87" s="968">
        <v>46083</v>
      </c>
      <c r="B87" s="983" t="s">
        <v>560</v>
      </c>
      <c r="C87" s="925"/>
      <c r="D87" s="964" t="s">
        <v>90</v>
      </c>
      <c r="E87" s="964"/>
      <c r="F87" s="964"/>
      <c r="G87" s="964"/>
      <c r="H87" s="964" t="s">
        <v>802</v>
      </c>
      <c r="I87" s="965" t="s">
        <v>419</v>
      </c>
      <c r="J87"/>
      <c r="K87"/>
      <c r="L87"/>
      <c r="M87"/>
      <c r="N87"/>
      <c r="O87"/>
      <c r="P87"/>
      <c r="Q87"/>
      <c r="R87"/>
      <c r="S87"/>
      <c r="T87"/>
      <c r="U87"/>
      <c r="V87"/>
      <c r="W87"/>
      <c r="X87"/>
      <c r="Y87"/>
      <c r="Z87"/>
      <c r="AA87"/>
      <c r="AB87"/>
    </row>
    <row r="88" spans="1:28" s="813" customFormat="1" ht="24.95" customHeight="1" x14ac:dyDescent="0.35">
      <c r="A88" s="968" t="s">
        <v>421</v>
      </c>
      <c r="B88" s="983" t="s">
        <v>432</v>
      </c>
      <c r="C88" s="925"/>
      <c r="D88" s="964" t="s">
        <v>90</v>
      </c>
      <c r="E88" s="964"/>
      <c r="F88" s="964"/>
      <c r="G88" s="964"/>
      <c r="H88" s="964" t="s">
        <v>835</v>
      </c>
      <c r="I88" s="965" t="s">
        <v>419</v>
      </c>
      <c r="J88"/>
      <c r="K88"/>
      <c r="L88"/>
      <c r="M88"/>
      <c r="N88"/>
      <c r="O88"/>
      <c r="P88"/>
      <c r="Q88"/>
      <c r="R88"/>
      <c r="S88"/>
      <c r="T88"/>
      <c r="U88"/>
      <c r="V88"/>
      <c r="W88"/>
      <c r="X88"/>
      <c r="Y88"/>
      <c r="Z88"/>
      <c r="AA88"/>
      <c r="AB88"/>
    </row>
    <row r="89" spans="1:28" s="813" customFormat="1" ht="24.95" customHeight="1" x14ac:dyDescent="0.35">
      <c r="A89" s="968">
        <v>46118</v>
      </c>
      <c r="B89" s="983" t="s">
        <v>432</v>
      </c>
      <c r="C89" s="925"/>
      <c r="D89" s="964" t="s">
        <v>90</v>
      </c>
      <c r="E89" s="964"/>
      <c r="F89" s="964"/>
      <c r="G89" s="964"/>
      <c r="H89" s="964" t="s">
        <v>851</v>
      </c>
      <c r="I89" s="965">
        <v>105000</v>
      </c>
      <c r="J89"/>
      <c r="K89"/>
      <c r="L89"/>
      <c r="M89"/>
      <c r="N89"/>
      <c r="O89"/>
      <c r="P89"/>
      <c r="Q89"/>
      <c r="R89"/>
      <c r="S89"/>
      <c r="T89"/>
      <c r="U89"/>
      <c r="V89"/>
      <c r="W89"/>
      <c r="X89"/>
      <c r="Y89"/>
      <c r="Z89"/>
      <c r="AA89"/>
      <c r="AB89"/>
    </row>
    <row r="90" spans="1:28" s="813" customFormat="1" ht="24.95" customHeight="1" x14ac:dyDescent="0.35">
      <c r="A90" s="968">
        <v>45708</v>
      </c>
      <c r="B90" s="930" t="s">
        <v>436</v>
      </c>
      <c r="C90" s="925"/>
      <c r="D90" s="964" t="s">
        <v>92</v>
      </c>
      <c r="E90" s="964"/>
      <c r="F90" s="964"/>
      <c r="G90" s="964"/>
      <c r="H90" s="964" t="s">
        <v>443</v>
      </c>
      <c r="I90" s="965"/>
      <c r="J90"/>
      <c r="K90"/>
      <c r="L90"/>
      <c r="M90"/>
      <c r="N90"/>
      <c r="O90"/>
      <c r="P90"/>
      <c r="Q90"/>
      <c r="R90"/>
      <c r="S90"/>
      <c r="T90"/>
      <c r="U90"/>
      <c r="V90"/>
      <c r="W90"/>
      <c r="X90"/>
      <c r="Y90"/>
      <c r="Z90"/>
      <c r="AA90"/>
      <c r="AB90"/>
    </row>
    <row r="91" spans="1:28" s="813" customFormat="1" ht="24.95" customHeight="1" x14ac:dyDescent="0.35">
      <c r="A91" s="968" t="s">
        <v>421</v>
      </c>
      <c r="B91" s="930" t="s">
        <v>434</v>
      </c>
      <c r="C91" s="925"/>
      <c r="D91" s="964" t="s">
        <v>90</v>
      </c>
      <c r="E91" s="964"/>
      <c r="F91" s="964"/>
      <c r="G91" s="964"/>
      <c r="H91" s="964" t="s">
        <v>665</v>
      </c>
      <c r="I91" s="965">
        <v>2084250</v>
      </c>
      <c r="J91"/>
      <c r="K91"/>
      <c r="L91"/>
      <c r="M91"/>
      <c r="N91"/>
      <c r="O91"/>
      <c r="P91"/>
      <c r="Q91"/>
      <c r="R91"/>
      <c r="S91"/>
      <c r="T91"/>
      <c r="U91"/>
      <c r="V91"/>
      <c r="W91"/>
      <c r="X91"/>
      <c r="Y91"/>
      <c r="Z91"/>
      <c r="AA91"/>
      <c r="AB91"/>
    </row>
    <row r="92" spans="1:28" s="813" customFormat="1" ht="24.95" customHeight="1" x14ac:dyDescent="0.35">
      <c r="A92" s="968">
        <v>45723</v>
      </c>
      <c r="B92" s="930" t="s">
        <v>428</v>
      </c>
      <c r="C92" s="925"/>
      <c r="D92" s="964" t="s">
        <v>92</v>
      </c>
      <c r="E92" s="964"/>
      <c r="F92" s="964"/>
      <c r="G92" s="964"/>
      <c r="H92" s="964" t="s">
        <v>501</v>
      </c>
      <c r="I92" s="965">
        <v>8000</v>
      </c>
      <c r="J92"/>
      <c r="K92"/>
      <c r="L92"/>
      <c r="M92"/>
      <c r="N92"/>
      <c r="O92"/>
      <c r="P92"/>
      <c r="Q92"/>
      <c r="R92"/>
      <c r="S92"/>
      <c r="T92"/>
      <c r="U92"/>
      <c r="V92"/>
      <c r="W92"/>
      <c r="X92"/>
      <c r="Y92"/>
      <c r="Z92"/>
      <c r="AA92"/>
      <c r="AB92"/>
    </row>
    <row r="93" spans="1:28" s="813" customFormat="1" ht="24.95" customHeight="1" x14ac:dyDescent="0.35">
      <c r="A93" s="968">
        <v>45828</v>
      </c>
      <c r="B93" s="930" t="s">
        <v>428</v>
      </c>
      <c r="C93" s="925"/>
      <c r="D93" s="964" t="s">
        <v>92</v>
      </c>
      <c r="E93" s="964"/>
      <c r="F93" s="964"/>
      <c r="G93" s="964"/>
      <c r="H93" s="964" t="s">
        <v>559</v>
      </c>
      <c r="I93" s="965">
        <v>55000</v>
      </c>
      <c r="J93"/>
      <c r="K93"/>
      <c r="L93"/>
      <c r="M93"/>
      <c r="N93"/>
      <c r="O93"/>
      <c r="P93"/>
      <c r="Q93"/>
      <c r="R93"/>
      <c r="S93"/>
      <c r="T93"/>
      <c r="U93"/>
      <c r="V93"/>
      <c r="W93"/>
      <c r="X93"/>
      <c r="Y93"/>
      <c r="Z93"/>
      <c r="AA93"/>
      <c r="AB93"/>
    </row>
    <row r="94" spans="1:28" s="813" customFormat="1" ht="24.95" customHeight="1" x14ac:dyDescent="0.35">
      <c r="A94" s="968">
        <v>46053</v>
      </c>
      <c r="B94" s="930" t="s">
        <v>428</v>
      </c>
      <c r="C94" s="925"/>
      <c r="D94" s="964" t="s">
        <v>92</v>
      </c>
      <c r="E94" s="964"/>
      <c r="F94" s="964"/>
      <c r="G94" s="964"/>
      <c r="H94" s="964" t="s">
        <v>746</v>
      </c>
      <c r="I94" s="965">
        <v>115000</v>
      </c>
      <c r="J94"/>
      <c r="K94"/>
      <c r="L94"/>
      <c r="M94"/>
      <c r="N94"/>
      <c r="O94"/>
      <c r="P94"/>
      <c r="Q94"/>
      <c r="R94"/>
      <c r="S94"/>
      <c r="T94"/>
      <c r="U94"/>
      <c r="V94"/>
      <c r="W94"/>
      <c r="X94"/>
      <c r="Y94"/>
      <c r="Z94"/>
      <c r="AA94"/>
      <c r="AB94"/>
    </row>
    <row r="95" spans="1:28" s="813" customFormat="1" ht="24.95" customHeight="1" x14ac:dyDescent="0.35">
      <c r="A95" s="968">
        <v>46057</v>
      </c>
      <c r="B95" s="930" t="s">
        <v>428</v>
      </c>
      <c r="C95" s="925"/>
      <c r="D95" s="964" t="s">
        <v>92</v>
      </c>
      <c r="E95" s="964"/>
      <c r="F95" s="964"/>
      <c r="G95" s="964"/>
      <c r="H95" s="964" t="s">
        <v>769</v>
      </c>
      <c r="I95" s="965">
        <v>130000</v>
      </c>
      <c r="J95"/>
      <c r="K95"/>
      <c r="L95"/>
      <c r="M95"/>
      <c r="N95"/>
      <c r="O95"/>
      <c r="P95"/>
      <c r="Q95"/>
      <c r="R95"/>
      <c r="S95"/>
      <c r="T95"/>
      <c r="U95"/>
      <c r="V95"/>
      <c r="W95"/>
      <c r="X95"/>
      <c r="Y95"/>
      <c r="Z95"/>
      <c r="AA95"/>
      <c r="AB95"/>
    </row>
    <row r="96" spans="1:28" s="813" customFormat="1" ht="24.95" customHeight="1" x14ac:dyDescent="0.35">
      <c r="A96" s="968">
        <v>46087</v>
      </c>
      <c r="B96" s="930" t="s">
        <v>428</v>
      </c>
      <c r="C96" s="925"/>
      <c r="D96" s="964" t="s">
        <v>92</v>
      </c>
      <c r="E96" s="964"/>
      <c r="F96" s="964"/>
      <c r="G96" s="964"/>
      <c r="H96" s="964" t="s">
        <v>813</v>
      </c>
      <c r="I96" s="965">
        <v>57000</v>
      </c>
      <c r="J96"/>
      <c r="K96"/>
      <c r="L96"/>
      <c r="M96"/>
      <c r="N96"/>
      <c r="O96"/>
      <c r="P96"/>
      <c r="Q96"/>
      <c r="R96"/>
      <c r="S96"/>
      <c r="T96"/>
      <c r="U96"/>
      <c r="V96"/>
      <c r="W96"/>
      <c r="X96"/>
      <c r="Y96"/>
      <c r="Z96"/>
      <c r="AA96"/>
      <c r="AB96"/>
    </row>
    <row r="97" spans="1:28" s="813" customFormat="1" ht="24.95" customHeight="1" x14ac:dyDescent="0.35">
      <c r="A97" s="968">
        <v>46107</v>
      </c>
      <c r="B97" s="930" t="s">
        <v>428</v>
      </c>
      <c r="C97" s="925"/>
      <c r="D97" s="964" t="s">
        <v>92</v>
      </c>
      <c r="E97" s="964"/>
      <c r="F97" s="964"/>
      <c r="G97" s="964"/>
      <c r="H97" s="964" t="s">
        <v>846</v>
      </c>
      <c r="I97" s="965" t="s">
        <v>419</v>
      </c>
      <c r="J97"/>
      <c r="K97"/>
      <c r="L97"/>
      <c r="M97"/>
      <c r="N97"/>
      <c r="O97"/>
      <c r="P97"/>
      <c r="Q97"/>
      <c r="R97"/>
      <c r="S97"/>
      <c r="T97"/>
      <c r="U97"/>
      <c r="V97"/>
      <c r="W97"/>
      <c r="X97"/>
      <c r="Y97"/>
      <c r="Z97"/>
      <c r="AA97"/>
      <c r="AB97"/>
    </row>
    <row r="98" spans="1:28" s="782" customFormat="1" ht="24.95" customHeight="1" x14ac:dyDescent="0.35">
      <c r="A98" s="968">
        <v>45750</v>
      </c>
      <c r="B98" s="930" t="s">
        <v>438</v>
      </c>
      <c r="C98" s="925"/>
      <c r="D98" s="964" t="s">
        <v>90</v>
      </c>
      <c r="E98" s="964"/>
      <c r="F98" s="964"/>
      <c r="G98" s="964"/>
      <c r="H98" s="964" t="s">
        <v>496</v>
      </c>
      <c r="I98" s="965" t="s">
        <v>64</v>
      </c>
      <c r="J98"/>
      <c r="K98"/>
      <c r="L98"/>
      <c r="M98"/>
      <c r="N98"/>
      <c r="O98"/>
      <c r="P98"/>
      <c r="Q98"/>
      <c r="R98"/>
      <c r="S98"/>
      <c r="T98"/>
      <c r="U98"/>
      <c r="V98"/>
      <c r="W98"/>
      <c r="X98"/>
      <c r="Y98"/>
      <c r="Z98"/>
      <c r="AA98"/>
      <c r="AB98"/>
    </row>
    <row r="99" spans="1:28" s="749" customFormat="1" ht="24.95" customHeight="1" x14ac:dyDescent="0.35">
      <c r="A99" s="968"/>
      <c r="B99" s="930" t="s">
        <v>446</v>
      </c>
      <c r="C99" s="925" t="s">
        <v>740</v>
      </c>
      <c r="D99" s="964" t="s">
        <v>90</v>
      </c>
      <c r="E99" s="964"/>
      <c r="F99" s="964"/>
      <c r="G99" s="964"/>
      <c r="H99" s="964" t="s">
        <v>841</v>
      </c>
      <c r="I99" s="965">
        <v>1090000</v>
      </c>
      <c r="J99"/>
      <c r="K99"/>
      <c r="L99"/>
      <c r="M99"/>
      <c r="N99"/>
      <c r="O99"/>
      <c r="P99"/>
      <c r="Q99"/>
      <c r="R99"/>
      <c r="S99"/>
      <c r="T99"/>
      <c r="U99"/>
      <c r="V99"/>
      <c r="W99"/>
      <c r="X99"/>
      <c r="Y99"/>
      <c r="Z99"/>
      <c r="AA99"/>
      <c r="AB99"/>
    </row>
    <row r="100" spans="1:28" s="749" customFormat="1" ht="24.95" customHeight="1" x14ac:dyDescent="0.35">
      <c r="A100" s="968"/>
      <c r="B100" s="930" t="s">
        <v>446</v>
      </c>
      <c r="C100" s="925"/>
      <c r="D100" s="964" t="s">
        <v>90</v>
      </c>
      <c r="E100" s="964"/>
      <c r="F100" s="964"/>
      <c r="G100" s="964"/>
      <c r="H100" s="964" t="s">
        <v>834</v>
      </c>
      <c r="I100" s="965" t="s">
        <v>419</v>
      </c>
      <c r="J100"/>
      <c r="K100"/>
      <c r="L100"/>
      <c r="M100"/>
      <c r="N100"/>
      <c r="O100"/>
      <c r="P100"/>
      <c r="Q100"/>
      <c r="R100"/>
      <c r="S100"/>
      <c r="T100"/>
      <c r="U100"/>
      <c r="V100"/>
      <c r="W100"/>
      <c r="X100"/>
      <c r="Y100"/>
      <c r="Z100"/>
      <c r="AA100"/>
      <c r="AB100"/>
    </row>
    <row r="101" spans="1:28" s="749" customFormat="1" ht="24.95" customHeight="1" x14ac:dyDescent="0.35">
      <c r="A101" s="968"/>
      <c r="B101" s="930" t="s">
        <v>446</v>
      </c>
      <c r="C101" s="925"/>
      <c r="D101" s="964" t="s">
        <v>90</v>
      </c>
      <c r="E101" s="964"/>
      <c r="F101" s="964"/>
      <c r="G101" s="964"/>
      <c r="H101" s="964" t="s">
        <v>852</v>
      </c>
      <c r="I101" s="965" t="s">
        <v>419</v>
      </c>
      <c r="J101"/>
      <c r="K101"/>
      <c r="L101"/>
      <c r="M101"/>
      <c r="N101"/>
      <c r="O101"/>
      <c r="P101"/>
      <c r="Q101"/>
      <c r="R101"/>
      <c r="S101"/>
      <c r="T101"/>
      <c r="U101"/>
      <c r="V101"/>
      <c r="W101"/>
      <c r="X101"/>
      <c r="Y101"/>
      <c r="Z101"/>
      <c r="AA101"/>
      <c r="AB101"/>
    </row>
    <row r="102" spans="1:28" s="749" customFormat="1" ht="24.95" customHeight="1" x14ac:dyDescent="0.35">
      <c r="A102" s="968" t="s">
        <v>421</v>
      </c>
      <c r="B102" s="930" t="s">
        <v>299</v>
      </c>
      <c r="C102" s="925"/>
      <c r="D102" s="925" t="s">
        <v>92</v>
      </c>
      <c r="E102" s="925"/>
      <c r="F102" s="964"/>
      <c r="G102" s="964"/>
      <c r="H102" s="964" t="s">
        <v>506</v>
      </c>
      <c r="I102" s="965">
        <v>77261.850000000006</v>
      </c>
      <c r="J102"/>
      <c r="K102"/>
      <c r="L102"/>
      <c r="M102"/>
      <c r="N102"/>
      <c r="O102"/>
      <c r="P102"/>
      <c r="Q102"/>
      <c r="R102"/>
      <c r="S102"/>
      <c r="T102"/>
      <c r="U102"/>
      <c r="V102"/>
      <c r="W102"/>
      <c r="X102"/>
      <c r="Y102"/>
      <c r="Z102"/>
      <c r="AA102"/>
      <c r="AB102"/>
    </row>
    <row r="103" spans="1:28" s="749" customFormat="1" ht="24.95" customHeight="1" x14ac:dyDescent="0.35">
      <c r="A103" s="968" t="s">
        <v>421</v>
      </c>
      <c r="B103" s="930" t="s">
        <v>299</v>
      </c>
      <c r="C103" s="925"/>
      <c r="D103" s="925" t="s">
        <v>92</v>
      </c>
      <c r="E103" s="925"/>
      <c r="F103" s="964"/>
      <c r="G103" s="964"/>
      <c r="H103" s="964" t="s">
        <v>525</v>
      </c>
      <c r="I103" s="965">
        <v>86950</v>
      </c>
      <c r="J103"/>
      <c r="K103"/>
      <c r="L103"/>
      <c r="M103"/>
      <c r="N103"/>
      <c r="O103"/>
      <c r="P103"/>
      <c r="Q103"/>
      <c r="R103"/>
      <c r="S103"/>
      <c r="T103"/>
      <c r="U103"/>
      <c r="V103"/>
      <c r="W103"/>
      <c r="X103"/>
      <c r="Y103"/>
      <c r="Z103"/>
      <c r="AA103"/>
      <c r="AB103"/>
    </row>
    <row r="104" spans="1:28" s="782" customFormat="1" ht="24.95" customHeight="1" x14ac:dyDescent="0.35">
      <c r="A104" s="968">
        <v>45790</v>
      </c>
      <c r="B104" s="930" t="s">
        <v>660</v>
      </c>
      <c r="C104" s="925"/>
      <c r="D104" s="925" t="s">
        <v>90</v>
      </c>
      <c r="E104" s="925"/>
      <c r="F104" s="964"/>
      <c r="G104" s="964"/>
      <c r="H104" s="964" t="s">
        <v>520</v>
      </c>
      <c r="I104" s="965">
        <v>487467.5</v>
      </c>
      <c r="J104"/>
      <c r="K104"/>
      <c r="L104"/>
      <c r="M104"/>
      <c r="N104"/>
      <c r="O104"/>
      <c r="P104"/>
      <c r="Q104"/>
      <c r="R104"/>
      <c r="S104"/>
      <c r="T104"/>
      <c r="U104"/>
      <c r="V104"/>
      <c r="W104"/>
      <c r="X104"/>
      <c r="Y104"/>
      <c r="Z104"/>
      <c r="AA104"/>
      <c r="AB104"/>
    </row>
    <row r="105" spans="1:28" s="782" customFormat="1" ht="24.95" customHeight="1" x14ac:dyDescent="0.35">
      <c r="A105" s="968">
        <v>45897</v>
      </c>
      <c r="B105" s="930" t="s">
        <v>660</v>
      </c>
      <c r="C105" s="925"/>
      <c r="D105" s="925" t="s">
        <v>90</v>
      </c>
      <c r="E105" s="925"/>
      <c r="F105" s="964"/>
      <c r="G105" s="964"/>
      <c r="H105" s="964" t="s">
        <v>606</v>
      </c>
      <c r="I105" s="965">
        <v>476000</v>
      </c>
      <c r="J105"/>
      <c r="K105"/>
      <c r="L105"/>
      <c r="M105"/>
      <c r="N105"/>
      <c r="O105"/>
      <c r="P105"/>
      <c r="Q105"/>
      <c r="R105"/>
      <c r="S105"/>
      <c r="T105"/>
      <c r="U105"/>
      <c r="V105"/>
      <c r="W105"/>
      <c r="X105"/>
      <c r="Y105"/>
      <c r="Z105"/>
      <c r="AA105"/>
      <c r="AB105"/>
    </row>
    <row r="106" spans="1:28" s="782" customFormat="1" ht="24.95" customHeight="1" x14ac:dyDescent="0.35">
      <c r="A106" s="968">
        <v>45973</v>
      </c>
      <c r="B106" s="930" t="s">
        <v>660</v>
      </c>
      <c r="C106" s="925"/>
      <c r="D106" s="925" t="s">
        <v>90</v>
      </c>
      <c r="E106" s="925"/>
      <c r="F106" s="964"/>
      <c r="G106" s="964"/>
      <c r="H106" s="964" t="s">
        <v>677</v>
      </c>
      <c r="I106" s="965">
        <v>39180</v>
      </c>
      <c r="J106"/>
      <c r="K106"/>
      <c r="L106"/>
      <c r="M106"/>
      <c r="N106"/>
      <c r="O106"/>
      <c r="P106"/>
      <c r="Q106"/>
      <c r="R106"/>
      <c r="S106"/>
      <c r="T106"/>
      <c r="U106"/>
      <c r="V106"/>
      <c r="W106"/>
      <c r="X106"/>
      <c r="Y106"/>
      <c r="Z106"/>
      <c r="AA106"/>
      <c r="AB106"/>
    </row>
    <row r="107" spans="1:28" s="782" customFormat="1" ht="24.95" customHeight="1" x14ac:dyDescent="0.35">
      <c r="A107" s="968">
        <v>46052</v>
      </c>
      <c r="B107" s="930" t="s">
        <v>660</v>
      </c>
      <c r="C107" s="925"/>
      <c r="D107" s="925" t="s">
        <v>90</v>
      </c>
      <c r="E107" s="925"/>
      <c r="F107" s="964" t="s">
        <v>749</v>
      </c>
      <c r="G107" s="964"/>
      <c r="H107" s="964" t="s">
        <v>748</v>
      </c>
      <c r="I107" s="965">
        <v>1700300</v>
      </c>
      <c r="J107"/>
      <c r="K107"/>
      <c r="L107"/>
      <c r="M107"/>
      <c r="N107"/>
      <c r="O107"/>
      <c r="P107"/>
      <c r="Q107"/>
      <c r="R107"/>
      <c r="S107"/>
      <c r="T107"/>
      <c r="U107"/>
      <c r="V107"/>
      <c r="W107"/>
      <c r="X107"/>
      <c r="Y107"/>
      <c r="Z107"/>
      <c r="AA107"/>
      <c r="AB107"/>
    </row>
    <row r="108" spans="1:28" s="782" customFormat="1" ht="24.95" customHeight="1" x14ac:dyDescent="0.35">
      <c r="A108" s="968">
        <v>45804</v>
      </c>
      <c r="B108" s="930" t="s">
        <v>533</v>
      </c>
      <c r="C108" s="925"/>
      <c r="D108" s="925" t="s">
        <v>92</v>
      </c>
      <c r="E108" s="925"/>
      <c r="F108" s="964"/>
      <c r="G108" s="964"/>
      <c r="H108" s="964" t="s">
        <v>534</v>
      </c>
      <c r="I108" s="965" t="s">
        <v>419</v>
      </c>
      <c r="J108"/>
      <c r="K108"/>
      <c r="L108"/>
      <c r="M108"/>
      <c r="N108"/>
      <c r="O108"/>
      <c r="P108"/>
      <c r="Q108"/>
      <c r="R108"/>
      <c r="S108"/>
      <c r="T108"/>
      <c r="U108"/>
      <c r="V108"/>
      <c r="W108"/>
      <c r="X108"/>
      <c r="Y108"/>
      <c r="Z108"/>
      <c r="AA108"/>
      <c r="AB108"/>
    </row>
    <row r="109" spans="1:28" s="782" customFormat="1" ht="24.95" customHeight="1" x14ac:dyDescent="0.35">
      <c r="A109" s="968" t="s">
        <v>557</v>
      </c>
      <c r="B109" s="930" t="s">
        <v>662</v>
      </c>
      <c r="C109" s="925"/>
      <c r="D109" s="964" t="s">
        <v>92</v>
      </c>
      <c r="E109" s="964"/>
      <c r="F109" s="964"/>
      <c r="G109" s="964"/>
      <c r="H109" s="964" t="s">
        <v>564</v>
      </c>
      <c r="I109" s="965">
        <v>115000</v>
      </c>
      <c r="J109"/>
      <c r="K109"/>
      <c r="L109"/>
      <c r="M109"/>
      <c r="N109"/>
      <c r="O109"/>
      <c r="P109"/>
      <c r="Q109"/>
      <c r="R109"/>
      <c r="S109"/>
      <c r="T109"/>
      <c r="U109"/>
      <c r="V109"/>
      <c r="W109"/>
      <c r="X109"/>
      <c r="Y109"/>
      <c r="Z109"/>
      <c r="AA109"/>
      <c r="AB109"/>
    </row>
    <row r="110" spans="1:28" s="782" customFormat="1" ht="24.95" customHeight="1" x14ac:dyDescent="0.35">
      <c r="A110" s="968" t="s">
        <v>421</v>
      </c>
      <c r="B110" s="930" t="s">
        <v>662</v>
      </c>
      <c r="C110" s="925"/>
      <c r="D110" s="964" t="s">
        <v>92</v>
      </c>
      <c r="E110" s="964"/>
      <c r="F110" s="964"/>
      <c r="G110" s="964"/>
      <c r="H110" s="964" t="s">
        <v>565</v>
      </c>
      <c r="I110" s="965">
        <v>25895</v>
      </c>
      <c r="J110"/>
      <c r="K110"/>
      <c r="L110"/>
      <c r="M110"/>
      <c r="N110"/>
      <c r="O110"/>
      <c r="P110"/>
      <c r="Q110"/>
      <c r="R110"/>
      <c r="S110"/>
      <c r="T110"/>
      <c r="U110"/>
      <c r="V110"/>
      <c r="W110"/>
      <c r="X110"/>
      <c r="Y110"/>
      <c r="Z110"/>
      <c r="AA110"/>
      <c r="AB110"/>
    </row>
    <row r="111" spans="1:28" s="782" customFormat="1" ht="24.95" customHeight="1" x14ac:dyDescent="0.35">
      <c r="A111" s="968" t="s">
        <v>421</v>
      </c>
      <c r="B111" s="930" t="s">
        <v>663</v>
      </c>
      <c r="C111" s="925"/>
      <c r="D111" s="964" t="s">
        <v>90</v>
      </c>
      <c r="E111" s="964"/>
      <c r="F111" s="964"/>
      <c r="G111" s="964"/>
      <c r="H111" s="964" t="s">
        <v>571</v>
      </c>
      <c r="I111" s="965">
        <v>45000</v>
      </c>
      <c r="J111"/>
      <c r="K111"/>
      <c r="L111"/>
      <c r="M111"/>
      <c r="N111"/>
      <c r="O111"/>
      <c r="P111"/>
      <c r="Q111"/>
      <c r="R111"/>
      <c r="S111"/>
      <c r="T111"/>
      <c r="U111"/>
      <c r="V111"/>
      <c r="W111"/>
      <c r="X111"/>
      <c r="Y111"/>
      <c r="Z111"/>
      <c r="AA111"/>
      <c r="AB111"/>
    </row>
    <row r="112" spans="1:28" s="941" customFormat="1" ht="24.95" customHeight="1" x14ac:dyDescent="0.35">
      <c r="A112" s="968">
        <v>45874</v>
      </c>
      <c r="B112" s="930" t="s">
        <v>664</v>
      </c>
      <c r="C112" s="925"/>
      <c r="D112" s="964" t="s">
        <v>92</v>
      </c>
      <c r="E112" s="964"/>
      <c r="F112" s="964"/>
      <c r="G112" s="964"/>
      <c r="H112" s="964" t="s">
        <v>585</v>
      </c>
      <c r="I112" s="965">
        <v>105000</v>
      </c>
      <c r="J112"/>
      <c r="K112"/>
      <c r="L112"/>
      <c r="M112"/>
      <c r="N112"/>
      <c r="O112"/>
      <c r="P112"/>
      <c r="Q112"/>
      <c r="R112"/>
      <c r="S112"/>
      <c r="T112"/>
      <c r="U112"/>
      <c r="V112"/>
      <c r="W112"/>
      <c r="X112"/>
      <c r="Y112"/>
      <c r="Z112"/>
      <c r="AA112"/>
      <c r="AB112"/>
    </row>
    <row r="113" spans="1:28" s="749" customFormat="1" ht="24.95" customHeight="1" x14ac:dyDescent="0.35">
      <c r="A113" s="968">
        <v>46000</v>
      </c>
      <c r="B113" s="930" t="s">
        <v>281</v>
      </c>
      <c r="C113" s="925"/>
      <c r="D113" s="964" t="s">
        <v>282</v>
      </c>
      <c r="E113" s="964"/>
      <c r="F113" s="964"/>
      <c r="G113" s="964"/>
      <c r="H113" s="964" t="s">
        <v>701</v>
      </c>
      <c r="I113" s="965">
        <v>306438.21999999997</v>
      </c>
      <c r="J113"/>
      <c r="K113"/>
      <c r="L113"/>
      <c r="M113"/>
      <c r="N113"/>
      <c r="O113"/>
      <c r="P113"/>
      <c r="Q113"/>
      <c r="R113"/>
      <c r="S113"/>
      <c r="T113"/>
      <c r="U113"/>
      <c r="V113"/>
      <c r="W113"/>
      <c r="X113"/>
      <c r="Y113"/>
      <c r="Z113"/>
      <c r="AA113"/>
      <c r="AB113"/>
    </row>
    <row r="114" spans="1:28" s="749" customFormat="1" ht="24.95" customHeight="1" x14ac:dyDescent="0.35">
      <c r="A114" s="968">
        <v>46008</v>
      </c>
      <c r="B114" s="930" t="s">
        <v>281</v>
      </c>
      <c r="C114" s="925"/>
      <c r="D114" s="964" t="s">
        <v>282</v>
      </c>
      <c r="E114" s="964"/>
      <c r="F114" s="964"/>
      <c r="G114" s="964"/>
      <c r="H114" s="964" t="s">
        <v>707</v>
      </c>
      <c r="I114" s="965" t="s">
        <v>419</v>
      </c>
      <c r="J114"/>
      <c r="K114"/>
      <c r="L114"/>
      <c r="M114"/>
      <c r="N114"/>
      <c r="O114"/>
      <c r="P114"/>
      <c r="Q114"/>
      <c r="R114"/>
      <c r="S114"/>
      <c r="T114"/>
      <c r="U114"/>
      <c r="V114"/>
      <c r="W114"/>
      <c r="X114"/>
      <c r="Y114"/>
      <c r="Z114"/>
      <c r="AA114"/>
      <c r="AB114"/>
    </row>
    <row r="115" spans="1:28" s="749" customFormat="1" ht="24.95" customHeight="1" x14ac:dyDescent="0.35">
      <c r="A115" s="968">
        <v>46069</v>
      </c>
      <c r="B115" s="930" t="s">
        <v>281</v>
      </c>
      <c r="C115" s="925"/>
      <c r="D115" s="964" t="s">
        <v>282</v>
      </c>
      <c r="E115" s="964"/>
      <c r="F115" s="964" t="s">
        <v>831</v>
      </c>
      <c r="G115" s="964"/>
      <c r="H115" s="964" t="s">
        <v>830</v>
      </c>
      <c r="I115" s="965">
        <v>998000</v>
      </c>
      <c r="J115"/>
      <c r="K115"/>
      <c r="L115"/>
      <c r="M115"/>
      <c r="N115"/>
      <c r="O115"/>
      <c r="P115"/>
      <c r="Q115"/>
      <c r="R115"/>
      <c r="S115"/>
      <c r="T115"/>
      <c r="U115"/>
      <c r="V115"/>
      <c r="W115"/>
      <c r="X115"/>
      <c r="Y115"/>
      <c r="Z115"/>
      <c r="AA115"/>
      <c r="AB115"/>
    </row>
    <row r="116" spans="1:28" s="749" customFormat="1" ht="24.95" customHeight="1" x14ac:dyDescent="0.35">
      <c r="A116" s="968">
        <v>45772</v>
      </c>
      <c r="B116" s="930" t="s">
        <v>596</v>
      </c>
      <c r="C116" s="925"/>
      <c r="D116" s="964" t="s">
        <v>92</v>
      </c>
      <c r="E116" s="964"/>
      <c r="F116" s="964"/>
      <c r="G116" s="964"/>
      <c r="H116" s="964" t="s">
        <v>597</v>
      </c>
      <c r="I116" s="965">
        <v>142240</v>
      </c>
      <c r="J116"/>
      <c r="K116"/>
      <c r="L116"/>
      <c r="M116"/>
      <c r="N116"/>
      <c r="O116"/>
      <c r="P116"/>
      <c r="Q116"/>
      <c r="R116"/>
      <c r="S116"/>
      <c r="T116"/>
      <c r="U116"/>
      <c r="V116"/>
      <c r="W116"/>
      <c r="X116"/>
      <c r="Y116"/>
      <c r="Z116"/>
      <c r="AA116"/>
      <c r="AB116"/>
    </row>
    <row r="117" spans="1:28" s="782" customFormat="1" ht="24.95" customHeight="1" x14ac:dyDescent="0.35">
      <c r="A117" s="968">
        <v>45897</v>
      </c>
      <c r="B117" s="930" t="s">
        <v>666</v>
      </c>
      <c r="C117" s="925"/>
      <c r="D117" s="964" t="s">
        <v>92</v>
      </c>
      <c r="E117" s="964"/>
      <c r="F117" s="964"/>
      <c r="G117" s="964"/>
      <c r="H117" s="964" t="s">
        <v>602</v>
      </c>
      <c r="I117" s="965">
        <v>3500</v>
      </c>
      <c r="J117"/>
      <c r="K117"/>
      <c r="L117"/>
      <c r="M117"/>
      <c r="N117"/>
      <c r="O117"/>
      <c r="P117"/>
      <c r="Q117"/>
      <c r="R117"/>
      <c r="S117"/>
      <c r="T117"/>
      <c r="U117"/>
      <c r="V117"/>
      <c r="W117"/>
      <c r="X117"/>
      <c r="Y117"/>
      <c r="Z117"/>
      <c r="AA117"/>
      <c r="AB117"/>
    </row>
    <row r="118" spans="1:28" s="782" customFormat="1" ht="24.95" customHeight="1" x14ac:dyDescent="0.35">
      <c r="A118" s="968">
        <v>45908</v>
      </c>
      <c r="B118" s="930" t="s">
        <v>614</v>
      </c>
      <c r="C118" s="925"/>
      <c r="D118" s="964" t="s">
        <v>92</v>
      </c>
      <c r="E118" s="964"/>
      <c r="F118" s="964"/>
      <c r="G118" s="964"/>
      <c r="H118" s="964" t="s">
        <v>615</v>
      </c>
      <c r="I118" s="965" t="s">
        <v>419</v>
      </c>
      <c r="J118"/>
      <c r="K118"/>
      <c r="L118"/>
      <c r="M118"/>
      <c r="N118"/>
      <c r="O118"/>
      <c r="P118"/>
      <c r="Q118"/>
      <c r="R118"/>
      <c r="S118"/>
      <c r="T118"/>
      <c r="U118"/>
      <c r="V118"/>
      <c r="W118"/>
      <c r="X118"/>
      <c r="Y118"/>
      <c r="Z118"/>
      <c r="AA118"/>
      <c r="AB118"/>
    </row>
    <row r="119" spans="1:28" s="782" customFormat="1" ht="24.95" customHeight="1" x14ac:dyDescent="0.35">
      <c r="A119" s="968">
        <v>45923</v>
      </c>
      <c r="B119" s="930" t="s">
        <v>614</v>
      </c>
      <c r="C119" s="925"/>
      <c r="D119" s="964" t="s">
        <v>92</v>
      </c>
      <c r="E119" s="964"/>
      <c r="F119" s="964"/>
      <c r="G119" s="964"/>
      <c r="H119" s="964" t="s">
        <v>626</v>
      </c>
      <c r="I119" s="965" t="s">
        <v>419</v>
      </c>
      <c r="J119"/>
      <c r="K119"/>
      <c r="L119"/>
      <c r="M119"/>
      <c r="N119"/>
      <c r="O119"/>
      <c r="P119"/>
      <c r="Q119"/>
      <c r="R119"/>
      <c r="S119"/>
      <c r="T119"/>
      <c r="U119"/>
      <c r="V119"/>
      <c r="W119"/>
      <c r="X119"/>
      <c r="Y119"/>
      <c r="Z119"/>
      <c r="AA119"/>
      <c r="AB119"/>
    </row>
    <row r="120" spans="1:28" s="782" customFormat="1" ht="24.95" customHeight="1" x14ac:dyDescent="0.35">
      <c r="A120" s="968">
        <v>45909</v>
      </c>
      <c r="B120" s="930" t="s">
        <v>617</v>
      </c>
      <c r="C120" s="925"/>
      <c r="D120" s="964" t="s">
        <v>92</v>
      </c>
      <c r="E120" s="964"/>
      <c r="F120" s="964"/>
      <c r="G120" s="964"/>
      <c r="H120" s="964" t="s">
        <v>618</v>
      </c>
      <c r="I120" s="965">
        <v>93995</v>
      </c>
      <c r="J120"/>
      <c r="K120"/>
      <c r="L120"/>
      <c r="M120"/>
      <c r="N120"/>
      <c r="O120"/>
      <c r="P120"/>
      <c r="Q120"/>
      <c r="R120"/>
      <c r="S120"/>
      <c r="T120"/>
      <c r="U120"/>
      <c r="V120"/>
      <c r="W120"/>
      <c r="X120"/>
      <c r="Y120"/>
      <c r="Z120"/>
      <c r="AA120"/>
      <c r="AB120"/>
    </row>
    <row r="121" spans="1:28" s="782" customFormat="1" ht="24.95" customHeight="1" x14ac:dyDescent="0.35">
      <c r="A121" s="968">
        <v>45911</v>
      </c>
      <c r="B121" s="930" t="s">
        <v>617</v>
      </c>
      <c r="C121" s="925"/>
      <c r="D121" s="964" t="s">
        <v>92</v>
      </c>
      <c r="E121" s="964"/>
      <c r="F121" s="964"/>
      <c r="G121" s="964"/>
      <c r="H121" s="964" t="s">
        <v>624</v>
      </c>
      <c r="I121" s="965">
        <v>5400</v>
      </c>
      <c r="J121"/>
      <c r="K121"/>
      <c r="L121"/>
      <c r="M121"/>
      <c r="N121"/>
      <c r="O121"/>
      <c r="P121"/>
      <c r="Q121"/>
      <c r="R121"/>
      <c r="S121"/>
      <c r="T121"/>
      <c r="U121"/>
      <c r="V121"/>
      <c r="W121"/>
      <c r="X121"/>
      <c r="Y121"/>
      <c r="Z121"/>
      <c r="AA121"/>
      <c r="AB121"/>
    </row>
    <row r="122" spans="1:28" s="941" customFormat="1" ht="24.95" customHeight="1" x14ac:dyDescent="0.35">
      <c r="A122" s="968">
        <v>45912</v>
      </c>
      <c r="B122" s="930" t="s">
        <v>617</v>
      </c>
      <c r="C122" s="925"/>
      <c r="D122" s="964" t="s">
        <v>92</v>
      </c>
      <c r="E122" s="964"/>
      <c r="F122" s="964"/>
      <c r="G122" s="964"/>
      <c r="H122" s="964" t="s">
        <v>625</v>
      </c>
      <c r="I122" s="965">
        <v>5400</v>
      </c>
      <c r="J122"/>
      <c r="K122"/>
      <c r="L122"/>
      <c r="M122"/>
      <c r="N122"/>
      <c r="O122"/>
      <c r="P122"/>
      <c r="Q122"/>
      <c r="R122"/>
      <c r="S122"/>
      <c r="T122"/>
      <c r="U122"/>
      <c r="V122"/>
      <c r="W122"/>
      <c r="X122"/>
      <c r="Y122"/>
      <c r="Z122"/>
      <c r="AA122"/>
      <c r="AB122"/>
    </row>
    <row r="123" spans="1:28" s="749" customFormat="1" ht="24.95" customHeight="1" x14ac:dyDescent="0.35">
      <c r="A123" s="968">
        <v>45929</v>
      </c>
      <c r="B123" s="930" t="s">
        <v>617</v>
      </c>
      <c r="C123" s="925"/>
      <c r="D123" s="964" t="s">
        <v>92</v>
      </c>
      <c r="E123" s="964"/>
      <c r="F123" s="964"/>
      <c r="G123" s="964"/>
      <c r="H123" s="964" t="s">
        <v>667</v>
      </c>
      <c r="I123" s="965">
        <v>180000</v>
      </c>
      <c r="J123"/>
      <c r="K123"/>
      <c r="L123"/>
      <c r="M123"/>
      <c r="N123"/>
      <c r="O123"/>
      <c r="P123"/>
      <c r="Q123"/>
      <c r="R123"/>
      <c r="S123"/>
      <c r="T123"/>
      <c r="U123"/>
      <c r="V123"/>
      <c r="W123"/>
      <c r="X123"/>
      <c r="Y123"/>
      <c r="Z123"/>
      <c r="AA123"/>
      <c r="AB123"/>
    </row>
    <row r="124" spans="1:28" s="749" customFormat="1" ht="24.95" customHeight="1" x14ac:dyDescent="0.35">
      <c r="A124" s="968">
        <v>46000</v>
      </c>
      <c r="B124" s="930" t="s">
        <v>617</v>
      </c>
      <c r="C124" s="925"/>
      <c r="D124" s="964" t="s">
        <v>92</v>
      </c>
      <c r="E124" s="964"/>
      <c r="F124" s="964"/>
      <c r="G124" s="964"/>
      <c r="H124" s="964" t="s">
        <v>698</v>
      </c>
      <c r="I124" s="965">
        <v>92000</v>
      </c>
      <c r="J124"/>
      <c r="K124"/>
      <c r="L124"/>
      <c r="M124"/>
      <c r="N124"/>
      <c r="O124"/>
      <c r="P124"/>
      <c r="Q124"/>
      <c r="R124"/>
      <c r="S124"/>
      <c r="T124"/>
      <c r="U124"/>
      <c r="V124"/>
      <c r="W124"/>
      <c r="X124"/>
      <c r="Y124"/>
      <c r="Z124"/>
      <c r="AA124"/>
      <c r="AB124"/>
    </row>
    <row r="125" spans="1:28" s="749" customFormat="1" ht="24.95" customHeight="1" x14ac:dyDescent="0.35">
      <c r="A125" s="968">
        <v>45663</v>
      </c>
      <c r="B125" s="930" t="s">
        <v>717</v>
      </c>
      <c r="C125" s="925"/>
      <c r="D125" s="964" t="s">
        <v>92</v>
      </c>
      <c r="E125" s="964"/>
      <c r="F125" s="964"/>
      <c r="G125" s="964"/>
      <c r="H125" s="964" t="s">
        <v>718</v>
      </c>
      <c r="I125" s="965">
        <v>2885</v>
      </c>
      <c r="J125"/>
      <c r="K125"/>
      <c r="L125"/>
      <c r="M125"/>
      <c r="N125"/>
      <c r="O125"/>
      <c r="P125"/>
      <c r="Q125"/>
      <c r="R125"/>
      <c r="S125"/>
      <c r="T125"/>
      <c r="U125"/>
      <c r="V125"/>
      <c r="W125"/>
      <c r="X125"/>
      <c r="Y125"/>
      <c r="Z125"/>
      <c r="AA125"/>
      <c r="AB125"/>
    </row>
    <row r="126" spans="1:28" s="749" customFormat="1" ht="24.95" customHeight="1" x14ac:dyDescent="0.35">
      <c r="A126" s="968" t="s">
        <v>421</v>
      </c>
      <c r="B126" s="930" t="s">
        <v>617</v>
      </c>
      <c r="C126" s="925"/>
      <c r="D126" s="964" t="s">
        <v>92</v>
      </c>
      <c r="E126" s="964"/>
      <c r="F126" s="964"/>
      <c r="G126" s="964"/>
      <c r="H126" s="964" t="s">
        <v>824</v>
      </c>
      <c r="I126" s="965">
        <v>31540</v>
      </c>
      <c r="J126"/>
      <c r="K126"/>
      <c r="L126"/>
      <c r="M126"/>
      <c r="N126"/>
      <c r="O126"/>
      <c r="P126"/>
      <c r="Q126"/>
      <c r="R126"/>
      <c r="S126"/>
      <c r="T126"/>
      <c r="U126"/>
      <c r="V126"/>
      <c r="W126"/>
      <c r="X126"/>
      <c r="Y126"/>
      <c r="Z126"/>
      <c r="AA126"/>
      <c r="AB126"/>
    </row>
    <row r="127" spans="1:28" s="749" customFormat="1" ht="24.95" customHeight="1" x14ac:dyDescent="0.35">
      <c r="A127" s="968" t="s">
        <v>421</v>
      </c>
      <c r="B127" s="930" t="s">
        <v>617</v>
      </c>
      <c r="C127" s="925"/>
      <c r="D127" s="964" t="s">
        <v>92</v>
      </c>
      <c r="E127" s="964"/>
      <c r="F127" s="964"/>
      <c r="G127" s="964"/>
      <c r="H127" s="964" t="s">
        <v>825</v>
      </c>
      <c r="I127" s="965">
        <v>80900</v>
      </c>
      <c r="J127"/>
      <c r="K127"/>
      <c r="L127"/>
      <c r="M127"/>
      <c r="N127"/>
      <c r="O127"/>
      <c r="P127"/>
      <c r="Q127"/>
      <c r="R127"/>
      <c r="S127"/>
      <c r="T127"/>
      <c r="U127"/>
      <c r="V127"/>
      <c r="W127"/>
      <c r="X127"/>
      <c r="Y127"/>
      <c r="Z127"/>
      <c r="AA127"/>
      <c r="AB127"/>
    </row>
    <row r="128" spans="1:28" s="749" customFormat="1" ht="24.95" customHeight="1" x14ac:dyDescent="0.35">
      <c r="A128" s="968">
        <v>45964</v>
      </c>
      <c r="B128" s="930" t="s">
        <v>669</v>
      </c>
      <c r="C128" s="925"/>
      <c r="D128" s="964" t="s">
        <v>282</v>
      </c>
      <c r="E128" s="964"/>
      <c r="F128" s="964"/>
      <c r="G128" s="964"/>
      <c r="H128" s="964" t="s">
        <v>670</v>
      </c>
      <c r="I128" s="965">
        <v>81575</v>
      </c>
      <c r="J128"/>
      <c r="K128"/>
      <c r="L128"/>
      <c r="M128"/>
      <c r="N128"/>
      <c r="O128"/>
      <c r="P128"/>
      <c r="Q128"/>
      <c r="R128"/>
      <c r="S128"/>
      <c r="T128"/>
      <c r="U128"/>
      <c r="V128"/>
      <c r="W128"/>
      <c r="X128"/>
      <c r="Y128"/>
      <c r="Z128"/>
      <c r="AA128"/>
      <c r="AB128"/>
    </row>
    <row r="129" spans="1:28" s="749" customFormat="1" ht="24.95" customHeight="1" x14ac:dyDescent="0.35">
      <c r="A129" s="968">
        <v>45978</v>
      </c>
      <c r="B129" s="930" t="s">
        <v>669</v>
      </c>
      <c r="C129" s="925"/>
      <c r="D129" s="964" t="s">
        <v>282</v>
      </c>
      <c r="E129" s="964"/>
      <c r="F129" s="964"/>
      <c r="G129" s="964"/>
      <c r="H129" s="964" t="s">
        <v>493</v>
      </c>
      <c r="I129" s="965">
        <v>134000</v>
      </c>
      <c r="J129"/>
      <c r="K129"/>
      <c r="L129"/>
      <c r="M129"/>
      <c r="N129"/>
      <c r="O129"/>
      <c r="P129"/>
      <c r="Q129"/>
      <c r="R129"/>
      <c r="S129"/>
      <c r="T129"/>
      <c r="U129"/>
      <c r="V129"/>
      <c r="W129"/>
      <c r="X129"/>
      <c r="Y129"/>
      <c r="Z129"/>
      <c r="AA129"/>
      <c r="AB129"/>
    </row>
    <row r="130" spans="1:28" s="749" customFormat="1" ht="24.95" customHeight="1" x14ac:dyDescent="0.35">
      <c r="A130" s="968">
        <v>45981</v>
      </c>
      <c r="B130" s="930" t="s">
        <v>683</v>
      </c>
      <c r="C130" s="925"/>
      <c r="D130" s="964" t="s">
        <v>92</v>
      </c>
      <c r="E130" s="964"/>
      <c r="F130" s="964"/>
      <c r="G130" s="964"/>
      <c r="H130" s="964" t="s">
        <v>684</v>
      </c>
      <c r="I130" s="965">
        <v>72550</v>
      </c>
      <c r="J130"/>
      <c r="K130"/>
      <c r="L130"/>
      <c r="M130"/>
      <c r="N130"/>
      <c r="O130"/>
      <c r="P130"/>
      <c r="Q130"/>
      <c r="R130"/>
      <c r="S130"/>
      <c r="T130"/>
      <c r="U130"/>
      <c r="V130"/>
      <c r="W130"/>
      <c r="X130"/>
      <c r="Y130"/>
      <c r="Z130"/>
      <c r="AA130"/>
      <c r="AB130"/>
    </row>
    <row r="131" spans="1:28" s="749" customFormat="1" ht="24.95" customHeight="1" x14ac:dyDescent="0.35">
      <c r="A131" s="968">
        <v>46006</v>
      </c>
      <c r="B131" s="930" t="s">
        <v>683</v>
      </c>
      <c r="C131" s="925"/>
      <c r="D131" s="964" t="s">
        <v>92</v>
      </c>
      <c r="E131" s="964"/>
      <c r="F131" s="964"/>
      <c r="G131" s="964"/>
      <c r="H131" s="964" t="s">
        <v>709</v>
      </c>
      <c r="I131" s="965">
        <v>72550</v>
      </c>
      <c r="J131"/>
      <c r="K131"/>
      <c r="L131"/>
      <c r="M131"/>
      <c r="N131"/>
      <c r="O131"/>
      <c r="P131"/>
      <c r="Q131"/>
      <c r="R131"/>
      <c r="S131"/>
      <c r="T131"/>
      <c r="U131"/>
      <c r="V131"/>
      <c r="W131"/>
      <c r="X131"/>
      <c r="Y131"/>
      <c r="Z131"/>
      <c r="AA131"/>
      <c r="AB131"/>
    </row>
    <row r="132" spans="1:28" s="749" customFormat="1" ht="24.95" customHeight="1" x14ac:dyDescent="0.35">
      <c r="A132" s="968">
        <v>46133</v>
      </c>
      <c r="B132" s="930" t="s">
        <v>683</v>
      </c>
      <c r="C132" s="925"/>
      <c r="D132" s="964" t="s">
        <v>92</v>
      </c>
      <c r="E132" s="964"/>
      <c r="F132" s="964"/>
      <c r="G132" s="964"/>
      <c r="H132" s="964" t="s">
        <v>855</v>
      </c>
      <c r="I132" s="965">
        <v>105000</v>
      </c>
      <c r="J132"/>
      <c r="K132"/>
      <c r="L132"/>
      <c r="M132"/>
      <c r="N132"/>
      <c r="O132"/>
      <c r="P132"/>
      <c r="Q132"/>
      <c r="R132"/>
      <c r="S132"/>
      <c r="T132"/>
      <c r="U132"/>
      <c r="V132"/>
      <c r="W132"/>
      <c r="X132"/>
      <c r="Y132"/>
      <c r="Z132"/>
      <c r="AA132"/>
      <c r="AB132"/>
    </row>
    <row r="133" spans="1:28" s="749" customFormat="1" ht="24.95" customHeight="1" x14ac:dyDescent="0.35">
      <c r="A133" s="968">
        <v>45985</v>
      </c>
      <c r="B133" s="930" t="s">
        <v>681</v>
      </c>
      <c r="C133" s="925"/>
      <c r="D133" s="964" t="s">
        <v>92</v>
      </c>
      <c r="E133" s="964"/>
      <c r="F133" s="964"/>
      <c r="G133" s="964"/>
      <c r="H133" s="964" t="s">
        <v>682</v>
      </c>
      <c r="I133" s="965">
        <v>1850000</v>
      </c>
      <c r="J133"/>
      <c r="K133"/>
      <c r="L133"/>
      <c r="M133"/>
      <c r="N133"/>
      <c r="O133"/>
      <c r="P133"/>
      <c r="Q133"/>
      <c r="R133"/>
      <c r="S133"/>
      <c r="T133"/>
      <c r="U133"/>
      <c r="V133"/>
      <c r="W133"/>
      <c r="X133"/>
      <c r="Y133"/>
      <c r="Z133"/>
      <c r="AA133"/>
      <c r="AB133"/>
    </row>
    <row r="134" spans="1:28" s="749" customFormat="1" ht="24.95" customHeight="1" x14ac:dyDescent="0.35">
      <c r="A134" s="968">
        <v>45986</v>
      </c>
      <c r="B134" s="930" t="s">
        <v>686</v>
      </c>
      <c r="C134" s="925"/>
      <c r="D134" s="964" t="s">
        <v>90</v>
      </c>
      <c r="E134" s="964"/>
      <c r="F134" s="964" t="s">
        <v>732</v>
      </c>
      <c r="G134" s="964"/>
      <c r="H134" s="964" t="s">
        <v>758</v>
      </c>
      <c r="I134" s="965">
        <v>3061816.29</v>
      </c>
      <c r="J134" t="s">
        <v>478</v>
      </c>
      <c r="K134"/>
      <c r="L134"/>
      <c r="M134"/>
      <c r="N134"/>
      <c r="O134"/>
      <c r="P134"/>
      <c r="Q134"/>
      <c r="R134"/>
      <c r="S134"/>
      <c r="T134"/>
      <c r="U134"/>
      <c r="V134"/>
      <c r="W134"/>
      <c r="X134"/>
      <c r="Y134"/>
      <c r="Z134"/>
      <c r="AA134"/>
      <c r="AB134"/>
    </row>
    <row r="135" spans="1:28" s="749" customFormat="1" ht="24.95" customHeight="1" x14ac:dyDescent="0.35">
      <c r="A135" s="968">
        <v>45965</v>
      </c>
      <c r="B135" s="930" t="s">
        <v>695</v>
      </c>
      <c r="C135" s="925"/>
      <c r="D135" s="964" t="s">
        <v>90</v>
      </c>
      <c r="E135" s="964"/>
      <c r="F135" s="964"/>
      <c r="G135" s="964"/>
      <c r="H135" s="964" t="s">
        <v>696</v>
      </c>
      <c r="I135" s="965" t="s">
        <v>419</v>
      </c>
      <c r="J135"/>
      <c r="K135"/>
      <c r="L135"/>
      <c r="M135"/>
      <c r="N135"/>
      <c r="O135"/>
      <c r="P135"/>
      <c r="Q135"/>
      <c r="R135"/>
      <c r="S135"/>
      <c r="T135"/>
      <c r="U135"/>
      <c r="V135"/>
      <c r="W135"/>
      <c r="X135"/>
      <c r="Y135"/>
      <c r="Z135"/>
      <c r="AA135"/>
      <c r="AB135"/>
    </row>
    <row r="136" spans="1:28" s="749" customFormat="1" ht="24.95" customHeight="1" x14ac:dyDescent="0.35">
      <c r="A136" s="968">
        <v>45995</v>
      </c>
      <c r="B136" s="930" t="s">
        <v>699</v>
      </c>
      <c r="C136" s="925"/>
      <c r="D136" s="964" t="s">
        <v>90</v>
      </c>
      <c r="E136" s="964"/>
      <c r="F136" s="964"/>
      <c r="G136" s="964"/>
      <c r="H136" s="964" t="s">
        <v>700</v>
      </c>
      <c r="I136" s="965" t="s">
        <v>419</v>
      </c>
      <c r="J136"/>
      <c r="K136"/>
      <c r="L136"/>
      <c r="M136"/>
      <c r="N136"/>
      <c r="O136"/>
      <c r="P136"/>
      <c r="Q136"/>
      <c r="R136"/>
      <c r="S136"/>
      <c r="T136"/>
      <c r="U136"/>
      <c r="V136"/>
      <c r="W136"/>
      <c r="X136"/>
      <c r="Y136"/>
      <c r="Z136"/>
      <c r="AA136"/>
      <c r="AB136"/>
    </row>
    <row r="137" spans="1:28" s="749" customFormat="1" ht="24.95" customHeight="1" x14ac:dyDescent="0.35">
      <c r="A137" s="968" t="s">
        <v>705</v>
      </c>
      <c r="B137" s="930" t="s">
        <v>485</v>
      </c>
      <c r="C137" s="925"/>
      <c r="D137" s="964" t="s">
        <v>282</v>
      </c>
      <c r="E137" s="964"/>
      <c r="F137" s="964" t="s">
        <v>734</v>
      </c>
      <c r="G137" s="964"/>
      <c r="H137" s="964" t="s">
        <v>706</v>
      </c>
      <c r="I137" s="965">
        <v>18800</v>
      </c>
      <c r="J137"/>
      <c r="K137"/>
      <c r="L137"/>
      <c r="M137"/>
      <c r="N137"/>
      <c r="O137"/>
      <c r="P137"/>
      <c r="Q137"/>
      <c r="R137"/>
      <c r="S137"/>
      <c r="T137"/>
      <c r="U137"/>
      <c r="V137"/>
      <c r="W137"/>
      <c r="X137"/>
      <c r="Y137"/>
      <c r="Z137"/>
      <c r="AA137"/>
      <c r="AB137"/>
    </row>
    <row r="138" spans="1:28" s="749" customFormat="1" ht="24.95" customHeight="1" x14ac:dyDescent="0.35">
      <c r="A138" s="968">
        <v>46008</v>
      </c>
      <c r="B138" s="930" t="s">
        <v>485</v>
      </c>
      <c r="C138" s="925"/>
      <c r="D138" s="964" t="s">
        <v>282</v>
      </c>
      <c r="E138" s="964"/>
      <c r="F138" s="964" t="s">
        <v>735</v>
      </c>
      <c r="G138" s="964"/>
      <c r="H138" s="964" t="s">
        <v>710</v>
      </c>
      <c r="I138" s="965">
        <v>23868</v>
      </c>
      <c r="J138"/>
      <c r="K138"/>
      <c r="L138"/>
      <c r="M138"/>
      <c r="N138"/>
      <c r="O138"/>
      <c r="P138"/>
      <c r="Q138"/>
      <c r="R138"/>
      <c r="S138"/>
      <c r="T138"/>
      <c r="U138"/>
      <c r="V138"/>
      <c r="W138"/>
      <c r="X138"/>
      <c r="Y138"/>
      <c r="Z138"/>
      <c r="AA138"/>
      <c r="AB138"/>
    </row>
    <row r="139" spans="1:28" s="749" customFormat="1" ht="24.95" customHeight="1" x14ac:dyDescent="0.35">
      <c r="A139" s="968">
        <v>46092</v>
      </c>
      <c r="B139" s="930" t="s">
        <v>485</v>
      </c>
      <c r="C139" s="925"/>
      <c r="D139" s="964" t="s">
        <v>282</v>
      </c>
      <c r="E139" s="964"/>
      <c r="F139" s="964" t="s">
        <v>854</v>
      </c>
      <c r="G139" s="964"/>
      <c r="H139" s="964" t="s">
        <v>842</v>
      </c>
      <c r="I139" s="965">
        <v>48996.4</v>
      </c>
      <c r="J139"/>
      <c r="K139"/>
      <c r="L139"/>
      <c r="M139"/>
      <c r="N139"/>
      <c r="O139"/>
      <c r="P139"/>
      <c r="Q139"/>
      <c r="R139"/>
      <c r="S139"/>
      <c r="T139"/>
      <c r="U139"/>
      <c r="V139"/>
      <c r="W139"/>
      <c r="X139"/>
      <c r="Y139"/>
      <c r="Z139"/>
      <c r="AA139"/>
      <c r="AB139"/>
    </row>
    <row r="140" spans="1:28" s="749" customFormat="1" ht="24.95" customHeight="1" x14ac:dyDescent="0.35">
      <c r="A140" s="968">
        <v>45662</v>
      </c>
      <c r="B140" s="930" t="s">
        <v>683</v>
      </c>
      <c r="C140" s="925"/>
      <c r="D140" s="964" t="s">
        <v>92</v>
      </c>
      <c r="E140" s="964"/>
      <c r="F140" s="964"/>
      <c r="G140" s="964"/>
      <c r="H140" s="964" t="s">
        <v>719</v>
      </c>
      <c r="I140" s="965">
        <v>3500</v>
      </c>
      <c r="J140"/>
      <c r="K140"/>
      <c r="L140"/>
      <c r="M140"/>
      <c r="N140"/>
      <c r="O140"/>
      <c r="P140"/>
      <c r="Q140"/>
      <c r="R140"/>
      <c r="S140"/>
      <c r="T140"/>
      <c r="U140"/>
      <c r="V140"/>
      <c r="W140"/>
      <c r="X140"/>
      <c r="Y140"/>
      <c r="Z140"/>
      <c r="AA140"/>
      <c r="AB140"/>
    </row>
    <row r="141" spans="1:28" s="749" customFormat="1" ht="24.95" customHeight="1" x14ac:dyDescent="0.35">
      <c r="A141" s="968">
        <v>45662</v>
      </c>
      <c r="B141" s="930" t="s">
        <v>683</v>
      </c>
      <c r="C141" s="925"/>
      <c r="D141" s="964" t="s">
        <v>92</v>
      </c>
      <c r="E141" s="964"/>
      <c r="F141" s="964"/>
      <c r="G141" s="964"/>
      <c r="H141" s="964" t="s">
        <v>720</v>
      </c>
      <c r="I141" s="965">
        <v>3500</v>
      </c>
      <c r="J141"/>
      <c r="K141"/>
      <c r="L141"/>
      <c r="M141"/>
      <c r="N141"/>
      <c r="O141"/>
      <c r="P141"/>
      <c r="Q141"/>
      <c r="R141"/>
      <c r="S141"/>
      <c r="T141"/>
      <c r="U141"/>
      <c r="V141"/>
      <c r="W141"/>
      <c r="X141"/>
      <c r="Y141"/>
      <c r="Z141"/>
      <c r="AA141"/>
      <c r="AB141"/>
    </row>
    <row r="142" spans="1:28" s="749" customFormat="1" ht="24.95" customHeight="1" x14ac:dyDescent="0.35">
      <c r="A142" s="968">
        <v>46041</v>
      </c>
      <c r="B142" s="930" t="s">
        <v>417</v>
      </c>
      <c r="C142" s="925"/>
      <c r="D142" s="964" t="s">
        <v>90</v>
      </c>
      <c r="E142" s="964"/>
      <c r="F142" s="964"/>
      <c r="G142" s="964"/>
      <c r="H142" s="964" t="s">
        <v>724</v>
      </c>
      <c r="I142" s="965" t="s">
        <v>419</v>
      </c>
      <c r="J142"/>
      <c r="K142"/>
      <c r="L142"/>
      <c r="M142"/>
      <c r="N142"/>
      <c r="O142"/>
      <c r="P142"/>
      <c r="Q142"/>
      <c r="R142"/>
      <c r="S142"/>
      <c r="T142"/>
      <c r="U142"/>
      <c r="V142"/>
      <c r="W142"/>
      <c r="X142"/>
      <c r="Y142"/>
      <c r="Z142"/>
      <c r="AA142"/>
      <c r="AB142"/>
    </row>
    <row r="143" spans="1:28" s="749" customFormat="1" ht="24.95" customHeight="1" x14ac:dyDescent="0.35">
      <c r="A143" s="968">
        <v>46042</v>
      </c>
      <c r="B143" s="930" t="s">
        <v>730</v>
      </c>
      <c r="C143" s="925"/>
      <c r="D143" s="964" t="s">
        <v>90</v>
      </c>
      <c r="E143" s="964"/>
      <c r="F143" s="964"/>
      <c r="G143" s="964"/>
      <c r="H143" s="964" t="s">
        <v>731</v>
      </c>
      <c r="I143" s="965" t="s">
        <v>419</v>
      </c>
      <c r="J143"/>
      <c r="K143"/>
      <c r="L143"/>
      <c r="M143"/>
      <c r="N143"/>
      <c r="O143"/>
      <c r="P143"/>
      <c r="Q143"/>
      <c r="R143"/>
      <c r="S143"/>
      <c r="T143"/>
      <c r="U143"/>
      <c r="V143"/>
      <c r="W143"/>
      <c r="X143"/>
      <c r="Y143"/>
      <c r="Z143"/>
      <c r="AA143"/>
      <c r="AB143"/>
    </row>
    <row r="144" spans="1:28" s="749" customFormat="1" ht="24.95" customHeight="1" x14ac:dyDescent="0.35">
      <c r="A144" s="968">
        <v>46048</v>
      </c>
      <c r="B144" s="930" t="s">
        <v>155</v>
      </c>
      <c r="C144" s="925"/>
      <c r="D144" s="964" t="s">
        <v>94</v>
      </c>
      <c r="E144" s="964"/>
      <c r="F144" s="964"/>
      <c r="G144" s="964"/>
      <c r="H144" s="964" t="s">
        <v>818</v>
      </c>
      <c r="I144" s="965">
        <v>1425260</v>
      </c>
      <c r="J144"/>
      <c r="K144"/>
      <c r="L144"/>
      <c r="M144"/>
      <c r="N144"/>
      <c r="O144"/>
      <c r="P144"/>
      <c r="Q144"/>
      <c r="R144"/>
      <c r="S144"/>
      <c r="T144"/>
      <c r="U144"/>
      <c r="V144"/>
      <c r="W144"/>
      <c r="X144"/>
      <c r="Y144"/>
      <c r="Z144"/>
      <c r="AA144"/>
      <c r="AB144"/>
    </row>
    <row r="145" spans="1:28" s="749" customFormat="1" ht="24.95" customHeight="1" x14ac:dyDescent="0.35">
      <c r="A145" s="968">
        <v>46051</v>
      </c>
      <c r="B145" s="930" t="s">
        <v>741</v>
      </c>
      <c r="C145" s="925"/>
      <c r="D145" s="964" t="s">
        <v>92</v>
      </c>
      <c r="E145" s="964"/>
      <c r="F145" s="964"/>
      <c r="G145" s="964"/>
      <c r="H145" s="964" t="s">
        <v>742</v>
      </c>
      <c r="I145" s="965">
        <v>99500</v>
      </c>
      <c r="J145"/>
      <c r="K145"/>
      <c r="L145"/>
      <c r="M145"/>
      <c r="N145"/>
      <c r="O145"/>
      <c r="P145"/>
      <c r="Q145"/>
      <c r="R145"/>
      <c r="S145"/>
      <c r="T145"/>
      <c r="U145"/>
      <c r="V145"/>
      <c r="W145"/>
      <c r="X145"/>
      <c r="Y145"/>
      <c r="Z145"/>
      <c r="AA145"/>
      <c r="AB145"/>
    </row>
    <row r="146" spans="1:28" s="749" customFormat="1" ht="24.95" customHeight="1" x14ac:dyDescent="0.35">
      <c r="A146" s="968">
        <v>46051</v>
      </c>
      <c r="B146" s="930" t="s">
        <v>741</v>
      </c>
      <c r="C146" s="925"/>
      <c r="D146" s="964" t="s">
        <v>92</v>
      </c>
      <c r="E146" s="964"/>
      <c r="F146" s="964"/>
      <c r="G146" s="964"/>
      <c r="H146" s="964" t="s">
        <v>743</v>
      </c>
      <c r="I146" s="965">
        <v>80000</v>
      </c>
      <c r="J146"/>
      <c r="K146"/>
      <c r="L146"/>
      <c r="M146"/>
      <c r="N146"/>
      <c r="O146"/>
      <c r="P146"/>
      <c r="Q146"/>
      <c r="R146"/>
      <c r="S146"/>
      <c r="T146"/>
      <c r="U146"/>
      <c r="V146"/>
      <c r="W146"/>
      <c r="X146"/>
      <c r="Y146"/>
      <c r="Z146"/>
      <c r="AA146"/>
      <c r="AB146"/>
    </row>
    <row r="147" spans="1:28" s="749" customFormat="1" ht="24.95" customHeight="1" x14ac:dyDescent="0.35">
      <c r="A147" s="968">
        <v>46057</v>
      </c>
      <c r="B147" s="930" t="s">
        <v>761</v>
      </c>
      <c r="C147" s="925"/>
      <c r="D147" s="964" t="s">
        <v>282</v>
      </c>
      <c r="E147" s="964"/>
      <c r="F147" s="964"/>
      <c r="G147" s="964"/>
      <c r="H147" s="964" t="s">
        <v>762</v>
      </c>
      <c r="I147" s="965">
        <v>8800</v>
      </c>
      <c r="J147"/>
      <c r="K147"/>
      <c r="L147"/>
      <c r="M147"/>
      <c r="N147"/>
      <c r="O147"/>
      <c r="P147"/>
      <c r="Q147"/>
      <c r="R147"/>
      <c r="S147"/>
      <c r="T147"/>
      <c r="U147"/>
      <c r="V147"/>
      <c r="W147"/>
      <c r="X147"/>
      <c r="Y147"/>
      <c r="Z147"/>
      <c r="AA147"/>
      <c r="AB147"/>
    </row>
    <row r="148" spans="1:28" s="749" customFormat="1" ht="24.95" customHeight="1" x14ac:dyDescent="0.35">
      <c r="A148" s="968" t="s">
        <v>421</v>
      </c>
      <c r="B148" s="930" t="s">
        <v>763</v>
      </c>
      <c r="C148" s="925"/>
      <c r="D148" s="964" t="s">
        <v>92</v>
      </c>
      <c r="E148" s="964"/>
      <c r="F148" s="964"/>
      <c r="G148" s="964"/>
      <c r="H148" s="964" t="s">
        <v>764</v>
      </c>
      <c r="I148" s="965" t="s">
        <v>419</v>
      </c>
      <c r="J148"/>
      <c r="K148"/>
      <c r="L148"/>
      <c r="M148"/>
      <c r="N148"/>
      <c r="O148"/>
      <c r="P148"/>
      <c r="Q148"/>
      <c r="R148"/>
      <c r="S148"/>
      <c r="T148"/>
      <c r="U148"/>
      <c r="V148"/>
      <c r="W148"/>
      <c r="X148"/>
      <c r="Y148"/>
      <c r="Z148"/>
      <c r="AA148"/>
      <c r="AB148"/>
    </row>
    <row r="149" spans="1:28" s="749" customFormat="1" ht="24.95" customHeight="1" x14ac:dyDescent="0.35">
      <c r="A149" s="968">
        <v>46057</v>
      </c>
      <c r="B149" s="930" t="s">
        <v>765</v>
      </c>
      <c r="C149" s="925"/>
      <c r="D149" s="964" t="s">
        <v>92</v>
      </c>
      <c r="E149" s="964"/>
      <c r="F149" s="964"/>
      <c r="G149" s="964"/>
      <c r="H149" s="964" t="s">
        <v>766</v>
      </c>
      <c r="I149" s="965" t="s">
        <v>419</v>
      </c>
      <c r="J149"/>
      <c r="K149"/>
      <c r="L149"/>
      <c r="M149"/>
      <c r="N149"/>
      <c r="O149"/>
      <c r="P149"/>
      <c r="Q149"/>
      <c r="R149"/>
      <c r="S149"/>
      <c r="T149"/>
      <c r="U149"/>
      <c r="V149"/>
      <c r="W149"/>
      <c r="X149"/>
      <c r="Y149"/>
      <c r="Z149"/>
      <c r="AA149"/>
      <c r="AB149"/>
    </row>
    <row r="150" spans="1:28" s="749" customFormat="1" ht="24.95" customHeight="1" x14ac:dyDescent="0.35">
      <c r="A150" s="968">
        <v>46057</v>
      </c>
      <c r="B150" s="930" t="s">
        <v>765</v>
      </c>
      <c r="C150" s="925"/>
      <c r="D150" s="964" t="s">
        <v>92</v>
      </c>
      <c r="E150" s="964"/>
      <c r="F150" s="964"/>
      <c r="G150" s="964"/>
      <c r="H150" s="964" t="s">
        <v>767</v>
      </c>
      <c r="I150" s="965" t="s">
        <v>419</v>
      </c>
      <c r="J150"/>
      <c r="K150"/>
      <c r="L150"/>
      <c r="M150"/>
      <c r="N150"/>
      <c r="O150"/>
      <c r="P150"/>
      <c r="Q150"/>
      <c r="R150"/>
      <c r="S150"/>
      <c r="T150"/>
      <c r="U150"/>
      <c r="V150"/>
      <c r="W150"/>
      <c r="X150"/>
      <c r="Y150"/>
      <c r="Z150"/>
      <c r="AA150"/>
      <c r="AB150"/>
    </row>
    <row r="151" spans="1:28" s="749" customFormat="1" ht="24.95" customHeight="1" x14ac:dyDescent="0.35">
      <c r="A151" s="968">
        <v>46057</v>
      </c>
      <c r="B151" s="930" t="s">
        <v>770</v>
      </c>
      <c r="C151" s="925"/>
      <c r="D151" s="964" t="s">
        <v>92</v>
      </c>
      <c r="E151" s="964"/>
      <c r="F151" s="964"/>
      <c r="G151" s="964"/>
      <c r="H151" s="964" t="s">
        <v>771</v>
      </c>
      <c r="I151" s="965">
        <v>17500</v>
      </c>
      <c r="J151" t="s">
        <v>478</v>
      </c>
      <c r="K151"/>
      <c r="L151"/>
      <c r="M151"/>
      <c r="N151"/>
      <c r="O151"/>
      <c r="P151"/>
      <c r="Q151"/>
      <c r="R151"/>
      <c r="S151"/>
      <c r="T151"/>
      <c r="U151"/>
      <c r="V151"/>
      <c r="W151"/>
      <c r="X151"/>
      <c r="Y151"/>
      <c r="Z151"/>
      <c r="AA151"/>
      <c r="AB151"/>
    </row>
    <row r="152" spans="1:28" s="749" customFormat="1" ht="24.95" customHeight="1" x14ac:dyDescent="0.35">
      <c r="A152" s="968"/>
      <c r="B152" s="930" t="s">
        <v>772</v>
      </c>
      <c r="C152" s="925"/>
      <c r="D152" s="964" t="s">
        <v>92</v>
      </c>
      <c r="E152" s="964"/>
      <c r="F152" s="964"/>
      <c r="G152" s="964"/>
      <c r="H152" s="964" t="s">
        <v>773</v>
      </c>
      <c r="I152" s="965">
        <v>39895</v>
      </c>
      <c r="J152"/>
      <c r="K152"/>
      <c r="L152"/>
      <c r="M152"/>
      <c r="N152"/>
      <c r="O152"/>
      <c r="P152"/>
      <c r="Q152"/>
      <c r="R152"/>
      <c r="S152"/>
      <c r="T152"/>
      <c r="U152"/>
      <c r="V152"/>
      <c r="W152"/>
      <c r="X152"/>
      <c r="Y152"/>
      <c r="Z152"/>
      <c r="AA152"/>
      <c r="AB152"/>
    </row>
    <row r="153" spans="1:28" s="749" customFormat="1" ht="24.95" customHeight="1" x14ac:dyDescent="0.35">
      <c r="A153" s="968">
        <v>46071</v>
      </c>
      <c r="B153" s="930" t="s">
        <v>772</v>
      </c>
      <c r="C153" s="925"/>
      <c r="D153" s="964" t="s">
        <v>92</v>
      </c>
      <c r="E153" s="964"/>
      <c r="F153" s="964"/>
      <c r="G153" s="964"/>
      <c r="H153" s="964" t="s">
        <v>787</v>
      </c>
      <c r="I153" s="965">
        <v>25036</v>
      </c>
      <c r="J153"/>
      <c r="K153"/>
      <c r="L153"/>
      <c r="M153"/>
      <c r="N153"/>
      <c r="O153"/>
      <c r="P153"/>
      <c r="Q153"/>
      <c r="R153"/>
      <c r="S153"/>
      <c r="T153"/>
      <c r="U153"/>
      <c r="V153"/>
      <c r="W153"/>
      <c r="X153"/>
      <c r="Y153"/>
      <c r="Z153"/>
      <c r="AA153"/>
      <c r="AB153"/>
    </row>
    <row r="154" spans="1:28" s="749" customFormat="1" ht="24.95" customHeight="1" x14ac:dyDescent="0.35">
      <c r="A154" s="968">
        <v>46119</v>
      </c>
      <c r="B154" s="930" t="s">
        <v>772</v>
      </c>
      <c r="C154" s="925"/>
      <c r="D154" s="964" t="s">
        <v>92</v>
      </c>
      <c r="E154" s="964"/>
      <c r="F154" s="964"/>
      <c r="G154" s="964"/>
      <c r="H154" s="964" t="s">
        <v>856</v>
      </c>
      <c r="I154" s="965">
        <v>18163</v>
      </c>
      <c r="J154"/>
      <c r="K154"/>
      <c r="L154"/>
      <c r="M154"/>
      <c r="N154"/>
      <c r="O154"/>
      <c r="P154"/>
      <c r="Q154"/>
      <c r="R154"/>
      <c r="S154"/>
      <c r="T154"/>
      <c r="U154"/>
      <c r="V154"/>
      <c r="W154"/>
      <c r="X154"/>
      <c r="Y154"/>
      <c r="Z154"/>
      <c r="AA154"/>
      <c r="AB154"/>
    </row>
    <row r="155" spans="1:28" s="749" customFormat="1" ht="24.95" customHeight="1" x14ac:dyDescent="0.35">
      <c r="A155" s="968">
        <v>46140</v>
      </c>
      <c r="B155" s="930" t="s">
        <v>772</v>
      </c>
      <c r="C155" s="925"/>
      <c r="D155" s="964" t="s">
        <v>92</v>
      </c>
      <c r="E155" s="964"/>
      <c r="F155" s="964"/>
      <c r="G155" s="964"/>
      <c r="H155" s="964" t="s">
        <v>857</v>
      </c>
      <c r="I155" s="965" t="s">
        <v>419</v>
      </c>
      <c r="J155"/>
      <c r="K155"/>
      <c r="L155"/>
      <c r="M155"/>
      <c r="N155"/>
      <c r="O155"/>
      <c r="P155"/>
      <c r="Q155"/>
      <c r="R155"/>
      <c r="S155"/>
      <c r="T155"/>
      <c r="U155"/>
      <c r="V155"/>
      <c r="W155"/>
      <c r="X155"/>
      <c r="Y155"/>
      <c r="Z155"/>
      <c r="AA155"/>
      <c r="AB155"/>
    </row>
    <row r="156" spans="1:28" s="749" customFormat="1" ht="24.95" customHeight="1" x14ac:dyDescent="0.35">
      <c r="A156" s="968">
        <v>46059</v>
      </c>
      <c r="B156" s="930" t="s">
        <v>775</v>
      </c>
      <c r="C156" s="925"/>
      <c r="D156" s="964" t="s">
        <v>92</v>
      </c>
      <c r="E156" s="964"/>
      <c r="F156" s="964"/>
      <c r="G156" s="964"/>
      <c r="H156" s="964" t="s">
        <v>776</v>
      </c>
      <c r="I156" s="965" t="s">
        <v>419</v>
      </c>
      <c r="J156"/>
      <c r="K156"/>
      <c r="L156"/>
      <c r="M156"/>
      <c r="N156"/>
      <c r="O156"/>
      <c r="P156"/>
      <c r="Q156"/>
      <c r="R156"/>
      <c r="S156"/>
      <c r="T156"/>
      <c r="U156"/>
      <c r="V156"/>
      <c r="W156"/>
      <c r="X156"/>
      <c r="Y156"/>
      <c r="Z156"/>
      <c r="AA156"/>
      <c r="AB156"/>
    </row>
    <row r="157" spans="1:28" s="749" customFormat="1" ht="24.95" customHeight="1" x14ac:dyDescent="0.35">
      <c r="A157" s="968"/>
      <c r="B157" s="930" t="s">
        <v>777</v>
      </c>
      <c r="C157" s="925"/>
      <c r="D157" s="964" t="s">
        <v>92</v>
      </c>
      <c r="E157" s="964"/>
      <c r="F157" s="964"/>
      <c r="G157" s="964"/>
      <c r="H157" s="964" t="s">
        <v>778</v>
      </c>
      <c r="I157" s="965" t="s">
        <v>419</v>
      </c>
      <c r="J157"/>
      <c r="K157"/>
      <c r="L157"/>
      <c r="M157"/>
      <c r="N157"/>
      <c r="O157"/>
      <c r="P157"/>
      <c r="Q157"/>
      <c r="R157"/>
      <c r="S157"/>
      <c r="T157"/>
      <c r="U157"/>
      <c r="V157"/>
      <c r="W157"/>
      <c r="X157"/>
      <c r="Y157"/>
      <c r="Z157"/>
      <c r="AA157"/>
      <c r="AB157"/>
    </row>
    <row r="158" spans="1:28" s="749" customFormat="1" ht="24.95" customHeight="1" x14ac:dyDescent="0.35">
      <c r="A158" s="968">
        <v>46063</v>
      </c>
      <c r="B158" s="930" t="s">
        <v>777</v>
      </c>
      <c r="C158" s="925"/>
      <c r="D158" s="964" t="s">
        <v>92</v>
      </c>
      <c r="E158" s="964"/>
      <c r="F158" s="964"/>
      <c r="G158" s="964"/>
      <c r="H158" s="964" t="s">
        <v>779</v>
      </c>
      <c r="I158" s="965" t="s">
        <v>419</v>
      </c>
      <c r="J158"/>
      <c r="K158"/>
      <c r="L158"/>
      <c r="M158"/>
      <c r="N158"/>
      <c r="O158"/>
      <c r="P158"/>
      <c r="Q158"/>
      <c r="R158"/>
      <c r="S158"/>
      <c r="T158"/>
      <c r="U158"/>
      <c r="V158"/>
      <c r="W158"/>
      <c r="X158"/>
      <c r="Y158"/>
      <c r="Z158"/>
      <c r="AA158"/>
      <c r="AB158"/>
    </row>
    <row r="159" spans="1:28" s="749" customFormat="1" ht="24.95" customHeight="1" x14ac:dyDescent="0.35">
      <c r="A159" s="968">
        <v>46063</v>
      </c>
      <c r="B159" s="930" t="s">
        <v>777</v>
      </c>
      <c r="C159" s="925"/>
      <c r="D159" s="964" t="s">
        <v>92</v>
      </c>
      <c r="E159" s="964"/>
      <c r="F159" s="964"/>
      <c r="G159" s="964"/>
      <c r="H159" s="964" t="s">
        <v>843</v>
      </c>
      <c r="I159" s="965" t="s">
        <v>419</v>
      </c>
      <c r="J159"/>
      <c r="K159"/>
      <c r="L159"/>
      <c r="M159"/>
      <c r="N159"/>
      <c r="O159"/>
      <c r="P159"/>
      <c r="Q159"/>
      <c r="R159"/>
      <c r="S159"/>
      <c r="T159"/>
      <c r="U159"/>
      <c r="V159"/>
      <c r="W159"/>
      <c r="X159"/>
      <c r="Y159"/>
      <c r="Z159"/>
      <c r="AA159"/>
      <c r="AB159"/>
    </row>
    <row r="160" spans="1:28" s="749" customFormat="1" ht="24.95" customHeight="1" x14ac:dyDescent="0.35">
      <c r="A160" s="968"/>
      <c r="B160" s="930" t="s">
        <v>782</v>
      </c>
      <c r="C160" s="925"/>
      <c r="D160" s="964" t="s">
        <v>92</v>
      </c>
      <c r="E160" s="964"/>
      <c r="F160" s="964" t="s">
        <v>795</v>
      </c>
      <c r="G160" s="964"/>
      <c r="H160" s="964" t="s">
        <v>783</v>
      </c>
      <c r="I160" s="965">
        <v>59500</v>
      </c>
      <c r="J160"/>
      <c r="K160"/>
      <c r="L160"/>
      <c r="M160"/>
      <c r="N160"/>
      <c r="O160"/>
      <c r="P160"/>
      <c r="Q160"/>
      <c r="R160"/>
      <c r="S160"/>
      <c r="T160"/>
      <c r="U160"/>
      <c r="V160"/>
      <c r="W160"/>
      <c r="X160"/>
      <c r="Y160"/>
      <c r="Z160"/>
      <c r="AA160"/>
      <c r="AB160"/>
    </row>
    <row r="161" spans="1:28" s="749" customFormat="1" ht="24.95" customHeight="1" x14ac:dyDescent="0.35">
      <c r="A161" s="968">
        <v>46069</v>
      </c>
      <c r="B161" s="986" t="s">
        <v>785</v>
      </c>
      <c r="C161" s="925"/>
      <c r="D161" s="964" t="s">
        <v>92</v>
      </c>
      <c r="E161" s="964"/>
      <c r="F161" s="964"/>
      <c r="G161" s="964"/>
      <c r="H161" s="964" t="s">
        <v>788</v>
      </c>
      <c r="I161" s="965">
        <v>1800</v>
      </c>
      <c r="J161"/>
      <c r="K161"/>
      <c r="L161"/>
      <c r="M161"/>
      <c r="N161"/>
      <c r="O161"/>
      <c r="P161"/>
      <c r="Q161"/>
      <c r="R161"/>
      <c r="S161"/>
      <c r="T161"/>
      <c r="U161"/>
      <c r="V161"/>
      <c r="W161"/>
      <c r="X161"/>
      <c r="Y161"/>
      <c r="Z161"/>
      <c r="AA161"/>
      <c r="AB161"/>
    </row>
    <row r="162" spans="1:28" s="749" customFormat="1" ht="24.95" customHeight="1" x14ac:dyDescent="0.35">
      <c r="A162" s="968"/>
      <c r="B162" s="986" t="s">
        <v>822</v>
      </c>
      <c r="C162" s="925"/>
      <c r="D162" s="964" t="s">
        <v>92</v>
      </c>
      <c r="E162" s="964"/>
      <c r="F162" s="964"/>
      <c r="G162" s="964"/>
      <c r="H162" s="964" t="s">
        <v>823</v>
      </c>
      <c r="I162" s="965">
        <v>8815</v>
      </c>
      <c r="J162"/>
      <c r="K162"/>
      <c r="L162"/>
      <c r="M162"/>
      <c r="N162"/>
      <c r="O162"/>
      <c r="P162"/>
      <c r="Q162"/>
      <c r="R162"/>
      <c r="S162"/>
      <c r="T162"/>
      <c r="U162"/>
      <c r="V162"/>
      <c r="W162"/>
      <c r="X162"/>
      <c r="Y162"/>
      <c r="Z162"/>
      <c r="AA162"/>
      <c r="AB162"/>
    </row>
    <row r="163" spans="1:28" s="749" customFormat="1" ht="24.95" customHeight="1" x14ac:dyDescent="0.35">
      <c r="A163" s="968"/>
      <c r="B163" s="986" t="s">
        <v>785</v>
      </c>
      <c r="C163" s="925"/>
      <c r="D163" s="964" t="s">
        <v>92</v>
      </c>
      <c r="E163" s="964"/>
      <c r="F163" s="964"/>
      <c r="G163" s="964"/>
      <c r="H163" s="964" t="s">
        <v>826</v>
      </c>
      <c r="I163" s="965">
        <v>20560</v>
      </c>
      <c r="J163"/>
      <c r="K163"/>
      <c r="L163"/>
      <c r="M163"/>
      <c r="N163"/>
      <c r="O163"/>
      <c r="P163"/>
      <c r="Q163"/>
      <c r="R163"/>
      <c r="S163"/>
      <c r="T163"/>
      <c r="U163"/>
      <c r="V163"/>
      <c r="W163"/>
      <c r="X163"/>
      <c r="Y163"/>
      <c r="Z163"/>
      <c r="AA163"/>
      <c r="AB163"/>
    </row>
    <row r="164" spans="1:28" s="749" customFormat="1" ht="24.95" customHeight="1" x14ac:dyDescent="0.35">
      <c r="A164" s="968"/>
      <c r="B164" s="986" t="s">
        <v>785</v>
      </c>
      <c r="C164" s="925"/>
      <c r="D164" s="964" t="s">
        <v>92</v>
      </c>
      <c r="E164" s="964"/>
      <c r="F164" s="964"/>
      <c r="G164" s="964"/>
      <c r="H164" s="964" t="s">
        <v>827</v>
      </c>
      <c r="I164" s="965">
        <v>4340</v>
      </c>
      <c r="J164"/>
      <c r="K164"/>
      <c r="L164"/>
      <c r="M164"/>
      <c r="N164"/>
      <c r="O164"/>
      <c r="P164"/>
      <c r="Q164"/>
      <c r="R164"/>
      <c r="S164"/>
      <c r="T164"/>
      <c r="U164"/>
      <c r="V164"/>
      <c r="W164"/>
      <c r="X164"/>
      <c r="Y164"/>
      <c r="Z164"/>
      <c r="AA164"/>
      <c r="AB164"/>
    </row>
    <row r="165" spans="1:28" s="749" customFormat="1" ht="24.95" customHeight="1" x14ac:dyDescent="0.35">
      <c r="A165" s="968">
        <v>46071</v>
      </c>
      <c r="B165" s="986" t="s">
        <v>789</v>
      </c>
      <c r="C165" s="925"/>
      <c r="D165" s="964" t="s">
        <v>92</v>
      </c>
      <c r="E165" s="964"/>
      <c r="F165" s="964"/>
      <c r="G165" s="964"/>
      <c r="H165" s="964" t="s">
        <v>790</v>
      </c>
      <c r="I165" s="965">
        <v>254750</v>
      </c>
      <c r="J165"/>
      <c r="K165"/>
      <c r="L165"/>
      <c r="M165"/>
      <c r="N165"/>
      <c r="O165"/>
      <c r="P165"/>
      <c r="Q165"/>
      <c r="R165"/>
      <c r="S165"/>
      <c r="T165"/>
      <c r="U165"/>
      <c r="V165"/>
      <c r="W165"/>
      <c r="X165"/>
      <c r="Y165"/>
      <c r="Z165"/>
      <c r="AA165"/>
      <c r="AB165"/>
    </row>
    <row r="166" spans="1:28" s="749" customFormat="1" ht="24.95" customHeight="1" x14ac:dyDescent="0.35">
      <c r="A166" s="968"/>
      <c r="B166" s="986" t="s">
        <v>798</v>
      </c>
      <c r="C166" s="925"/>
      <c r="D166" s="964" t="s">
        <v>92</v>
      </c>
      <c r="E166" s="964"/>
      <c r="F166" s="964"/>
      <c r="G166" s="964"/>
      <c r="H166" s="964" t="s">
        <v>799</v>
      </c>
      <c r="I166" s="965" t="s">
        <v>419</v>
      </c>
      <c r="J166"/>
      <c r="K166"/>
      <c r="L166"/>
      <c r="M166"/>
      <c r="N166"/>
      <c r="O166"/>
      <c r="P166"/>
      <c r="Q166"/>
      <c r="R166"/>
      <c r="S166"/>
      <c r="T166"/>
      <c r="U166"/>
      <c r="V166"/>
      <c r="W166"/>
      <c r="X166"/>
      <c r="Y166"/>
      <c r="Z166"/>
      <c r="AA166"/>
      <c r="AB166"/>
    </row>
    <row r="167" spans="1:28" s="749" customFormat="1" ht="24.95" customHeight="1" x14ac:dyDescent="0.35">
      <c r="A167" s="968">
        <v>46084</v>
      </c>
      <c r="B167" s="986" t="s">
        <v>430</v>
      </c>
      <c r="C167" s="925"/>
      <c r="D167" s="964" t="s">
        <v>92</v>
      </c>
      <c r="E167" s="964"/>
      <c r="F167" s="964"/>
      <c r="G167" s="964"/>
      <c r="H167" s="964" t="s">
        <v>807</v>
      </c>
      <c r="I167" s="965">
        <v>79500</v>
      </c>
      <c r="J167"/>
      <c r="K167"/>
      <c r="L167"/>
      <c r="M167"/>
      <c r="N167"/>
      <c r="O167"/>
      <c r="P167"/>
      <c r="Q167"/>
      <c r="R167"/>
      <c r="S167"/>
      <c r="T167"/>
      <c r="U167"/>
      <c r="V167"/>
      <c r="W167"/>
      <c r="X167"/>
      <c r="Y167"/>
      <c r="Z167"/>
      <c r="AA167"/>
      <c r="AB167"/>
    </row>
    <row r="168" spans="1:28" s="749" customFormat="1" ht="24.95" customHeight="1" x14ac:dyDescent="0.35">
      <c r="A168" s="968">
        <v>46083</v>
      </c>
      <c r="B168" s="986" t="s">
        <v>808</v>
      </c>
      <c r="C168" s="925"/>
      <c r="D168" s="964" t="s">
        <v>92</v>
      </c>
      <c r="E168" s="964"/>
      <c r="F168" s="964"/>
      <c r="G168" s="964"/>
      <c r="H168" s="964" t="s">
        <v>809</v>
      </c>
      <c r="I168" s="965">
        <v>90000</v>
      </c>
      <c r="J168"/>
      <c r="K168"/>
      <c r="L168"/>
      <c r="M168"/>
      <c r="N168"/>
      <c r="O168"/>
      <c r="P168"/>
      <c r="Q168"/>
      <c r="R168"/>
      <c r="S168"/>
      <c r="T168"/>
      <c r="U168"/>
      <c r="V168"/>
      <c r="W168"/>
      <c r="X168"/>
      <c r="Y168"/>
      <c r="Z168"/>
      <c r="AA168"/>
      <c r="AB168"/>
    </row>
    <row r="169" spans="1:28" s="749" customFormat="1" ht="24.95" customHeight="1" x14ac:dyDescent="0.35">
      <c r="A169" s="968">
        <v>46087</v>
      </c>
      <c r="B169" s="986" t="s">
        <v>808</v>
      </c>
      <c r="C169" s="925"/>
      <c r="D169" s="964" t="s">
        <v>92</v>
      </c>
      <c r="E169" s="964"/>
      <c r="F169" s="964"/>
      <c r="G169" s="964"/>
      <c r="H169" s="964" t="s">
        <v>814</v>
      </c>
      <c r="I169" s="965">
        <v>68500</v>
      </c>
      <c r="J169"/>
      <c r="K169"/>
      <c r="L169"/>
      <c r="M169"/>
      <c r="N169"/>
      <c r="O169"/>
      <c r="P169"/>
      <c r="Q169"/>
      <c r="R169"/>
      <c r="S169"/>
      <c r="T169"/>
      <c r="U169"/>
      <c r="V169"/>
      <c r="W169"/>
      <c r="X169"/>
      <c r="Y169"/>
      <c r="Z169"/>
      <c r="AA169"/>
      <c r="AB169"/>
    </row>
    <row r="170" spans="1:28" s="749" customFormat="1" ht="24.95" customHeight="1" x14ac:dyDescent="0.35">
      <c r="A170" s="968">
        <v>46086</v>
      </c>
      <c r="B170" s="986" t="s">
        <v>811</v>
      </c>
      <c r="C170" s="925"/>
      <c r="D170" s="964" t="s">
        <v>92</v>
      </c>
      <c r="E170" s="964"/>
      <c r="F170" s="964"/>
      <c r="G170" s="964"/>
      <c r="H170" s="964" t="s">
        <v>812</v>
      </c>
      <c r="I170" s="965">
        <v>49050</v>
      </c>
      <c r="J170"/>
      <c r="K170"/>
      <c r="L170"/>
      <c r="M170"/>
      <c r="N170"/>
      <c r="O170"/>
      <c r="P170"/>
      <c r="Q170"/>
      <c r="R170"/>
      <c r="S170"/>
      <c r="T170"/>
      <c r="U170"/>
      <c r="V170"/>
      <c r="W170"/>
      <c r="X170"/>
      <c r="Y170"/>
      <c r="Z170"/>
      <c r="AA170"/>
      <c r="AB170"/>
    </row>
    <row r="171" spans="1:28" s="749" customFormat="1" ht="24.95" customHeight="1" x14ac:dyDescent="0.35">
      <c r="A171" s="968">
        <v>46090</v>
      </c>
      <c r="B171" s="986" t="s">
        <v>815</v>
      </c>
      <c r="C171" s="925"/>
      <c r="D171" s="964" t="s">
        <v>90</v>
      </c>
      <c r="E171" s="964"/>
      <c r="F171" s="964"/>
      <c r="G171" s="964"/>
      <c r="H171" s="964" t="s">
        <v>816</v>
      </c>
      <c r="I171" s="965">
        <v>79000</v>
      </c>
      <c r="J171"/>
      <c r="K171"/>
      <c r="L171"/>
      <c r="M171"/>
      <c r="N171"/>
      <c r="O171"/>
      <c r="P171"/>
      <c r="Q171"/>
      <c r="R171"/>
      <c r="S171"/>
      <c r="T171"/>
      <c r="U171"/>
      <c r="V171"/>
      <c r="W171"/>
      <c r="X171"/>
      <c r="Y171"/>
      <c r="Z171"/>
      <c r="AA171"/>
      <c r="AB171"/>
    </row>
    <row r="172" spans="1:28" s="749" customFormat="1" ht="24.95" customHeight="1" x14ac:dyDescent="0.35">
      <c r="A172" s="968">
        <v>46091</v>
      </c>
      <c r="B172" s="986" t="s">
        <v>576</v>
      </c>
      <c r="C172" s="925"/>
      <c r="D172" s="964" t="s">
        <v>90</v>
      </c>
      <c r="E172" s="964"/>
      <c r="F172" s="964" t="s">
        <v>832</v>
      </c>
      <c r="G172" s="964"/>
      <c r="H172" s="964" t="s">
        <v>820</v>
      </c>
      <c r="I172" s="965">
        <v>17410</v>
      </c>
      <c r="J172"/>
      <c r="K172"/>
      <c r="L172"/>
      <c r="M172"/>
      <c r="N172"/>
      <c r="O172"/>
      <c r="P172"/>
      <c r="Q172"/>
      <c r="R172"/>
      <c r="S172"/>
      <c r="T172"/>
      <c r="U172"/>
      <c r="V172"/>
      <c r="W172"/>
      <c r="X172"/>
      <c r="Y172"/>
      <c r="Z172"/>
      <c r="AA172"/>
      <c r="AB172"/>
    </row>
    <row r="173" spans="1:28" s="749" customFormat="1" ht="24.95" customHeight="1" x14ac:dyDescent="0.35">
      <c r="A173" s="968">
        <v>46093</v>
      </c>
      <c r="B173" s="986" t="s">
        <v>828</v>
      </c>
      <c r="C173" s="925"/>
      <c r="D173" s="964" t="s">
        <v>92</v>
      </c>
      <c r="E173" s="964"/>
      <c r="F173" s="964"/>
      <c r="G173" s="964"/>
      <c r="H173" s="964" t="s">
        <v>829</v>
      </c>
      <c r="I173" s="965">
        <v>2750</v>
      </c>
      <c r="J173"/>
      <c r="K173"/>
      <c r="L173"/>
      <c r="M173"/>
      <c r="N173"/>
      <c r="O173"/>
      <c r="P173"/>
      <c r="Q173"/>
      <c r="R173"/>
      <c r="S173"/>
      <c r="T173"/>
      <c r="U173"/>
      <c r="V173"/>
      <c r="W173"/>
      <c r="X173"/>
      <c r="Y173"/>
      <c r="Z173"/>
      <c r="AA173"/>
      <c r="AB173"/>
    </row>
    <row r="174" spans="1:28" s="749" customFormat="1" ht="24.95" customHeight="1" x14ac:dyDescent="0.35">
      <c r="A174" s="968">
        <v>46107</v>
      </c>
      <c r="B174" s="986" t="s">
        <v>838</v>
      </c>
      <c r="C174" s="925"/>
      <c r="D174" s="964" t="s">
        <v>92</v>
      </c>
      <c r="E174" s="964"/>
      <c r="F174" s="964"/>
      <c r="G174" s="964"/>
      <c r="H174" s="964" t="s">
        <v>839</v>
      </c>
      <c r="I174" s="965" t="s">
        <v>419</v>
      </c>
      <c r="J174"/>
      <c r="K174"/>
      <c r="L174"/>
      <c r="M174"/>
      <c r="N174"/>
      <c r="O174"/>
      <c r="P174"/>
      <c r="Q174"/>
      <c r="R174"/>
      <c r="S174"/>
      <c r="T174"/>
      <c r="U174"/>
      <c r="V174"/>
      <c r="W174"/>
      <c r="X174"/>
      <c r="Y174"/>
      <c r="Z174"/>
      <c r="AA174"/>
      <c r="AB174"/>
    </row>
    <row r="175" spans="1:28" s="749" customFormat="1" ht="24.95" customHeight="1" x14ac:dyDescent="0.35">
      <c r="A175" s="968">
        <v>46111</v>
      </c>
      <c r="B175" s="986" t="s">
        <v>844</v>
      </c>
      <c r="C175" s="925"/>
      <c r="D175" s="964" t="s">
        <v>92</v>
      </c>
      <c r="E175" s="964"/>
      <c r="F175" s="964"/>
      <c r="G175" s="964"/>
      <c r="H175" s="964" t="s">
        <v>845</v>
      </c>
      <c r="I175" s="965">
        <v>24000</v>
      </c>
      <c r="J175"/>
      <c r="K175"/>
      <c r="L175"/>
      <c r="M175"/>
      <c r="N175"/>
      <c r="O175"/>
      <c r="P175"/>
      <c r="Q175"/>
      <c r="R175"/>
      <c r="S175"/>
      <c r="T175"/>
      <c r="U175"/>
      <c r="V175"/>
      <c r="W175"/>
      <c r="X175"/>
      <c r="Y175"/>
      <c r="Z175"/>
      <c r="AA175"/>
      <c r="AB175"/>
    </row>
    <row r="176" spans="1:28" s="749" customFormat="1" ht="24.95" customHeight="1" x14ac:dyDescent="0.35">
      <c r="A176" s="968">
        <v>46111</v>
      </c>
      <c r="B176" s="986" t="s">
        <v>847</v>
      </c>
      <c r="C176" s="925"/>
      <c r="D176" s="964" t="s">
        <v>848</v>
      </c>
      <c r="E176" s="964"/>
      <c r="F176" s="964"/>
      <c r="G176" s="964"/>
      <c r="H176" s="964" t="s">
        <v>849</v>
      </c>
      <c r="I176" s="965">
        <v>14616</v>
      </c>
      <c r="J176"/>
      <c r="K176"/>
      <c r="L176"/>
      <c r="M176"/>
      <c r="N176"/>
      <c r="O176"/>
      <c r="P176"/>
      <c r="Q176"/>
      <c r="R176"/>
      <c r="S176"/>
      <c r="T176"/>
      <c r="U176"/>
      <c r="V176"/>
      <c r="W176"/>
      <c r="X176"/>
      <c r="Y176"/>
      <c r="Z176"/>
      <c r="AA176"/>
      <c r="AB176"/>
    </row>
    <row r="177" spans="1:28" s="749" customFormat="1" ht="24.95" customHeight="1" x14ac:dyDescent="0.35">
      <c r="A177" s="968">
        <v>45964</v>
      </c>
      <c r="B177" s="986" t="s">
        <v>669</v>
      </c>
      <c r="C177" s="925"/>
      <c r="D177" s="964" t="s">
        <v>282</v>
      </c>
      <c r="E177" s="964"/>
      <c r="F177" s="964" t="s">
        <v>853</v>
      </c>
      <c r="G177" s="964"/>
      <c r="H177" s="964" t="s">
        <v>850</v>
      </c>
      <c r="I177" s="965">
        <v>216575</v>
      </c>
      <c r="J177"/>
      <c r="K177"/>
      <c r="L177"/>
      <c r="M177"/>
      <c r="N177"/>
      <c r="O177"/>
      <c r="P177"/>
      <c r="Q177"/>
      <c r="R177"/>
      <c r="S177"/>
      <c r="T177"/>
      <c r="U177"/>
      <c r="V177"/>
      <c r="W177"/>
      <c r="X177"/>
      <c r="Y177"/>
      <c r="Z177"/>
      <c r="AA177"/>
      <c r="AB177"/>
    </row>
    <row r="178" spans="1:28" s="889" customFormat="1" ht="24.95" customHeight="1" x14ac:dyDescent="0.35">
      <c r="A178" s="939"/>
      <c r="B178" s="984" t="s">
        <v>7</v>
      </c>
      <c r="C178" s="700"/>
      <c r="D178" s="612" t="s">
        <v>140</v>
      </c>
      <c r="E178" s="612"/>
      <c r="F178" s="700"/>
      <c r="G178" s="700"/>
      <c r="H178" s="614"/>
      <c r="I178" s="985">
        <f>SUM(I7:I177)</f>
        <v>27199971.069999997</v>
      </c>
      <c r="J178"/>
      <c r="K178"/>
      <c r="L178"/>
      <c r="M178"/>
      <c r="N178"/>
      <c r="O178"/>
      <c r="P178"/>
      <c r="Q178"/>
      <c r="R178"/>
      <c r="S178"/>
      <c r="T178"/>
      <c r="U178"/>
      <c r="V178"/>
      <c r="W178"/>
      <c r="X178"/>
      <c r="Y178"/>
      <c r="Z178"/>
      <c r="AA178"/>
      <c r="AB178"/>
    </row>
    <row r="179" spans="1:28" ht="24.95" customHeight="1" x14ac:dyDescent="0.35">
      <c r="A179" s="940" t="s">
        <v>64</v>
      </c>
      <c r="G179" s="658" t="s">
        <v>64</v>
      </c>
    </row>
    <row r="180" spans="1:28" ht="24.95" customHeight="1" x14ac:dyDescent="0.35"/>
    <row r="181" spans="1:28" ht="24.95" customHeight="1" x14ac:dyDescent="0.35">
      <c r="F181" s="524" t="s">
        <v>486</v>
      </c>
    </row>
    <row r="182" spans="1:28" ht="24.95" customHeight="1" x14ac:dyDescent="0.35">
      <c r="G182" s="658" t="s">
        <v>64</v>
      </c>
    </row>
    <row r="183" spans="1:28" ht="23.25" customHeight="1" x14ac:dyDescent="0.35">
      <c r="D183" s="524"/>
      <c r="E183" s="524"/>
      <c r="H183" s="524"/>
      <c r="I183" s="524"/>
    </row>
    <row r="184" spans="1:28" ht="24.95" customHeight="1" x14ac:dyDescent="0.35"/>
    <row r="185" spans="1:28" ht="24.95" customHeight="1" x14ac:dyDescent="0.35"/>
    <row r="186" spans="1:28" ht="24.95" customHeight="1" x14ac:dyDescent="0.35"/>
    <row r="187" spans="1:28" ht="24.95" customHeight="1" x14ac:dyDescent="0.35"/>
    <row r="188" spans="1:28" ht="24.95" customHeight="1" x14ac:dyDescent="0.35"/>
    <row r="189" spans="1:28" ht="24.95" customHeight="1" x14ac:dyDescent="0.35"/>
    <row r="190" spans="1:28" ht="24.95" customHeight="1" x14ac:dyDescent="0.35"/>
    <row r="191" spans="1:28" ht="24.95" customHeight="1" x14ac:dyDescent="0.35"/>
    <row r="192" spans="1:28" ht="24.95" customHeight="1" x14ac:dyDescent="0.35"/>
    <row r="193" ht="24.95" customHeight="1" x14ac:dyDescent="0.35"/>
    <row r="194" ht="24.95" customHeight="1" x14ac:dyDescent="0.35"/>
    <row r="195" ht="24.95" customHeight="1" x14ac:dyDescent="0.35"/>
    <row r="196" ht="24.95" customHeight="1" x14ac:dyDescent="0.35"/>
  </sheetData>
  <pageMargins left="0.70866141732283472" right="0.70866141732283472" top="0.74803149606299213" bottom="0.74803149606299213" header="0.31496062992125984" footer="0.31496062992125984"/>
  <pageSetup paperSize="9" scale="60" fitToWidth="0" orientation="landscape"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2"/>
  <sheetViews>
    <sheetView topLeftCell="A10" workbookViewId="0">
      <selection activeCell="B9" sqref="B9"/>
    </sheetView>
  </sheetViews>
  <sheetFormatPr defaultColWidth="23.85546875" defaultRowHeight="23.25" x14ac:dyDescent="0.35"/>
  <cols>
    <col min="1" max="1" width="23.85546875" style="940"/>
    <col min="2" max="2" width="59.7109375" style="657" customWidth="1"/>
    <col min="3" max="3" width="20.140625" style="524" customWidth="1"/>
    <col min="4" max="5" width="13" style="657" customWidth="1"/>
    <col min="6" max="6" width="14.28515625" style="524" customWidth="1"/>
    <col min="7" max="7" width="12.28515625" style="658" customWidth="1"/>
    <col min="8" max="8" width="51.42578125" style="659" customWidth="1"/>
    <col min="9" max="9" width="26" style="661" customWidth="1"/>
    <col min="29" max="16384" width="23.85546875" style="524"/>
  </cols>
  <sheetData>
    <row r="1" spans="1:28" ht="24.95" customHeight="1" x14ac:dyDescent="0.35">
      <c r="A1" s="935" t="s">
        <v>598</v>
      </c>
      <c r="B1" s="517"/>
      <c r="C1" s="518"/>
      <c r="D1" s="942"/>
      <c r="E1" s="942"/>
      <c r="F1" s="516"/>
      <c r="G1" s="516"/>
      <c r="H1" s="518"/>
      <c r="I1" s="520"/>
    </row>
    <row r="2" spans="1:28" ht="24.95" customHeight="1" x14ac:dyDescent="0.35">
      <c r="A2" s="936" t="s">
        <v>9</v>
      </c>
      <c r="B2" s="528"/>
      <c r="C2" s="529"/>
      <c r="D2" s="943"/>
      <c r="E2" s="943"/>
      <c r="F2" s="527"/>
      <c r="G2" s="527"/>
      <c r="H2" s="529"/>
      <c r="I2" s="531"/>
    </row>
    <row r="3" spans="1:28" ht="24.95" customHeight="1" x14ac:dyDescent="0.35">
      <c r="A3" s="936" t="s">
        <v>10</v>
      </c>
      <c r="B3" s="528"/>
      <c r="C3" s="529"/>
      <c r="D3" s="943"/>
      <c r="E3" s="943"/>
      <c r="F3" s="527"/>
      <c r="G3" s="527"/>
      <c r="H3" s="529"/>
      <c r="I3" s="535"/>
    </row>
    <row r="4" spans="1:28" ht="24.95" customHeight="1" x14ac:dyDescent="0.35">
      <c r="A4" s="936" t="s">
        <v>874</v>
      </c>
      <c r="B4" s="528"/>
      <c r="C4" s="529"/>
      <c r="D4" s="943"/>
      <c r="E4" s="943"/>
      <c r="F4" s="527"/>
      <c r="G4" s="527"/>
      <c r="H4" s="529"/>
      <c r="I4" s="535"/>
    </row>
    <row r="5" spans="1:28" ht="24.95" customHeight="1" x14ac:dyDescent="0.35">
      <c r="A5" s="938"/>
      <c r="B5" s="528"/>
      <c r="C5" s="527"/>
      <c r="D5" s="528"/>
      <c r="E5" s="528"/>
      <c r="F5" s="527"/>
      <c r="G5" s="527"/>
      <c r="H5" s="529"/>
      <c r="I5" s="541"/>
    </row>
    <row r="6" spans="1:28" s="565" customFormat="1" ht="24.95" customHeight="1" x14ac:dyDescent="0.35">
      <c r="A6" s="937" t="s">
        <v>0</v>
      </c>
      <c r="B6" s="547" t="s">
        <v>1</v>
      </c>
      <c r="C6" s="546" t="s">
        <v>739</v>
      </c>
      <c r="D6" s="547" t="s">
        <v>89</v>
      </c>
      <c r="E6" s="547" t="s">
        <v>104</v>
      </c>
      <c r="F6" s="546" t="s">
        <v>646</v>
      </c>
      <c r="G6" s="546" t="s">
        <v>3</v>
      </c>
      <c r="H6" s="546" t="s">
        <v>4</v>
      </c>
      <c r="I6" s="550" t="s">
        <v>11</v>
      </c>
      <c r="J6"/>
      <c r="K6"/>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c r="K7"/>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c r="K8"/>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c r="K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c r="K10"/>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c r="K11"/>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c r="K12"/>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c r="K13"/>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c r="K14"/>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c r="K15"/>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c r="K16"/>
      <c r="L16"/>
      <c r="M16"/>
      <c r="N16"/>
      <c r="O16"/>
      <c r="P16"/>
      <c r="Q16"/>
      <c r="R16"/>
      <c r="S16"/>
      <c r="T16"/>
      <c r="U16"/>
      <c r="V16"/>
      <c r="W16"/>
      <c r="X16"/>
      <c r="Y16"/>
      <c r="Z16"/>
      <c r="AA16"/>
      <c r="AB16"/>
    </row>
    <row r="17" spans="1:28" s="775" customFormat="1" ht="24.95" customHeight="1" x14ac:dyDescent="0.35">
      <c r="A17" s="968">
        <v>45875</v>
      </c>
      <c r="B17" s="930" t="s">
        <v>43</v>
      </c>
      <c r="C17" s="925"/>
      <c r="D17" s="964" t="s">
        <v>90</v>
      </c>
      <c r="E17" s="964"/>
      <c r="F17" s="964"/>
      <c r="G17" s="925"/>
      <c r="H17" s="964" t="s">
        <v>810</v>
      </c>
      <c r="I17" s="965" t="s">
        <v>419</v>
      </c>
      <c r="J17"/>
      <c r="K17"/>
      <c r="L17"/>
      <c r="M17"/>
      <c r="N17"/>
      <c r="O17"/>
      <c r="P17"/>
      <c r="Q17"/>
      <c r="R17"/>
      <c r="S17"/>
      <c r="T17"/>
      <c r="U17"/>
      <c r="V17"/>
      <c r="W17"/>
      <c r="X17"/>
      <c r="Y17"/>
      <c r="Z17"/>
      <c r="AA17"/>
      <c r="AB17"/>
    </row>
    <row r="18" spans="1:28" s="775" customFormat="1" ht="24.95" customHeight="1" x14ac:dyDescent="0.35">
      <c r="A18" s="968" t="s">
        <v>421</v>
      </c>
      <c r="B18" s="930" t="s">
        <v>43</v>
      </c>
      <c r="C18" s="925"/>
      <c r="D18" s="964" t="s">
        <v>90</v>
      </c>
      <c r="E18" s="964"/>
      <c r="F18" s="964"/>
      <c r="G18" s="925"/>
      <c r="H18" s="964" t="s">
        <v>600</v>
      </c>
      <c r="I18" s="965">
        <v>250952.38</v>
      </c>
      <c r="J18"/>
      <c r="K18"/>
      <c r="L18"/>
      <c r="M18"/>
      <c r="N18"/>
      <c r="O18"/>
      <c r="P18"/>
      <c r="Q18"/>
      <c r="R18"/>
      <c r="S18"/>
      <c r="T18"/>
      <c r="U18"/>
      <c r="V18"/>
      <c r="W18"/>
      <c r="X18"/>
      <c r="Y18"/>
      <c r="Z18"/>
      <c r="AA18"/>
      <c r="AB18"/>
    </row>
    <row r="19" spans="1:28" s="775" customFormat="1" ht="24.95" customHeight="1" x14ac:dyDescent="0.35">
      <c r="A19" s="968">
        <v>46087</v>
      </c>
      <c r="B19" s="930" t="s">
        <v>43</v>
      </c>
      <c r="C19" s="925"/>
      <c r="D19" s="964" t="s">
        <v>90</v>
      </c>
      <c r="E19" s="964"/>
      <c r="F19" s="964"/>
      <c r="G19" s="925"/>
      <c r="H19" s="964" t="s">
        <v>817</v>
      </c>
      <c r="I19" s="965" t="s">
        <v>419</v>
      </c>
      <c r="J19"/>
      <c r="K19"/>
      <c r="L19"/>
      <c r="M19"/>
      <c r="N19"/>
      <c r="O19"/>
      <c r="P19"/>
      <c r="Q19"/>
      <c r="R19"/>
      <c r="S19"/>
      <c r="T19"/>
      <c r="U19"/>
      <c r="V19"/>
      <c r="W19"/>
      <c r="X19"/>
      <c r="Y19"/>
      <c r="Z19"/>
      <c r="AA19"/>
      <c r="AB19"/>
    </row>
    <row r="20" spans="1:28" s="775" customFormat="1" ht="24.95" customHeight="1" x14ac:dyDescent="0.35">
      <c r="A20" s="968">
        <v>46085</v>
      </c>
      <c r="B20" s="930" t="s">
        <v>43</v>
      </c>
      <c r="C20" s="925"/>
      <c r="D20" s="964" t="s">
        <v>90</v>
      </c>
      <c r="E20" s="964"/>
      <c r="F20" s="964"/>
      <c r="G20" s="925"/>
      <c r="H20" s="964" t="s">
        <v>810</v>
      </c>
      <c r="I20" s="965" t="s">
        <v>419</v>
      </c>
      <c r="J20"/>
      <c r="K20"/>
      <c r="L20"/>
      <c r="M20"/>
      <c r="N20"/>
      <c r="O20"/>
      <c r="P20"/>
      <c r="Q20"/>
      <c r="R20"/>
      <c r="S20"/>
      <c r="T20"/>
      <c r="U20"/>
      <c r="V20"/>
      <c r="W20"/>
      <c r="X20"/>
      <c r="Y20"/>
      <c r="Z20"/>
      <c r="AA20"/>
      <c r="AB20"/>
    </row>
    <row r="21" spans="1:28" s="782" customFormat="1" ht="24.95" customHeight="1" x14ac:dyDescent="0.35">
      <c r="A21" s="968">
        <v>44589</v>
      </c>
      <c r="B21" s="930" t="s">
        <v>125</v>
      </c>
      <c r="C21" s="925"/>
      <c r="D21" s="925" t="s">
        <v>90</v>
      </c>
      <c r="E21" s="925"/>
      <c r="F21" s="964"/>
      <c r="G21" s="964"/>
      <c r="H21" s="964">
        <v>4880</v>
      </c>
      <c r="I21" s="965">
        <v>37000</v>
      </c>
      <c r="J21"/>
      <c r="K21"/>
      <c r="L21"/>
      <c r="M21"/>
      <c r="N21"/>
      <c r="O21"/>
      <c r="P21"/>
      <c r="Q21"/>
      <c r="R21"/>
      <c r="S21"/>
      <c r="T21"/>
      <c r="U21"/>
      <c r="V21"/>
      <c r="W21"/>
      <c r="X21"/>
      <c r="Y21"/>
      <c r="Z21"/>
      <c r="AA21"/>
      <c r="AB21"/>
    </row>
    <row r="22" spans="1:28" s="782" customFormat="1" ht="24.95" customHeight="1" x14ac:dyDescent="0.35">
      <c r="A22" s="968">
        <v>44607</v>
      </c>
      <c r="B22" s="930" t="s">
        <v>649</v>
      </c>
      <c r="C22" s="925"/>
      <c r="D22" s="925" t="s">
        <v>90</v>
      </c>
      <c r="E22" s="925">
        <v>736</v>
      </c>
      <c r="F22" s="964"/>
      <c r="G22" s="964"/>
      <c r="H22" s="964" t="s">
        <v>131</v>
      </c>
      <c r="I22" s="965">
        <v>16076.04</v>
      </c>
      <c r="J22"/>
      <c r="K22"/>
      <c r="L22"/>
      <c r="M22"/>
      <c r="N22"/>
      <c r="O22"/>
      <c r="P22"/>
      <c r="Q22"/>
      <c r="R22"/>
      <c r="S22"/>
      <c r="T22"/>
      <c r="U22"/>
      <c r="V22"/>
      <c r="W22"/>
      <c r="X22"/>
      <c r="Y22"/>
      <c r="Z22"/>
      <c r="AA22"/>
      <c r="AB22"/>
    </row>
    <row r="23" spans="1:28" s="749" customFormat="1" ht="24.95" customHeight="1" x14ac:dyDescent="0.35">
      <c r="A23" s="968">
        <v>44609</v>
      </c>
      <c r="B23" s="930" t="s">
        <v>649</v>
      </c>
      <c r="C23" s="925"/>
      <c r="D23" s="964" t="s">
        <v>90</v>
      </c>
      <c r="E23" s="964">
        <v>734</v>
      </c>
      <c r="F23" s="964"/>
      <c r="G23" s="964"/>
      <c r="H23" s="964" t="s">
        <v>118</v>
      </c>
      <c r="I23" s="965">
        <v>7186.99</v>
      </c>
      <c r="J23"/>
      <c r="K23"/>
      <c r="L23"/>
      <c r="M23"/>
      <c r="N23"/>
      <c r="O23"/>
      <c r="P23"/>
      <c r="Q23"/>
      <c r="R23"/>
      <c r="S23"/>
      <c r="T23"/>
      <c r="U23"/>
      <c r="V23"/>
      <c r="W23"/>
      <c r="X23"/>
      <c r="Y23"/>
      <c r="Z23"/>
      <c r="AA23"/>
      <c r="AB23"/>
    </row>
    <row r="24" spans="1:28" s="749" customFormat="1" ht="24.95" customHeight="1" x14ac:dyDescent="0.35">
      <c r="A24" s="968">
        <v>44714</v>
      </c>
      <c r="B24" s="930" t="s">
        <v>649</v>
      </c>
      <c r="C24" s="925"/>
      <c r="D24" s="964" t="s">
        <v>90</v>
      </c>
      <c r="E24" s="964"/>
      <c r="F24" s="964"/>
      <c r="G24" s="964">
        <v>2062</v>
      </c>
      <c r="H24" s="964" t="s">
        <v>118</v>
      </c>
      <c r="I24" s="965">
        <v>77456</v>
      </c>
      <c r="J24"/>
      <c r="K24"/>
      <c r="L24"/>
      <c r="M24"/>
      <c r="N24"/>
      <c r="O24"/>
      <c r="P24"/>
      <c r="Q24"/>
      <c r="R24"/>
      <c r="S24"/>
      <c r="T24"/>
      <c r="U24"/>
      <c r="V24"/>
      <c r="W24"/>
      <c r="X24"/>
      <c r="Y24"/>
      <c r="Z24"/>
      <c r="AA24"/>
      <c r="AB24"/>
    </row>
    <row r="25" spans="1:28" s="749" customFormat="1" ht="24.95" customHeight="1" x14ac:dyDescent="0.35">
      <c r="A25" s="968">
        <v>44734</v>
      </c>
      <c r="B25" s="930" t="s">
        <v>649</v>
      </c>
      <c r="C25" s="925"/>
      <c r="D25" s="964" t="s">
        <v>90</v>
      </c>
      <c r="E25" s="964">
        <v>743</v>
      </c>
      <c r="F25" s="964"/>
      <c r="G25" s="964"/>
      <c r="H25" s="964" t="s">
        <v>118</v>
      </c>
      <c r="I25" s="965">
        <v>72499.08</v>
      </c>
      <c r="J25"/>
      <c r="K25"/>
      <c r="L25"/>
      <c r="M25"/>
      <c r="N25"/>
      <c r="O25"/>
      <c r="P25"/>
      <c r="Q25"/>
      <c r="R25"/>
      <c r="S25"/>
      <c r="T25"/>
      <c r="U25"/>
      <c r="V25"/>
      <c r="W25"/>
      <c r="X25"/>
      <c r="Y25"/>
      <c r="Z25"/>
      <c r="AA25"/>
      <c r="AB25"/>
    </row>
    <row r="26" spans="1:28" s="749" customFormat="1" ht="24.95" customHeight="1" x14ac:dyDescent="0.35">
      <c r="A26" s="968">
        <v>44741</v>
      </c>
      <c r="B26" s="930" t="s">
        <v>649</v>
      </c>
      <c r="C26" s="925"/>
      <c r="D26" s="964" t="s">
        <v>90</v>
      </c>
      <c r="E26" s="964">
        <v>757</v>
      </c>
      <c r="F26" s="964"/>
      <c r="G26" s="964"/>
      <c r="H26" s="964">
        <v>5908</v>
      </c>
      <c r="I26" s="965">
        <v>510</v>
      </c>
      <c r="J26"/>
      <c r="K26"/>
      <c r="L26"/>
      <c r="M26"/>
      <c r="N26"/>
      <c r="O26"/>
      <c r="P26"/>
      <c r="Q26"/>
      <c r="R26"/>
      <c r="S26"/>
      <c r="T26"/>
      <c r="U26"/>
      <c r="V26"/>
      <c r="W26"/>
      <c r="X26"/>
      <c r="Y26"/>
      <c r="Z26"/>
      <c r="AA26"/>
      <c r="AB26"/>
    </row>
    <row r="27" spans="1:28" s="749" customFormat="1" ht="24.95" customHeight="1" x14ac:dyDescent="0.35">
      <c r="A27" s="968">
        <v>44855</v>
      </c>
      <c r="B27" s="930" t="s">
        <v>649</v>
      </c>
      <c r="C27" s="925"/>
      <c r="D27" s="964" t="s">
        <v>90</v>
      </c>
      <c r="E27" s="964">
        <v>755</v>
      </c>
      <c r="F27" s="964"/>
      <c r="G27" s="964"/>
      <c r="H27" s="964">
        <v>5739</v>
      </c>
      <c r="I27" s="965">
        <v>6650</v>
      </c>
      <c r="J27"/>
      <c r="K27"/>
      <c r="L27"/>
      <c r="M27"/>
      <c r="N27"/>
      <c r="O27"/>
      <c r="P27"/>
      <c r="Q27"/>
      <c r="R27"/>
      <c r="S27"/>
      <c r="T27"/>
      <c r="U27"/>
      <c r="V27"/>
      <c r="W27"/>
      <c r="X27"/>
      <c r="Y27"/>
      <c r="Z27"/>
      <c r="AA27"/>
      <c r="AB27"/>
    </row>
    <row r="28" spans="1:28" s="749" customFormat="1" ht="24.95" customHeight="1" x14ac:dyDescent="0.35">
      <c r="A28" s="968">
        <v>44855</v>
      </c>
      <c r="B28" s="930" t="s">
        <v>649</v>
      </c>
      <c r="C28" s="925"/>
      <c r="D28" s="964" t="s">
        <v>90</v>
      </c>
      <c r="E28" s="964">
        <v>758</v>
      </c>
      <c r="F28" s="964"/>
      <c r="G28" s="964"/>
      <c r="H28" s="964" t="s">
        <v>118</v>
      </c>
      <c r="I28" s="965">
        <v>3000</v>
      </c>
      <c r="J28"/>
      <c r="K28"/>
      <c r="L28"/>
      <c r="M28"/>
      <c r="N28"/>
      <c r="O28"/>
      <c r="P28"/>
      <c r="Q28"/>
      <c r="R28"/>
      <c r="S28"/>
      <c r="T28"/>
      <c r="U28"/>
      <c r="V28"/>
      <c r="W28"/>
      <c r="X28"/>
      <c r="Y28"/>
      <c r="Z28"/>
      <c r="AA28"/>
      <c r="AB28"/>
    </row>
    <row r="29" spans="1:28" s="749" customFormat="1" ht="24.95" customHeight="1" x14ac:dyDescent="0.35">
      <c r="A29" s="968">
        <v>44916</v>
      </c>
      <c r="B29" s="930" t="s">
        <v>649</v>
      </c>
      <c r="C29" s="925"/>
      <c r="D29" s="964" t="s">
        <v>90</v>
      </c>
      <c r="E29" s="964"/>
      <c r="F29" s="964"/>
      <c r="G29" s="964">
        <v>2176</v>
      </c>
      <c r="H29" s="964" t="s">
        <v>118</v>
      </c>
      <c r="I29" s="965">
        <v>186146</v>
      </c>
      <c r="J29"/>
      <c r="K29"/>
      <c r="L29"/>
      <c r="M29"/>
      <c r="N29"/>
      <c r="O29"/>
      <c r="P29"/>
      <c r="Q29"/>
      <c r="R29"/>
      <c r="S29"/>
      <c r="T29"/>
      <c r="U29"/>
      <c r="V29"/>
      <c r="W29"/>
      <c r="X29"/>
      <c r="Y29"/>
      <c r="Z29"/>
      <c r="AA29"/>
      <c r="AB29"/>
    </row>
    <row r="30" spans="1:28" s="749" customFormat="1" ht="24.95" customHeight="1" x14ac:dyDescent="0.35">
      <c r="A30" s="968">
        <v>45343</v>
      </c>
      <c r="B30" s="930" t="s">
        <v>649</v>
      </c>
      <c r="C30" s="925"/>
      <c r="D30" s="964" t="s">
        <v>90</v>
      </c>
      <c r="E30" s="964">
        <v>826</v>
      </c>
      <c r="F30" s="964"/>
      <c r="G30" s="964"/>
      <c r="H30" s="964" t="s">
        <v>118</v>
      </c>
      <c r="I30" s="965">
        <v>22500</v>
      </c>
      <c r="J30"/>
      <c r="K30"/>
      <c r="L30"/>
      <c r="M30"/>
      <c r="N30"/>
      <c r="O30"/>
      <c r="P30"/>
      <c r="Q30"/>
      <c r="R30"/>
      <c r="S30"/>
      <c r="T30"/>
      <c r="U30"/>
      <c r="V30"/>
      <c r="W30"/>
      <c r="X30"/>
      <c r="Y30"/>
      <c r="Z30"/>
      <c r="AA30"/>
      <c r="AB30"/>
    </row>
    <row r="31" spans="1:28" s="782" customFormat="1" ht="27.75" customHeight="1" x14ac:dyDescent="0.35">
      <c r="A31" s="968">
        <v>44614</v>
      </c>
      <c r="B31" s="930" t="s">
        <v>650</v>
      </c>
      <c r="C31" s="925"/>
      <c r="D31" s="925" t="s">
        <v>92</v>
      </c>
      <c r="E31" s="925"/>
      <c r="F31" s="964"/>
      <c r="G31" s="964"/>
      <c r="H31" s="964" t="s">
        <v>376</v>
      </c>
      <c r="I31" s="965">
        <v>526625</v>
      </c>
      <c r="J31"/>
      <c r="K31"/>
      <c r="L31"/>
      <c r="M31"/>
      <c r="N31"/>
      <c r="O31"/>
      <c r="P31"/>
      <c r="Q31"/>
      <c r="R31"/>
      <c r="S31"/>
      <c r="T31"/>
      <c r="U31"/>
      <c r="V31"/>
      <c r="W31"/>
      <c r="X31"/>
      <c r="Y31"/>
      <c r="Z31"/>
      <c r="AA31"/>
      <c r="AB31"/>
    </row>
    <row r="32" spans="1:28" s="782" customFormat="1" ht="24.95" customHeight="1" x14ac:dyDescent="0.35">
      <c r="A32" s="968">
        <v>44631</v>
      </c>
      <c r="B32" s="930" t="s">
        <v>650</v>
      </c>
      <c r="C32" s="925"/>
      <c r="D32" s="925" t="s">
        <v>92</v>
      </c>
      <c r="E32" s="925"/>
      <c r="F32" s="964"/>
      <c r="G32" s="964"/>
      <c r="H32" s="964">
        <v>4943</v>
      </c>
      <c r="I32" s="965">
        <v>5975</v>
      </c>
      <c r="J32"/>
      <c r="K32"/>
      <c r="L32"/>
      <c r="M32"/>
      <c r="N32"/>
      <c r="O32"/>
      <c r="P32"/>
      <c r="Q32"/>
      <c r="R32"/>
      <c r="S32"/>
      <c r="T32"/>
      <c r="U32"/>
      <c r="V32"/>
      <c r="W32"/>
      <c r="X32"/>
      <c r="Y32"/>
      <c r="Z32"/>
      <c r="AA32"/>
      <c r="AB32"/>
    </row>
    <row r="33" spans="1:28" s="800" customFormat="1" ht="24.95" customHeight="1" x14ac:dyDescent="0.35">
      <c r="A33" s="968">
        <v>44638</v>
      </c>
      <c r="B33" s="930" t="s">
        <v>650</v>
      </c>
      <c r="C33" s="925"/>
      <c r="D33" s="925" t="s">
        <v>92</v>
      </c>
      <c r="E33" s="925"/>
      <c r="F33" s="964"/>
      <c r="G33" s="964"/>
      <c r="H33" s="964">
        <v>4953</v>
      </c>
      <c r="I33" s="965">
        <v>4950</v>
      </c>
      <c r="J33"/>
      <c r="K33"/>
      <c r="L33"/>
      <c r="M33"/>
      <c r="N33"/>
      <c r="O33"/>
      <c r="P33"/>
      <c r="Q33"/>
      <c r="R33"/>
      <c r="S33"/>
      <c r="T33"/>
      <c r="U33"/>
      <c r="V33"/>
      <c r="W33"/>
      <c r="X33"/>
      <c r="Y33"/>
      <c r="Z33"/>
      <c r="AA33"/>
      <c r="AB33"/>
    </row>
    <row r="34" spans="1:28" s="800" customFormat="1" ht="24.95" customHeight="1" x14ac:dyDescent="0.35">
      <c r="A34" s="968">
        <v>44711</v>
      </c>
      <c r="B34" s="930" t="s">
        <v>153</v>
      </c>
      <c r="C34" s="925"/>
      <c r="D34" s="925" t="s">
        <v>92</v>
      </c>
      <c r="E34" s="925"/>
      <c r="F34" s="964"/>
      <c r="G34" s="964"/>
      <c r="H34" s="964" t="s">
        <v>181</v>
      </c>
      <c r="I34" s="965">
        <v>164667</v>
      </c>
      <c r="J34"/>
      <c r="K34"/>
      <c r="L34"/>
      <c r="M34"/>
      <c r="N34"/>
      <c r="O34"/>
      <c r="P34"/>
      <c r="Q34"/>
      <c r="R34"/>
      <c r="S34"/>
      <c r="T34"/>
      <c r="U34"/>
      <c r="V34"/>
      <c r="W34"/>
      <c r="X34"/>
      <c r="Y34"/>
      <c r="Z34"/>
      <c r="AA34"/>
      <c r="AB34"/>
    </row>
    <row r="35" spans="1:28" s="800" customFormat="1" ht="24.95" customHeight="1" x14ac:dyDescent="0.35">
      <c r="A35" s="968">
        <v>44768</v>
      </c>
      <c r="B35" s="930" t="s">
        <v>651</v>
      </c>
      <c r="C35" s="925"/>
      <c r="D35" s="925" t="s">
        <v>90</v>
      </c>
      <c r="E35" s="925"/>
      <c r="F35" s="964"/>
      <c r="G35" s="964"/>
      <c r="H35" s="964" t="s">
        <v>151</v>
      </c>
      <c r="I35" s="965">
        <v>847950.4</v>
      </c>
      <c r="J35"/>
      <c r="K35"/>
      <c r="L35"/>
      <c r="M35"/>
      <c r="N35"/>
      <c r="O35"/>
      <c r="P35"/>
      <c r="Q35"/>
      <c r="R35"/>
      <c r="S35"/>
      <c r="T35"/>
      <c r="U35"/>
      <c r="V35"/>
      <c r="W35"/>
      <c r="X35"/>
      <c r="Y35"/>
      <c r="Z35"/>
      <c r="AA35"/>
      <c r="AB35"/>
    </row>
    <row r="36" spans="1:28" s="800" customFormat="1" ht="24.95" customHeight="1" x14ac:dyDescent="0.35">
      <c r="A36" s="968">
        <v>45946</v>
      </c>
      <c r="B36" s="930" t="s">
        <v>651</v>
      </c>
      <c r="C36" s="925"/>
      <c r="D36" s="925" t="s">
        <v>90</v>
      </c>
      <c r="E36" s="925"/>
      <c r="F36" s="964"/>
      <c r="G36" s="964"/>
      <c r="H36" s="964" t="s">
        <v>641</v>
      </c>
      <c r="I36" s="965" t="s">
        <v>419</v>
      </c>
      <c r="J36"/>
      <c r="K36"/>
      <c r="L36"/>
      <c r="M36"/>
      <c r="N36"/>
      <c r="O36"/>
      <c r="P36"/>
      <c r="Q36"/>
      <c r="R36"/>
      <c r="S36"/>
      <c r="T36"/>
      <c r="U36"/>
      <c r="V36"/>
      <c r="W36"/>
      <c r="X36"/>
      <c r="Y36"/>
      <c r="Z36"/>
      <c r="AA36"/>
      <c r="AB36"/>
    </row>
    <row r="37" spans="1:28" s="800" customFormat="1" ht="24.95" customHeight="1" x14ac:dyDescent="0.35">
      <c r="A37" s="968">
        <v>44786</v>
      </c>
      <c r="B37" s="930" t="s">
        <v>652</v>
      </c>
      <c r="C37" s="925"/>
      <c r="D37" s="925" t="s">
        <v>94</v>
      </c>
      <c r="E37" s="925"/>
      <c r="F37" s="964"/>
      <c r="G37" s="964">
        <v>2136</v>
      </c>
      <c r="H37" s="964" t="s">
        <v>170</v>
      </c>
      <c r="I37" s="965">
        <v>193400</v>
      </c>
      <c r="J37"/>
      <c r="K37"/>
      <c r="L37"/>
      <c r="M37"/>
      <c r="N37"/>
      <c r="O37"/>
      <c r="P37"/>
      <c r="Q37"/>
      <c r="R37"/>
      <c r="S37"/>
      <c r="T37"/>
      <c r="U37"/>
      <c r="V37"/>
      <c r="W37"/>
      <c r="X37"/>
      <c r="Y37"/>
      <c r="Z37"/>
      <c r="AA37"/>
      <c r="AB37"/>
    </row>
    <row r="38" spans="1:28" s="800" customFormat="1" ht="24.95" customHeight="1" x14ac:dyDescent="0.35">
      <c r="A38" s="968">
        <v>44954</v>
      </c>
      <c r="B38" s="930" t="s">
        <v>480</v>
      </c>
      <c r="C38" s="925"/>
      <c r="D38" s="925" t="s">
        <v>92</v>
      </c>
      <c r="E38" s="925">
        <v>832</v>
      </c>
      <c r="F38" s="964"/>
      <c r="G38" s="964"/>
      <c r="H38" s="964">
        <v>5373</v>
      </c>
      <c r="I38" s="965">
        <v>666000</v>
      </c>
      <c r="J38"/>
      <c r="K38"/>
      <c r="L38"/>
      <c r="M38"/>
      <c r="N38"/>
      <c r="O38"/>
      <c r="P38"/>
      <c r="Q38"/>
      <c r="R38"/>
      <c r="S38"/>
      <c r="T38"/>
      <c r="U38"/>
      <c r="V38"/>
      <c r="W38"/>
      <c r="X38"/>
      <c r="Y38"/>
      <c r="Z38"/>
      <c r="AA38"/>
      <c r="AB38"/>
    </row>
    <row r="39" spans="1:28" s="800" customFormat="1" ht="24.95" customHeight="1" x14ac:dyDescent="0.35">
      <c r="A39" s="968">
        <v>44954</v>
      </c>
      <c r="B39" s="930" t="s">
        <v>480</v>
      </c>
      <c r="C39" s="925"/>
      <c r="D39" s="925" t="s">
        <v>92</v>
      </c>
      <c r="E39" s="925">
        <v>833</v>
      </c>
      <c r="F39" s="964"/>
      <c r="G39" s="964"/>
      <c r="H39" s="964">
        <v>5374</v>
      </c>
      <c r="I39" s="965">
        <v>657658.5</v>
      </c>
      <c r="J39"/>
      <c r="K39"/>
      <c r="L39"/>
      <c r="M39"/>
      <c r="N39"/>
      <c r="O39"/>
      <c r="P39"/>
      <c r="Q39"/>
      <c r="R39"/>
      <c r="S39"/>
      <c r="T39"/>
      <c r="U39"/>
      <c r="V39"/>
      <c r="W39"/>
      <c r="X39"/>
      <c r="Y39"/>
      <c r="Z39"/>
      <c r="AA39"/>
      <c r="AB39"/>
    </row>
    <row r="40" spans="1:28" s="800" customFormat="1" ht="24.95" customHeight="1" x14ac:dyDescent="0.35">
      <c r="A40" s="968">
        <v>45017</v>
      </c>
      <c r="B40" s="930" t="s">
        <v>480</v>
      </c>
      <c r="C40" s="925"/>
      <c r="D40" s="925" t="s">
        <v>92</v>
      </c>
      <c r="E40" s="925"/>
      <c r="F40" s="964"/>
      <c r="G40" s="964"/>
      <c r="H40" s="964">
        <v>5460</v>
      </c>
      <c r="I40" s="965">
        <v>413995.98</v>
      </c>
      <c r="J40"/>
      <c r="K40"/>
      <c r="L40"/>
      <c r="M40"/>
      <c r="N40"/>
      <c r="O40"/>
      <c r="P40"/>
      <c r="Q40"/>
      <c r="R40"/>
      <c r="S40"/>
      <c r="T40"/>
      <c r="U40"/>
      <c r="V40"/>
      <c r="W40"/>
      <c r="X40"/>
      <c r="Y40"/>
      <c r="Z40"/>
      <c r="AA40"/>
      <c r="AB40"/>
    </row>
    <row r="41" spans="1:28" s="800" customFormat="1" ht="24.95" customHeight="1" x14ac:dyDescent="0.35">
      <c r="A41" s="968">
        <v>45181</v>
      </c>
      <c r="B41" s="930" t="s">
        <v>480</v>
      </c>
      <c r="C41" s="925"/>
      <c r="D41" s="925" t="s">
        <v>92</v>
      </c>
      <c r="E41" s="925"/>
      <c r="F41" s="964" t="s">
        <v>654</v>
      </c>
      <c r="G41" s="964"/>
      <c r="H41" s="964">
        <v>5606</v>
      </c>
      <c r="I41" s="965">
        <v>676930.8</v>
      </c>
      <c r="J41"/>
      <c r="K41"/>
      <c r="L41"/>
      <c r="M41"/>
      <c r="N41"/>
      <c r="O41"/>
      <c r="P41"/>
      <c r="Q41"/>
      <c r="R41"/>
      <c r="S41"/>
      <c r="T41"/>
      <c r="U41"/>
      <c r="V41"/>
      <c r="W41"/>
      <c r="X41"/>
      <c r="Y41"/>
      <c r="Z41"/>
      <c r="AA41"/>
      <c r="AB41"/>
    </row>
    <row r="42" spans="1:28" s="800" customFormat="1" ht="24.95" customHeight="1" x14ac:dyDescent="0.35">
      <c r="A42" s="968">
        <v>45386</v>
      </c>
      <c r="B42" s="930" t="s">
        <v>480</v>
      </c>
      <c r="C42" s="925"/>
      <c r="D42" s="925" t="s">
        <v>90</v>
      </c>
      <c r="E42" s="925"/>
      <c r="F42" s="964"/>
      <c r="G42" s="964"/>
      <c r="H42" s="964">
        <v>5776</v>
      </c>
      <c r="I42" s="965">
        <v>455997.92</v>
      </c>
      <c r="J42"/>
      <c r="K42"/>
      <c r="L42"/>
      <c r="M42"/>
      <c r="N42"/>
      <c r="O42"/>
      <c r="P42"/>
      <c r="Q42"/>
      <c r="R42"/>
      <c r="S42"/>
      <c r="T42"/>
      <c r="U42"/>
      <c r="V42"/>
      <c r="W42"/>
      <c r="X42"/>
      <c r="Y42"/>
      <c r="Z42"/>
      <c r="AA42"/>
      <c r="AB42"/>
    </row>
    <row r="43" spans="1:28" s="800" customFormat="1" ht="24.95" customHeight="1" x14ac:dyDescent="0.35">
      <c r="A43" s="968">
        <v>45601</v>
      </c>
      <c r="B43" s="930" t="s">
        <v>480</v>
      </c>
      <c r="C43" s="925"/>
      <c r="D43" s="925" t="s">
        <v>90</v>
      </c>
      <c r="E43" s="925"/>
      <c r="F43" s="964"/>
      <c r="G43" s="964"/>
      <c r="H43" s="964">
        <v>5920</v>
      </c>
      <c r="I43" s="965">
        <v>310000</v>
      </c>
      <c r="J43"/>
      <c r="K43"/>
      <c r="L43"/>
      <c r="M43"/>
      <c r="N43"/>
      <c r="O43"/>
      <c r="P43"/>
      <c r="Q43"/>
      <c r="R43"/>
      <c r="S43"/>
      <c r="T43"/>
      <c r="U43"/>
      <c r="V43"/>
      <c r="W43"/>
      <c r="X43"/>
      <c r="Y43"/>
      <c r="Z43"/>
      <c r="AA43"/>
      <c r="AB43"/>
    </row>
    <row r="44" spans="1:28" s="800" customFormat="1" ht="24.95" customHeight="1" x14ac:dyDescent="0.35">
      <c r="A44" s="968">
        <v>45680</v>
      </c>
      <c r="B44" s="930" t="s">
        <v>480</v>
      </c>
      <c r="C44" s="925"/>
      <c r="D44" s="925" t="s">
        <v>90</v>
      </c>
      <c r="E44" s="925"/>
      <c r="F44" s="964"/>
      <c r="G44" s="964">
        <v>2343</v>
      </c>
      <c r="H44" s="964">
        <v>5979</v>
      </c>
      <c r="I44" s="965">
        <v>45000</v>
      </c>
      <c r="J44"/>
      <c r="K44"/>
      <c r="L44"/>
      <c r="M44"/>
      <c r="N44"/>
      <c r="O44"/>
      <c r="P44"/>
      <c r="Q44"/>
      <c r="R44"/>
      <c r="S44"/>
      <c r="T44"/>
      <c r="U44"/>
      <c r="V44"/>
      <c r="W44"/>
      <c r="X44"/>
      <c r="Y44"/>
      <c r="Z44"/>
      <c r="AA44"/>
      <c r="AB44"/>
    </row>
    <row r="45" spans="1:28" s="800" customFormat="1" ht="24.95" customHeight="1" x14ac:dyDescent="0.35">
      <c r="A45" s="968">
        <v>45731</v>
      </c>
      <c r="B45" s="930" t="s">
        <v>480</v>
      </c>
      <c r="C45" s="925"/>
      <c r="D45" s="925" t="s">
        <v>90</v>
      </c>
      <c r="E45" s="925"/>
      <c r="F45" s="964"/>
      <c r="G45" s="964"/>
      <c r="H45" s="964" t="s">
        <v>481</v>
      </c>
      <c r="I45" s="965" t="s">
        <v>419</v>
      </c>
      <c r="J45"/>
      <c r="K45"/>
      <c r="L45"/>
      <c r="M45"/>
      <c r="N45"/>
      <c r="O45"/>
      <c r="P45"/>
      <c r="Q45"/>
      <c r="R45"/>
      <c r="S45"/>
      <c r="T45"/>
      <c r="U45"/>
      <c r="V45"/>
      <c r="W45"/>
      <c r="X45"/>
      <c r="Y45"/>
      <c r="Z45"/>
      <c r="AA45"/>
      <c r="AB45"/>
    </row>
    <row r="46" spans="1:28" s="800" customFormat="1" ht="24.95" customHeight="1" x14ac:dyDescent="0.35">
      <c r="A46" s="968">
        <v>44977</v>
      </c>
      <c r="B46" s="930" t="s">
        <v>110</v>
      </c>
      <c r="C46" s="925"/>
      <c r="D46" s="925" t="s">
        <v>92</v>
      </c>
      <c r="E46" s="925"/>
      <c r="F46" s="964"/>
      <c r="G46" s="964"/>
      <c r="H46" s="964">
        <v>5407</v>
      </c>
      <c r="I46" s="965">
        <v>24500</v>
      </c>
      <c r="J46" t="s">
        <v>478</v>
      </c>
      <c r="K46"/>
      <c r="L46"/>
      <c r="M46"/>
      <c r="N46"/>
      <c r="O46"/>
      <c r="P46"/>
      <c r="Q46"/>
      <c r="R46"/>
      <c r="S46"/>
      <c r="T46"/>
      <c r="U46"/>
      <c r="V46"/>
      <c r="W46"/>
      <c r="X46"/>
      <c r="Y46"/>
      <c r="Z46"/>
      <c r="AA46"/>
      <c r="AB46"/>
    </row>
    <row r="47" spans="1:28" s="800" customFormat="1" ht="24.95" customHeight="1" x14ac:dyDescent="0.35">
      <c r="A47" s="968">
        <v>2023</v>
      </c>
      <c r="B47" s="930" t="s">
        <v>191</v>
      </c>
      <c r="C47" s="925"/>
      <c r="D47" s="925" t="s">
        <v>92</v>
      </c>
      <c r="E47" s="925"/>
      <c r="F47" s="964"/>
      <c r="G47" s="964"/>
      <c r="H47" s="964" t="s">
        <v>118</v>
      </c>
      <c r="I47" s="965">
        <v>67000</v>
      </c>
      <c r="J47"/>
      <c r="K47"/>
      <c r="L47"/>
      <c r="M47"/>
      <c r="N47"/>
      <c r="O47"/>
      <c r="P47"/>
      <c r="Q47"/>
      <c r="R47"/>
      <c r="S47"/>
      <c r="T47"/>
      <c r="U47"/>
      <c r="V47"/>
      <c r="W47"/>
      <c r="X47"/>
      <c r="Y47"/>
      <c r="Z47"/>
      <c r="AA47"/>
      <c r="AB47"/>
    </row>
    <row r="48" spans="1:28" s="782" customFormat="1" ht="24.95" customHeight="1" x14ac:dyDescent="0.35">
      <c r="A48" s="968">
        <v>45147</v>
      </c>
      <c r="B48" s="930" t="s">
        <v>653</v>
      </c>
      <c r="C48" s="925"/>
      <c r="D48" s="925" t="s">
        <v>92</v>
      </c>
      <c r="E48" s="925"/>
      <c r="F48" s="964"/>
      <c r="G48" s="964"/>
      <c r="H48" s="964">
        <v>5568</v>
      </c>
      <c r="I48" s="965">
        <v>10000</v>
      </c>
      <c r="J48"/>
      <c r="K48"/>
      <c r="L48"/>
      <c r="M48"/>
      <c r="N48"/>
      <c r="O48"/>
      <c r="P48"/>
      <c r="Q48"/>
      <c r="R48"/>
      <c r="S48"/>
      <c r="T48"/>
      <c r="U48"/>
      <c r="V48"/>
      <c r="W48"/>
      <c r="X48"/>
      <c r="Y48"/>
      <c r="Z48"/>
      <c r="AA48"/>
      <c r="AB48"/>
    </row>
    <row r="49" spans="1:28" s="782" customFormat="1" ht="24.95" customHeight="1" x14ac:dyDescent="0.35">
      <c r="A49" s="968">
        <v>45195</v>
      </c>
      <c r="B49" s="930" t="s">
        <v>271</v>
      </c>
      <c r="C49" s="925"/>
      <c r="D49" s="925" t="s">
        <v>92</v>
      </c>
      <c r="E49" s="925"/>
      <c r="F49" s="964"/>
      <c r="G49" s="964"/>
      <c r="H49" s="964" t="s">
        <v>272</v>
      </c>
      <c r="I49" s="965">
        <v>2339.29</v>
      </c>
      <c r="J49"/>
      <c r="K49"/>
      <c r="L49"/>
      <c r="M49"/>
      <c r="N49"/>
      <c r="O49"/>
      <c r="P49"/>
      <c r="Q49"/>
      <c r="R49"/>
      <c r="S49"/>
      <c r="T49"/>
      <c r="U49"/>
      <c r="V49"/>
      <c r="W49"/>
      <c r="X49"/>
      <c r="Y49"/>
      <c r="Z49"/>
      <c r="AA49"/>
      <c r="AB49"/>
    </row>
    <row r="50" spans="1:28" s="782" customFormat="1" ht="24.95" customHeight="1" x14ac:dyDescent="0.35">
      <c r="A50" s="968">
        <v>45859</v>
      </c>
      <c r="B50" s="930" t="s">
        <v>271</v>
      </c>
      <c r="C50" s="925"/>
      <c r="D50" s="925" t="s">
        <v>282</v>
      </c>
      <c r="E50" s="925"/>
      <c r="F50" s="964"/>
      <c r="G50" s="964"/>
      <c r="H50" s="964" t="s">
        <v>572</v>
      </c>
      <c r="I50" s="965">
        <v>9850</v>
      </c>
      <c r="J50"/>
      <c r="K50"/>
      <c r="L50"/>
      <c r="M50"/>
      <c r="N50"/>
      <c r="O50"/>
      <c r="P50"/>
      <c r="Q50"/>
      <c r="R50"/>
      <c r="S50"/>
      <c r="T50"/>
      <c r="U50"/>
      <c r="V50"/>
      <c r="W50"/>
      <c r="X50"/>
      <c r="Y50"/>
      <c r="Z50"/>
      <c r="AA50"/>
      <c r="AB50"/>
    </row>
    <row r="51" spans="1:28" s="782" customFormat="1" ht="24.95" customHeight="1" x14ac:dyDescent="0.35">
      <c r="A51" s="968" t="s">
        <v>421</v>
      </c>
      <c r="B51" s="930" t="s">
        <v>417</v>
      </c>
      <c r="C51" s="925"/>
      <c r="D51" s="925" t="s">
        <v>90</v>
      </c>
      <c r="E51" s="925"/>
      <c r="F51" s="964"/>
      <c r="G51" s="964"/>
      <c r="H51" s="964" t="s">
        <v>456</v>
      </c>
      <c r="I51" s="965" t="s">
        <v>419</v>
      </c>
      <c r="J51"/>
      <c r="K51"/>
      <c r="L51"/>
      <c r="M51"/>
      <c r="N51"/>
      <c r="O51"/>
      <c r="P51"/>
      <c r="Q51"/>
      <c r="R51"/>
      <c r="S51"/>
      <c r="T51"/>
      <c r="U51"/>
      <c r="V51"/>
      <c r="W51"/>
      <c r="X51"/>
      <c r="Y51"/>
      <c r="Z51"/>
      <c r="AA51"/>
      <c r="AB51"/>
    </row>
    <row r="52" spans="1:28" s="782" customFormat="1" ht="24.95" customHeight="1" x14ac:dyDescent="0.35">
      <c r="A52" s="968">
        <v>45897</v>
      </c>
      <c r="B52" s="930" t="s">
        <v>417</v>
      </c>
      <c r="C52" s="925"/>
      <c r="D52" s="925" t="s">
        <v>90</v>
      </c>
      <c r="E52" s="925"/>
      <c r="F52" s="964"/>
      <c r="G52" s="964"/>
      <c r="H52" s="964" t="s">
        <v>609</v>
      </c>
      <c r="I52" s="965" t="s">
        <v>419</v>
      </c>
      <c r="J52"/>
      <c r="K52"/>
      <c r="L52"/>
      <c r="M52"/>
      <c r="N52"/>
      <c r="O52"/>
      <c r="P52"/>
      <c r="Q52"/>
      <c r="R52"/>
      <c r="S52"/>
      <c r="T52"/>
      <c r="U52"/>
      <c r="V52"/>
      <c r="W52"/>
      <c r="X52"/>
      <c r="Y52"/>
      <c r="Z52"/>
      <c r="AA52"/>
      <c r="AB52"/>
    </row>
    <row r="53" spans="1:28" s="782" customFormat="1" ht="24.95" customHeight="1" x14ac:dyDescent="0.35">
      <c r="A53" s="968">
        <v>45985</v>
      </c>
      <c r="B53" s="930" t="s">
        <v>417</v>
      </c>
      <c r="C53" s="925"/>
      <c r="D53" s="925" t="s">
        <v>90</v>
      </c>
      <c r="E53" s="925"/>
      <c r="F53" s="964"/>
      <c r="G53" s="964"/>
      <c r="H53" s="964" t="s">
        <v>688</v>
      </c>
      <c r="I53" s="965" t="s">
        <v>419</v>
      </c>
      <c r="J53"/>
      <c r="K53"/>
      <c r="L53"/>
      <c r="M53"/>
      <c r="N53"/>
      <c r="O53"/>
      <c r="P53"/>
      <c r="Q53"/>
      <c r="R53"/>
      <c r="S53"/>
      <c r="T53"/>
      <c r="U53"/>
      <c r="V53"/>
      <c r="W53"/>
      <c r="X53"/>
      <c r="Y53"/>
      <c r="Z53"/>
      <c r="AA53"/>
      <c r="AB53"/>
    </row>
    <row r="54" spans="1:28" s="782" customFormat="1" ht="24.95" customHeight="1" x14ac:dyDescent="0.35">
      <c r="A54" s="968">
        <v>45313</v>
      </c>
      <c r="B54" s="930" t="s">
        <v>230</v>
      </c>
      <c r="C54" s="925"/>
      <c r="D54" s="925" t="s">
        <v>92</v>
      </c>
      <c r="E54" s="925"/>
      <c r="F54" s="964"/>
      <c r="G54" s="964"/>
      <c r="H54" s="964">
        <v>5715</v>
      </c>
      <c r="I54" s="965">
        <v>78</v>
      </c>
      <c r="J54"/>
      <c r="K54"/>
      <c r="L54"/>
      <c r="M54"/>
      <c r="N54"/>
      <c r="O54"/>
      <c r="P54"/>
      <c r="Q54"/>
      <c r="R54"/>
      <c r="S54"/>
      <c r="T54"/>
      <c r="U54"/>
      <c r="V54"/>
      <c r="W54"/>
      <c r="X54"/>
      <c r="Y54"/>
      <c r="Z54"/>
      <c r="AA54"/>
      <c r="AB54"/>
    </row>
    <row r="55" spans="1:28" s="782" customFormat="1" ht="24.95" customHeight="1" x14ac:dyDescent="0.35">
      <c r="A55" s="968">
        <v>45371</v>
      </c>
      <c r="B55" s="930" t="s">
        <v>655</v>
      </c>
      <c r="C55" s="925"/>
      <c r="D55" s="925" t="s">
        <v>221</v>
      </c>
      <c r="E55" s="925"/>
      <c r="F55" s="964"/>
      <c r="G55" s="964"/>
      <c r="H55" s="964">
        <v>5769</v>
      </c>
      <c r="I55" s="965">
        <v>250</v>
      </c>
      <c r="J55"/>
      <c r="K55"/>
      <c r="L55"/>
      <c r="M55"/>
      <c r="N55"/>
      <c r="O55"/>
      <c r="P55"/>
      <c r="Q55"/>
      <c r="R55"/>
      <c r="S55"/>
      <c r="T55"/>
      <c r="U55"/>
      <c r="V55"/>
      <c r="W55"/>
      <c r="X55"/>
      <c r="Y55"/>
      <c r="Z55"/>
      <c r="AA55"/>
      <c r="AB55"/>
    </row>
    <row r="56" spans="1:28" s="782" customFormat="1" ht="24.95" customHeight="1" x14ac:dyDescent="0.35">
      <c r="A56" s="968">
        <v>45421</v>
      </c>
      <c r="B56" s="930" t="s">
        <v>545</v>
      </c>
      <c r="C56" s="925"/>
      <c r="D56" s="925" t="s">
        <v>90</v>
      </c>
      <c r="E56" s="925"/>
      <c r="F56" s="964"/>
      <c r="G56" s="964"/>
      <c r="H56" s="964">
        <v>5799</v>
      </c>
      <c r="I56" s="965">
        <v>101150</v>
      </c>
      <c r="J56"/>
      <c r="K56"/>
      <c r="L56"/>
      <c r="M56"/>
      <c r="N56"/>
      <c r="O56"/>
      <c r="P56"/>
      <c r="Q56"/>
      <c r="R56"/>
      <c r="S56"/>
      <c r="T56"/>
      <c r="U56"/>
      <c r="V56"/>
      <c r="W56"/>
      <c r="X56"/>
      <c r="Y56"/>
      <c r="Z56"/>
      <c r="AA56"/>
      <c r="AB56"/>
    </row>
    <row r="57" spans="1:28" s="782" customFormat="1" ht="24.95" customHeight="1" x14ac:dyDescent="0.35">
      <c r="A57" s="968">
        <v>45512</v>
      </c>
      <c r="B57" s="930" t="s">
        <v>545</v>
      </c>
      <c r="C57" s="925"/>
      <c r="D57" s="925" t="s">
        <v>90</v>
      </c>
      <c r="E57" s="925"/>
      <c r="F57" s="964"/>
      <c r="G57" s="964"/>
      <c r="H57" s="964">
        <v>5860</v>
      </c>
      <c r="I57" s="965">
        <v>194000</v>
      </c>
      <c r="J57"/>
      <c r="K57"/>
      <c r="L57"/>
      <c r="M57"/>
      <c r="N57"/>
      <c r="O57"/>
      <c r="P57"/>
      <c r="Q57"/>
      <c r="R57"/>
      <c r="S57"/>
      <c r="T57"/>
      <c r="U57"/>
      <c r="V57"/>
      <c r="W57"/>
      <c r="X57"/>
      <c r="Y57"/>
      <c r="Z57"/>
      <c r="AA57"/>
      <c r="AB57"/>
    </row>
    <row r="58" spans="1:28" s="813" customFormat="1" ht="24.95" customHeight="1" x14ac:dyDescent="0.35">
      <c r="A58" s="968">
        <v>45539</v>
      </c>
      <c r="B58" s="930" t="s">
        <v>545</v>
      </c>
      <c r="C58" s="925"/>
      <c r="D58" s="925" t="s">
        <v>90</v>
      </c>
      <c r="E58" s="925"/>
      <c r="F58" s="964"/>
      <c r="G58" s="964"/>
      <c r="H58" s="964">
        <v>5881</v>
      </c>
      <c r="I58" s="965" t="s">
        <v>419</v>
      </c>
      <c r="J58"/>
      <c r="K58"/>
      <c r="L58"/>
      <c r="M58"/>
      <c r="N58"/>
      <c r="O58"/>
      <c r="P58"/>
      <c r="Q58"/>
      <c r="R58"/>
      <c r="S58"/>
      <c r="T58"/>
      <c r="U58"/>
      <c r="V58"/>
      <c r="W58"/>
      <c r="X58"/>
      <c r="Y58"/>
      <c r="Z58"/>
      <c r="AA58"/>
      <c r="AB58"/>
    </row>
    <row r="59" spans="1:28" s="813" customFormat="1" ht="24.95" customHeight="1" x14ac:dyDescent="0.35">
      <c r="A59" s="968" t="s">
        <v>658</v>
      </c>
      <c r="B59" s="930" t="s">
        <v>545</v>
      </c>
      <c r="C59" s="925"/>
      <c r="D59" s="925" t="s">
        <v>90</v>
      </c>
      <c r="E59" s="925"/>
      <c r="F59" s="964"/>
      <c r="G59" s="964"/>
      <c r="H59" s="964" t="s">
        <v>498</v>
      </c>
      <c r="I59" s="965">
        <v>167500</v>
      </c>
      <c r="J59"/>
      <c r="K59"/>
      <c r="L59"/>
      <c r="M59"/>
      <c r="N59"/>
      <c r="O59"/>
      <c r="P59"/>
      <c r="Q59"/>
      <c r="R59"/>
      <c r="S59"/>
      <c r="T59"/>
      <c r="U59"/>
      <c r="V59"/>
      <c r="W59"/>
      <c r="X59"/>
      <c r="Y59"/>
      <c r="Z59"/>
      <c r="AA59"/>
      <c r="AB59"/>
    </row>
    <row r="60" spans="1:28" s="813" customFormat="1" ht="24.95" customHeight="1" x14ac:dyDescent="0.35">
      <c r="A60" s="968" t="s">
        <v>421</v>
      </c>
      <c r="B60" s="930" t="s">
        <v>545</v>
      </c>
      <c r="C60" s="925"/>
      <c r="D60" s="925" t="s">
        <v>90</v>
      </c>
      <c r="E60" s="925"/>
      <c r="F60" s="964"/>
      <c r="G60" s="964"/>
      <c r="H60" s="964" t="s">
        <v>503</v>
      </c>
      <c r="I60" s="965" t="s">
        <v>419</v>
      </c>
      <c r="J60"/>
      <c r="K60"/>
      <c r="L60"/>
      <c r="M60"/>
      <c r="N60"/>
      <c r="O60"/>
      <c r="P60"/>
      <c r="Q60"/>
      <c r="R60"/>
      <c r="S60"/>
      <c r="T60"/>
      <c r="U60"/>
      <c r="V60"/>
      <c r="W60"/>
      <c r="X60"/>
      <c r="Y60"/>
      <c r="Z60"/>
      <c r="AA60"/>
      <c r="AB60"/>
    </row>
    <row r="61" spans="1:28" s="813" customFormat="1" ht="24.95" customHeight="1" x14ac:dyDescent="0.35">
      <c r="A61" s="968" t="s">
        <v>421</v>
      </c>
      <c r="B61" s="930" t="s">
        <v>545</v>
      </c>
      <c r="C61" s="925"/>
      <c r="D61" s="925" t="s">
        <v>90</v>
      </c>
      <c r="E61" s="925"/>
      <c r="F61" s="964"/>
      <c r="G61" s="964"/>
      <c r="H61" s="964" t="s">
        <v>582</v>
      </c>
      <c r="I61" s="965">
        <v>948000</v>
      </c>
      <c r="J61"/>
      <c r="K61"/>
      <c r="L61"/>
      <c r="M61"/>
      <c r="N61"/>
      <c r="O61"/>
      <c r="P61"/>
      <c r="Q61"/>
      <c r="R61"/>
      <c r="S61"/>
      <c r="T61"/>
      <c r="U61"/>
      <c r="V61"/>
      <c r="W61"/>
      <c r="X61"/>
      <c r="Y61"/>
      <c r="Z61"/>
      <c r="AA61"/>
      <c r="AB61"/>
    </row>
    <row r="62" spans="1:28" s="813" customFormat="1" ht="24.95" customHeight="1" x14ac:dyDescent="0.35">
      <c r="A62" s="968" t="s">
        <v>421</v>
      </c>
      <c r="B62" s="930" t="s">
        <v>545</v>
      </c>
      <c r="C62" s="925"/>
      <c r="D62" s="925" t="s">
        <v>90</v>
      </c>
      <c r="E62" s="925"/>
      <c r="F62" s="964" t="s">
        <v>676</v>
      </c>
      <c r="G62" s="964"/>
      <c r="H62" s="964" t="s">
        <v>603</v>
      </c>
      <c r="I62" s="965">
        <v>685000</v>
      </c>
      <c r="J62"/>
      <c r="K62"/>
      <c r="L62"/>
      <c r="M62"/>
      <c r="N62"/>
      <c r="O62"/>
      <c r="P62"/>
      <c r="Q62"/>
      <c r="R62"/>
      <c r="S62"/>
      <c r="T62"/>
      <c r="U62"/>
      <c r="V62"/>
      <c r="W62"/>
      <c r="X62"/>
      <c r="Y62"/>
      <c r="Z62"/>
      <c r="AA62"/>
      <c r="AB62"/>
    </row>
    <row r="63" spans="1:28" s="813" customFormat="1" ht="24.95" customHeight="1" x14ac:dyDescent="0.35">
      <c r="A63" s="968">
        <v>45952</v>
      </c>
      <c r="B63" s="930" t="s">
        <v>545</v>
      </c>
      <c r="C63" s="925"/>
      <c r="D63" s="925" t="s">
        <v>90</v>
      </c>
      <c r="E63" s="925"/>
      <c r="F63" s="964"/>
      <c r="G63" s="964"/>
      <c r="H63" s="964" t="s">
        <v>645</v>
      </c>
      <c r="I63" s="965" t="s">
        <v>419</v>
      </c>
      <c r="J63"/>
      <c r="K63"/>
      <c r="L63"/>
      <c r="M63"/>
      <c r="N63"/>
      <c r="O63"/>
      <c r="P63"/>
      <c r="Q63"/>
      <c r="R63"/>
      <c r="S63"/>
      <c r="T63"/>
      <c r="U63"/>
      <c r="V63"/>
      <c r="W63"/>
      <c r="X63"/>
      <c r="Y63"/>
      <c r="Z63"/>
      <c r="AA63"/>
      <c r="AB63"/>
    </row>
    <row r="64" spans="1:28" s="813" customFormat="1" ht="24.95" customHeight="1" x14ac:dyDescent="0.35">
      <c r="A64" s="968">
        <v>45985</v>
      </c>
      <c r="B64" s="930" t="s">
        <v>545</v>
      </c>
      <c r="C64" s="925"/>
      <c r="D64" s="925" t="s">
        <v>90</v>
      </c>
      <c r="E64" s="925"/>
      <c r="F64" s="964"/>
      <c r="G64" s="964"/>
      <c r="H64" s="964" t="s">
        <v>819</v>
      </c>
      <c r="I64" s="965" t="s">
        <v>419</v>
      </c>
      <c r="J64"/>
      <c r="K64"/>
      <c r="L64"/>
      <c r="M64"/>
      <c r="N64"/>
      <c r="O64"/>
      <c r="P64"/>
      <c r="Q64"/>
      <c r="R64"/>
      <c r="S64"/>
      <c r="T64"/>
      <c r="U64"/>
      <c r="V64"/>
      <c r="W64"/>
      <c r="X64"/>
      <c r="Y64"/>
      <c r="Z64"/>
      <c r="AA64"/>
      <c r="AB64"/>
    </row>
    <row r="65" spans="1:28" s="813" customFormat="1" ht="24.95" customHeight="1" x14ac:dyDescent="0.35">
      <c r="A65" s="968">
        <v>45986</v>
      </c>
      <c r="B65" s="930" t="s">
        <v>545</v>
      </c>
      <c r="C65" s="925"/>
      <c r="D65" s="925" t="s">
        <v>90</v>
      </c>
      <c r="E65" s="925"/>
      <c r="F65" s="964"/>
      <c r="G65" s="964"/>
      <c r="H65" s="964" t="s">
        <v>689</v>
      </c>
      <c r="I65" s="965" t="s">
        <v>419</v>
      </c>
      <c r="J65"/>
      <c r="K65"/>
      <c r="L65"/>
      <c r="M65"/>
      <c r="N65"/>
      <c r="O65"/>
      <c r="P65"/>
      <c r="Q65"/>
      <c r="R65"/>
      <c r="S65"/>
      <c r="T65"/>
      <c r="U65"/>
      <c r="V65"/>
      <c r="W65"/>
      <c r="X65"/>
      <c r="Y65"/>
      <c r="Z65"/>
      <c r="AA65"/>
      <c r="AB65"/>
    </row>
    <row r="66" spans="1:28" s="813" customFormat="1" ht="24.95" customHeight="1" x14ac:dyDescent="0.35">
      <c r="A66" s="968">
        <v>46042</v>
      </c>
      <c r="B66" s="930" t="s">
        <v>545</v>
      </c>
      <c r="C66" s="925"/>
      <c r="D66" s="925" t="s">
        <v>90</v>
      </c>
      <c r="E66" s="925"/>
      <c r="F66" s="964"/>
      <c r="G66" s="964"/>
      <c r="H66" s="964" t="s">
        <v>728</v>
      </c>
      <c r="I66" s="965" t="s">
        <v>419</v>
      </c>
      <c r="J66"/>
      <c r="K66"/>
      <c r="L66"/>
      <c r="M66"/>
      <c r="N66"/>
      <c r="O66"/>
      <c r="P66"/>
      <c r="Q66"/>
      <c r="R66"/>
      <c r="S66"/>
      <c r="T66"/>
      <c r="U66"/>
      <c r="V66"/>
      <c r="W66"/>
      <c r="X66"/>
      <c r="Y66"/>
      <c r="Z66"/>
      <c r="AA66"/>
      <c r="AB66"/>
    </row>
    <row r="67" spans="1:28" s="813" customFormat="1" ht="24.95" customHeight="1" x14ac:dyDescent="0.35">
      <c r="A67" s="968">
        <v>46042</v>
      </c>
      <c r="B67" s="930" t="s">
        <v>545</v>
      </c>
      <c r="C67" s="925"/>
      <c r="D67" s="925" t="s">
        <v>90</v>
      </c>
      <c r="E67" s="925"/>
      <c r="F67" s="964"/>
      <c r="G67" s="964"/>
      <c r="H67" s="964" t="s">
        <v>729</v>
      </c>
      <c r="I67" s="965" t="s">
        <v>419</v>
      </c>
      <c r="J67"/>
      <c r="K67"/>
      <c r="L67"/>
      <c r="M67"/>
      <c r="N67"/>
      <c r="O67"/>
      <c r="P67"/>
      <c r="Q67"/>
      <c r="R67"/>
      <c r="S67"/>
      <c r="T67"/>
      <c r="U67"/>
      <c r="V67"/>
      <c r="W67"/>
      <c r="X67"/>
      <c r="Y67"/>
      <c r="Z67"/>
      <c r="AA67"/>
      <c r="AB67"/>
    </row>
    <row r="68" spans="1:28" s="813" customFormat="1" ht="24.95" customHeight="1" x14ac:dyDescent="0.35">
      <c r="A68" s="968">
        <v>46057</v>
      </c>
      <c r="B68" s="930" t="s">
        <v>545</v>
      </c>
      <c r="C68" s="925"/>
      <c r="D68" s="925" t="s">
        <v>90</v>
      </c>
      <c r="E68" s="925"/>
      <c r="F68" s="964"/>
      <c r="G68" s="964"/>
      <c r="H68" s="964" t="s">
        <v>768</v>
      </c>
      <c r="I68" s="965" t="s">
        <v>419</v>
      </c>
      <c r="J68"/>
      <c r="K68"/>
      <c r="L68"/>
      <c r="M68"/>
      <c r="N68"/>
      <c r="O68"/>
      <c r="P68"/>
      <c r="Q68"/>
      <c r="R68"/>
      <c r="S68"/>
      <c r="T68"/>
      <c r="U68"/>
      <c r="V68"/>
      <c r="W68"/>
      <c r="X68"/>
      <c r="Y68"/>
      <c r="Z68"/>
      <c r="AA68"/>
      <c r="AB68"/>
    </row>
    <row r="69" spans="1:28" s="813" customFormat="1" ht="24.95" customHeight="1" x14ac:dyDescent="0.35">
      <c r="A69" s="968"/>
      <c r="B69" s="930" t="s">
        <v>545</v>
      </c>
      <c r="C69" s="925"/>
      <c r="D69" s="925" t="s">
        <v>90</v>
      </c>
      <c r="E69" s="925"/>
      <c r="F69" s="964"/>
      <c r="G69" s="964"/>
      <c r="H69" s="964" t="s">
        <v>780</v>
      </c>
      <c r="I69" s="965" t="s">
        <v>419</v>
      </c>
      <c r="J69"/>
      <c r="K69"/>
      <c r="L69"/>
      <c r="M69"/>
      <c r="N69"/>
      <c r="O69"/>
      <c r="P69"/>
      <c r="Q69"/>
      <c r="R69"/>
      <c r="S69"/>
      <c r="T69"/>
      <c r="U69"/>
      <c r="V69"/>
      <c r="W69"/>
      <c r="X69"/>
      <c r="Y69"/>
      <c r="Z69"/>
      <c r="AA69"/>
      <c r="AB69"/>
    </row>
    <row r="70" spans="1:28" s="813" customFormat="1" ht="24.95" customHeight="1" x14ac:dyDescent="0.35">
      <c r="A70" s="968"/>
      <c r="B70" s="930" t="s">
        <v>545</v>
      </c>
      <c r="C70" s="925"/>
      <c r="D70" s="925" t="s">
        <v>90</v>
      </c>
      <c r="E70" s="925"/>
      <c r="F70" s="964"/>
      <c r="G70" s="964"/>
      <c r="H70" s="964" t="s">
        <v>781</v>
      </c>
      <c r="I70" s="965" t="s">
        <v>419</v>
      </c>
      <c r="J70"/>
      <c r="K70"/>
      <c r="L70"/>
      <c r="M70"/>
      <c r="N70"/>
      <c r="O70"/>
      <c r="P70"/>
      <c r="Q70"/>
      <c r="R70"/>
      <c r="S70"/>
      <c r="T70"/>
      <c r="U70"/>
      <c r="V70"/>
      <c r="W70"/>
      <c r="X70"/>
      <c r="Y70"/>
      <c r="Z70"/>
      <c r="AA70"/>
      <c r="AB70"/>
    </row>
    <row r="71" spans="1:28" s="813" customFormat="1" ht="24.95" customHeight="1" x14ac:dyDescent="0.35">
      <c r="A71" s="968">
        <v>46106</v>
      </c>
      <c r="B71" s="930" t="s">
        <v>545</v>
      </c>
      <c r="C71" s="925"/>
      <c r="D71" s="925" t="s">
        <v>90</v>
      </c>
      <c r="E71" s="925"/>
      <c r="F71" s="964"/>
      <c r="G71" s="964"/>
      <c r="H71" s="964" t="s">
        <v>836</v>
      </c>
      <c r="I71" s="965" t="s">
        <v>419</v>
      </c>
      <c r="J71"/>
      <c r="K71"/>
      <c r="L71"/>
      <c r="M71"/>
      <c r="N71"/>
      <c r="O71"/>
      <c r="P71"/>
      <c r="Q71"/>
      <c r="R71"/>
      <c r="S71"/>
      <c r="T71"/>
      <c r="U71"/>
      <c r="V71"/>
      <c r="W71"/>
      <c r="X71"/>
      <c r="Y71"/>
      <c r="Z71"/>
      <c r="AA71"/>
      <c r="AB71"/>
    </row>
    <row r="72" spans="1:28" s="813" customFormat="1" ht="24.95" customHeight="1" x14ac:dyDescent="0.35">
      <c r="A72" s="968">
        <v>46106</v>
      </c>
      <c r="B72" s="930" t="s">
        <v>545</v>
      </c>
      <c r="C72" s="925"/>
      <c r="D72" s="925" t="s">
        <v>90</v>
      </c>
      <c r="E72" s="925"/>
      <c r="F72" s="964"/>
      <c r="G72" s="964"/>
      <c r="H72" s="964" t="s">
        <v>837</v>
      </c>
      <c r="I72" s="965" t="s">
        <v>419</v>
      </c>
      <c r="J72"/>
      <c r="K72"/>
      <c r="L72"/>
      <c r="M72"/>
      <c r="N72"/>
      <c r="O72"/>
      <c r="P72"/>
      <c r="Q72"/>
      <c r="R72"/>
      <c r="S72"/>
      <c r="T72"/>
      <c r="U72"/>
      <c r="V72"/>
      <c r="W72"/>
      <c r="X72"/>
      <c r="Y72"/>
      <c r="Z72"/>
      <c r="AA72"/>
      <c r="AB72"/>
    </row>
    <row r="73" spans="1:28" s="813" customFormat="1" ht="24.95" customHeight="1" x14ac:dyDescent="0.35">
      <c r="A73" s="968">
        <v>45630</v>
      </c>
      <c r="B73" s="930" t="s">
        <v>466</v>
      </c>
      <c r="C73" s="925"/>
      <c r="D73" s="925" t="s">
        <v>92</v>
      </c>
      <c r="E73" s="925"/>
      <c r="F73" s="964"/>
      <c r="G73" s="964"/>
      <c r="H73" s="964">
        <v>5939</v>
      </c>
      <c r="I73" s="965">
        <v>297900</v>
      </c>
      <c r="J73"/>
      <c r="K73"/>
      <c r="L73"/>
      <c r="M73"/>
      <c r="N73"/>
      <c r="O73"/>
      <c r="P73"/>
      <c r="Q73"/>
      <c r="R73"/>
      <c r="S73"/>
      <c r="T73"/>
      <c r="U73"/>
      <c r="V73"/>
      <c r="W73"/>
      <c r="X73"/>
      <c r="Y73"/>
      <c r="Z73"/>
      <c r="AA73"/>
      <c r="AB73"/>
    </row>
    <row r="74" spans="1:28" s="813" customFormat="1" ht="24.95" customHeight="1" x14ac:dyDescent="0.35">
      <c r="A74" s="968" t="s">
        <v>421</v>
      </c>
      <c r="B74" s="930" t="s">
        <v>270</v>
      </c>
      <c r="C74" s="925"/>
      <c r="D74" s="925" t="s">
        <v>90</v>
      </c>
      <c r="E74" s="925"/>
      <c r="F74" s="964"/>
      <c r="G74" s="964"/>
      <c r="H74" s="964">
        <v>5950</v>
      </c>
      <c r="I74" s="965" t="s">
        <v>419</v>
      </c>
      <c r="J74"/>
      <c r="K74"/>
      <c r="L74"/>
      <c r="M74"/>
      <c r="N74"/>
      <c r="O74"/>
      <c r="P74"/>
      <c r="Q74"/>
      <c r="R74"/>
      <c r="S74"/>
      <c r="T74"/>
      <c r="U74"/>
      <c r="V74"/>
      <c r="W74"/>
      <c r="X74"/>
      <c r="Y74"/>
      <c r="Z74"/>
      <c r="AA74"/>
      <c r="AB74"/>
    </row>
    <row r="75" spans="1:28" s="813" customFormat="1" ht="24.95" customHeight="1" x14ac:dyDescent="0.35">
      <c r="A75" s="968">
        <v>45700</v>
      </c>
      <c r="B75" s="930" t="s">
        <v>270</v>
      </c>
      <c r="C75" s="925"/>
      <c r="D75" s="925" t="s">
        <v>90</v>
      </c>
      <c r="E75" s="925"/>
      <c r="F75" s="964"/>
      <c r="G75" s="964"/>
      <c r="H75" s="964">
        <v>5990</v>
      </c>
      <c r="I75" s="965">
        <v>1200</v>
      </c>
      <c r="J75"/>
      <c r="K75"/>
      <c r="L75"/>
      <c r="M75"/>
      <c r="N75"/>
      <c r="O75"/>
      <c r="P75"/>
      <c r="Q75"/>
      <c r="R75"/>
      <c r="S75"/>
      <c r="T75"/>
      <c r="U75"/>
      <c r="V75"/>
      <c r="W75"/>
      <c r="X75"/>
      <c r="Y75"/>
      <c r="Z75"/>
      <c r="AA75"/>
      <c r="AB75"/>
    </row>
    <row r="76" spans="1:28" s="813" customFormat="1" ht="24.95" customHeight="1" x14ac:dyDescent="0.35">
      <c r="A76" s="968">
        <v>45896</v>
      </c>
      <c r="B76" s="930" t="s">
        <v>270</v>
      </c>
      <c r="C76" s="925"/>
      <c r="D76" s="925" t="s">
        <v>90</v>
      </c>
      <c r="E76" s="925"/>
      <c r="F76" s="964"/>
      <c r="G76" s="964"/>
      <c r="H76" s="964" t="s">
        <v>601</v>
      </c>
      <c r="I76" s="965" t="s">
        <v>419</v>
      </c>
      <c r="J76"/>
      <c r="K76"/>
      <c r="L76"/>
      <c r="M76"/>
      <c r="N76"/>
      <c r="O76"/>
      <c r="P76"/>
      <c r="Q76"/>
      <c r="R76"/>
      <c r="S76"/>
      <c r="T76"/>
      <c r="U76"/>
      <c r="V76"/>
      <c r="W76"/>
      <c r="X76"/>
      <c r="Y76"/>
      <c r="Z76"/>
      <c r="AA76"/>
      <c r="AB76"/>
    </row>
    <row r="77" spans="1:28" s="813" customFormat="1" ht="24.95" customHeight="1" x14ac:dyDescent="0.35">
      <c r="A77" s="968">
        <v>45946</v>
      </c>
      <c r="B77" s="930" t="s">
        <v>270</v>
      </c>
      <c r="C77" s="925"/>
      <c r="D77" s="925" t="s">
        <v>90</v>
      </c>
      <c r="E77" s="925"/>
      <c r="F77" s="964"/>
      <c r="G77" s="964"/>
      <c r="H77" s="964" t="s">
        <v>638</v>
      </c>
      <c r="I77" s="965">
        <v>100000</v>
      </c>
      <c r="J77"/>
      <c r="K77"/>
      <c r="L77"/>
      <c r="M77"/>
      <c r="N77"/>
      <c r="O77"/>
      <c r="P77"/>
      <c r="Q77"/>
      <c r="R77"/>
      <c r="S77"/>
      <c r="T77"/>
      <c r="U77"/>
      <c r="V77"/>
      <c r="W77"/>
      <c r="X77"/>
      <c r="Y77"/>
      <c r="Z77"/>
      <c r="AA77"/>
      <c r="AB77"/>
    </row>
    <row r="78" spans="1:28" s="813" customFormat="1" ht="24.95" customHeight="1" x14ac:dyDescent="0.35">
      <c r="A78" s="968">
        <v>45946</v>
      </c>
      <c r="B78" s="930" t="s">
        <v>270</v>
      </c>
      <c r="C78" s="925"/>
      <c r="D78" s="925" t="s">
        <v>90</v>
      </c>
      <c r="E78" s="925"/>
      <c r="F78" s="964"/>
      <c r="G78" s="964"/>
      <c r="H78" s="964" t="s">
        <v>639</v>
      </c>
      <c r="I78" s="965">
        <v>89000</v>
      </c>
      <c r="J78"/>
      <c r="K78"/>
      <c r="L78"/>
      <c r="M78"/>
      <c r="N78"/>
      <c r="O78"/>
      <c r="P78"/>
      <c r="Q78"/>
      <c r="R78"/>
      <c r="S78"/>
      <c r="T78"/>
      <c r="U78"/>
      <c r="V78"/>
      <c r="W78"/>
      <c r="X78"/>
      <c r="Y78"/>
      <c r="Z78"/>
      <c r="AA78"/>
      <c r="AB78"/>
    </row>
    <row r="79" spans="1:28" s="813" customFormat="1" ht="24.95" customHeight="1" x14ac:dyDescent="0.35">
      <c r="A79" s="968">
        <v>45946</v>
      </c>
      <c r="B79" s="930" t="s">
        <v>270</v>
      </c>
      <c r="C79" s="925"/>
      <c r="D79" s="925" t="s">
        <v>90</v>
      </c>
      <c r="E79" s="925"/>
      <c r="F79" s="964"/>
      <c r="G79" s="964"/>
      <c r="H79" s="964" t="s">
        <v>640</v>
      </c>
      <c r="I79" s="965">
        <v>105000</v>
      </c>
      <c r="J79"/>
      <c r="K79"/>
      <c r="L79"/>
      <c r="M79"/>
      <c r="N79"/>
      <c r="O79"/>
      <c r="P79"/>
      <c r="Q79"/>
      <c r="R79"/>
      <c r="S79"/>
      <c r="T79"/>
      <c r="U79"/>
      <c r="V79"/>
      <c r="W79"/>
      <c r="X79"/>
      <c r="Y79"/>
      <c r="Z79"/>
      <c r="AA79"/>
      <c r="AB79"/>
    </row>
    <row r="80" spans="1:28" s="813" customFormat="1" ht="24.95" customHeight="1" x14ac:dyDescent="0.35">
      <c r="A80" s="968">
        <v>45817</v>
      </c>
      <c r="B80" s="983" t="s">
        <v>560</v>
      </c>
      <c r="C80" s="925"/>
      <c r="D80" s="964" t="s">
        <v>90</v>
      </c>
      <c r="E80" s="964"/>
      <c r="F80" s="964"/>
      <c r="G80" s="964"/>
      <c r="H80" s="964" t="s">
        <v>556</v>
      </c>
      <c r="I80" s="965" t="s">
        <v>419</v>
      </c>
      <c r="J80"/>
      <c r="K80"/>
      <c r="L80"/>
      <c r="M80"/>
      <c r="N80"/>
      <c r="O80"/>
      <c r="P80"/>
      <c r="Q80"/>
      <c r="R80"/>
      <c r="S80"/>
      <c r="T80"/>
      <c r="U80"/>
      <c r="V80"/>
      <c r="W80"/>
      <c r="X80"/>
      <c r="Y80"/>
      <c r="Z80"/>
      <c r="AA80"/>
      <c r="AB80"/>
    </row>
    <row r="81" spans="1:28" s="813" customFormat="1" ht="24.95" customHeight="1" x14ac:dyDescent="0.35">
      <c r="A81" s="968">
        <v>45854</v>
      </c>
      <c r="B81" s="983" t="s">
        <v>560</v>
      </c>
      <c r="C81" s="925"/>
      <c r="D81" s="964" t="s">
        <v>90</v>
      </c>
      <c r="E81" s="964"/>
      <c r="F81" s="964"/>
      <c r="G81" s="964"/>
      <c r="H81" s="964" t="s">
        <v>562</v>
      </c>
      <c r="I81" s="965" t="s">
        <v>419</v>
      </c>
      <c r="J81"/>
      <c r="K81"/>
      <c r="L81"/>
      <c r="M81"/>
      <c r="N81"/>
      <c r="O81"/>
      <c r="P81"/>
      <c r="Q81"/>
      <c r="R81"/>
      <c r="S81"/>
      <c r="T81"/>
      <c r="U81"/>
      <c r="V81"/>
      <c r="W81"/>
      <c r="X81"/>
      <c r="Y81"/>
      <c r="Z81"/>
      <c r="AA81"/>
      <c r="AB81"/>
    </row>
    <row r="82" spans="1:28" s="813" customFormat="1" ht="24.95" customHeight="1" x14ac:dyDescent="0.35">
      <c r="A82" s="968">
        <v>45973</v>
      </c>
      <c r="B82" s="983" t="s">
        <v>560</v>
      </c>
      <c r="C82" s="925"/>
      <c r="D82" s="964" t="s">
        <v>90</v>
      </c>
      <c r="E82" s="964"/>
      <c r="F82" s="964"/>
      <c r="G82" s="964"/>
      <c r="H82" s="964" t="s">
        <v>801</v>
      </c>
      <c r="I82" s="965" t="s">
        <v>419</v>
      </c>
      <c r="J82"/>
      <c r="K82"/>
      <c r="L82"/>
      <c r="M82"/>
      <c r="N82"/>
      <c r="O82"/>
      <c r="P82"/>
      <c r="Q82"/>
      <c r="R82"/>
      <c r="S82"/>
      <c r="T82"/>
      <c r="U82"/>
      <c r="V82"/>
      <c r="W82"/>
      <c r="X82"/>
      <c r="Y82"/>
      <c r="Z82"/>
      <c r="AA82"/>
      <c r="AB82"/>
    </row>
    <row r="83" spans="1:28" s="813" customFormat="1" ht="24.95" customHeight="1" x14ac:dyDescent="0.35">
      <c r="A83" s="968">
        <v>45993</v>
      </c>
      <c r="B83" s="983" t="s">
        <v>432</v>
      </c>
      <c r="C83" s="925"/>
      <c r="D83" s="964" t="s">
        <v>90</v>
      </c>
      <c r="E83" s="964"/>
      <c r="F83" s="964"/>
      <c r="G83" s="964"/>
      <c r="H83" s="964" t="s">
        <v>692</v>
      </c>
      <c r="I83" s="965" t="s">
        <v>419</v>
      </c>
      <c r="J83"/>
      <c r="K83"/>
      <c r="L83"/>
      <c r="M83"/>
      <c r="N83"/>
      <c r="O83"/>
      <c r="P83"/>
      <c r="Q83"/>
      <c r="R83"/>
      <c r="S83"/>
      <c r="T83"/>
      <c r="U83"/>
      <c r="V83"/>
      <c r="W83"/>
      <c r="X83"/>
      <c r="Y83"/>
      <c r="Z83"/>
      <c r="AA83"/>
      <c r="AB83"/>
    </row>
    <row r="84" spans="1:28" s="813" customFormat="1" ht="24.95" customHeight="1" x14ac:dyDescent="0.35">
      <c r="A84" s="968">
        <v>46000</v>
      </c>
      <c r="B84" s="983" t="s">
        <v>432</v>
      </c>
      <c r="C84" s="925"/>
      <c r="D84" s="964" t="s">
        <v>90</v>
      </c>
      <c r="E84" s="964"/>
      <c r="F84" s="964"/>
      <c r="G84" s="964"/>
      <c r="H84" s="964" t="s">
        <v>702</v>
      </c>
      <c r="I84" s="965">
        <v>254250</v>
      </c>
      <c r="J84" t="s">
        <v>478</v>
      </c>
      <c r="K84"/>
      <c r="L84"/>
      <c r="M84"/>
      <c r="N84"/>
      <c r="O84"/>
      <c r="P84"/>
      <c r="Q84"/>
      <c r="R84"/>
      <c r="S84"/>
      <c r="T84"/>
      <c r="U84"/>
      <c r="V84"/>
      <c r="W84"/>
      <c r="X84"/>
      <c r="Y84"/>
      <c r="Z84"/>
      <c r="AA84"/>
      <c r="AB84"/>
    </row>
    <row r="85" spans="1:28" s="813" customFormat="1" ht="24.95" customHeight="1" x14ac:dyDescent="0.35">
      <c r="A85" s="968">
        <v>46032</v>
      </c>
      <c r="B85" s="983" t="s">
        <v>432</v>
      </c>
      <c r="C85" s="925"/>
      <c r="D85" s="964" t="s">
        <v>90</v>
      </c>
      <c r="E85" s="964"/>
      <c r="F85" s="964"/>
      <c r="G85" s="964"/>
      <c r="H85" s="964" t="s">
        <v>803</v>
      </c>
      <c r="I85" s="965">
        <v>415000</v>
      </c>
      <c r="J85"/>
      <c r="K85"/>
      <c r="L85"/>
      <c r="M85"/>
      <c r="N85"/>
      <c r="O85"/>
      <c r="P85"/>
      <c r="Q85"/>
      <c r="R85"/>
      <c r="S85"/>
      <c r="T85"/>
      <c r="U85"/>
      <c r="V85"/>
      <c r="W85"/>
      <c r="X85"/>
      <c r="Y85"/>
      <c r="Z85"/>
      <c r="AA85"/>
      <c r="AB85"/>
    </row>
    <row r="86" spans="1:28" s="813" customFormat="1" ht="24.95" customHeight="1" x14ac:dyDescent="0.35">
      <c r="A86" s="968">
        <v>46083</v>
      </c>
      <c r="B86" s="983" t="s">
        <v>560</v>
      </c>
      <c r="C86" s="925"/>
      <c r="D86" s="964" t="s">
        <v>90</v>
      </c>
      <c r="E86" s="964"/>
      <c r="F86" s="964"/>
      <c r="G86" s="964"/>
      <c r="H86" s="964" t="s">
        <v>802</v>
      </c>
      <c r="I86" s="965">
        <v>7500</v>
      </c>
      <c r="J86"/>
      <c r="K86"/>
      <c r="L86"/>
      <c r="M86"/>
      <c r="N86"/>
      <c r="O86"/>
      <c r="P86"/>
      <c r="Q86"/>
      <c r="R86"/>
      <c r="S86"/>
      <c r="T86"/>
      <c r="U86"/>
      <c r="V86"/>
      <c r="W86"/>
      <c r="X86"/>
      <c r="Y86"/>
      <c r="Z86"/>
      <c r="AA86"/>
      <c r="AB86"/>
    </row>
    <row r="87" spans="1:28" s="813" customFormat="1" ht="24.95" customHeight="1" x14ac:dyDescent="0.35">
      <c r="A87" s="968" t="s">
        <v>421</v>
      </c>
      <c r="B87" s="983" t="s">
        <v>432</v>
      </c>
      <c r="C87" s="925"/>
      <c r="D87" s="964" t="s">
        <v>90</v>
      </c>
      <c r="E87" s="964"/>
      <c r="F87" s="964"/>
      <c r="G87" s="964"/>
      <c r="H87" s="964" t="s">
        <v>835</v>
      </c>
      <c r="I87" s="965" t="s">
        <v>419</v>
      </c>
      <c r="J87"/>
      <c r="K87"/>
      <c r="L87"/>
      <c r="M87"/>
      <c r="N87"/>
      <c r="O87"/>
      <c r="P87"/>
      <c r="Q87"/>
      <c r="R87"/>
      <c r="S87"/>
      <c r="T87"/>
      <c r="U87"/>
      <c r="V87"/>
      <c r="W87"/>
      <c r="X87"/>
      <c r="Y87"/>
      <c r="Z87"/>
      <c r="AA87"/>
      <c r="AB87"/>
    </row>
    <row r="88" spans="1:28" s="813" customFormat="1" ht="24.95" customHeight="1" x14ac:dyDescent="0.35">
      <c r="A88" s="968">
        <v>46118</v>
      </c>
      <c r="B88" s="983" t="s">
        <v>432</v>
      </c>
      <c r="C88" s="925"/>
      <c r="D88" s="964" t="s">
        <v>90</v>
      </c>
      <c r="E88" s="964"/>
      <c r="F88" s="964"/>
      <c r="G88" s="964"/>
      <c r="H88" s="964" t="s">
        <v>851</v>
      </c>
      <c r="I88" s="965">
        <v>105000</v>
      </c>
      <c r="J88"/>
      <c r="K88"/>
      <c r="L88"/>
      <c r="M88"/>
      <c r="N88"/>
      <c r="O88"/>
      <c r="P88"/>
      <c r="Q88"/>
      <c r="R88"/>
      <c r="S88"/>
      <c r="T88"/>
      <c r="U88"/>
      <c r="V88"/>
      <c r="W88"/>
      <c r="X88"/>
      <c r="Y88"/>
      <c r="Z88"/>
      <c r="AA88"/>
      <c r="AB88"/>
    </row>
    <row r="89" spans="1:28" s="813" customFormat="1" ht="24.95" customHeight="1" x14ac:dyDescent="0.35">
      <c r="A89" s="968">
        <v>45708</v>
      </c>
      <c r="B89" s="930" t="s">
        <v>436</v>
      </c>
      <c r="C89" s="925"/>
      <c r="D89" s="964" t="s">
        <v>92</v>
      </c>
      <c r="E89" s="964"/>
      <c r="F89" s="964"/>
      <c r="G89" s="964"/>
      <c r="H89" s="964" t="s">
        <v>443</v>
      </c>
      <c r="I89" s="965"/>
      <c r="J89"/>
      <c r="K89"/>
      <c r="L89"/>
      <c r="M89"/>
      <c r="N89"/>
      <c r="O89"/>
      <c r="P89"/>
      <c r="Q89"/>
      <c r="R89"/>
      <c r="S89"/>
      <c r="T89"/>
      <c r="U89"/>
      <c r="V89"/>
      <c r="W89"/>
      <c r="X89"/>
      <c r="Y89"/>
      <c r="Z89"/>
      <c r="AA89"/>
      <c r="AB89"/>
    </row>
    <row r="90" spans="1:28" s="813" customFormat="1" ht="24.95" customHeight="1" x14ac:dyDescent="0.35">
      <c r="A90" s="968" t="s">
        <v>421</v>
      </c>
      <c r="B90" s="930" t="s">
        <v>434</v>
      </c>
      <c r="C90" s="925"/>
      <c r="D90" s="964" t="s">
        <v>90</v>
      </c>
      <c r="E90" s="964"/>
      <c r="F90" s="964"/>
      <c r="G90" s="964"/>
      <c r="H90" s="964" t="s">
        <v>665</v>
      </c>
      <c r="I90" s="965">
        <v>2084250</v>
      </c>
      <c r="J90"/>
      <c r="K90"/>
      <c r="L90"/>
      <c r="M90"/>
      <c r="N90"/>
      <c r="O90"/>
      <c r="P90"/>
      <c r="Q90"/>
      <c r="R90"/>
      <c r="S90"/>
      <c r="T90"/>
      <c r="U90"/>
      <c r="V90"/>
      <c r="W90"/>
      <c r="X90"/>
      <c r="Y90"/>
      <c r="Z90"/>
      <c r="AA90"/>
      <c r="AB90"/>
    </row>
    <row r="91" spans="1:28" s="813" customFormat="1" ht="24.95" customHeight="1" x14ac:dyDescent="0.35">
      <c r="A91" s="968">
        <v>45723</v>
      </c>
      <c r="B91" s="930" t="s">
        <v>428</v>
      </c>
      <c r="C91" s="925"/>
      <c r="D91" s="964" t="s">
        <v>92</v>
      </c>
      <c r="E91" s="964"/>
      <c r="F91" s="964"/>
      <c r="G91" s="964"/>
      <c r="H91" s="964" t="s">
        <v>501</v>
      </c>
      <c r="I91" s="965">
        <v>8000</v>
      </c>
      <c r="J91"/>
      <c r="K91"/>
      <c r="L91"/>
      <c r="M91"/>
      <c r="N91"/>
      <c r="O91"/>
      <c r="P91"/>
      <c r="Q91"/>
      <c r="R91"/>
      <c r="S91"/>
      <c r="T91"/>
      <c r="U91"/>
      <c r="V91"/>
      <c r="W91"/>
      <c r="X91"/>
      <c r="Y91"/>
      <c r="Z91"/>
      <c r="AA91"/>
      <c r="AB91"/>
    </row>
    <row r="92" spans="1:28" s="813" customFormat="1" ht="24.95" customHeight="1" x14ac:dyDescent="0.35">
      <c r="A92" s="968">
        <v>46053</v>
      </c>
      <c r="B92" s="930" t="s">
        <v>428</v>
      </c>
      <c r="C92" s="925"/>
      <c r="D92" s="964" t="s">
        <v>92</v>
      </c>
      <c r="E92" s="964"/>
      <c r="F92" s="964"/>
      <c r="G92" s="964"/>
      <c r="H92" s="964" t="s">
        <v>746</v>
      </c>
      <c r="I92" s="965">
        <v>115000</v>
      </c>
      <c r="J92"/>
      <c r="K92"/>
      <c r="L92"/>
      <c r="M92"/>
      <c r="N92"/>
      <c r="O92"/>
      <c r="P92"/>
      <c r="Q92"/>
      <c r="R92"/>
      <c r="S92"/>
      <c r="T92"/>
      <c r="U92"/>
      <c r="V92"/>
      <c r="W92"/>
      <c r="X92"/>
      <c r="Y92"/>
      <c r="Z92"/>
      <c r="AA92"/>
      <c r="AB92"/>
    </row>
    <row r="93" spans="1:28" s="813" customFormat="1" ht="24.95" customHeight="1" x14ac:dyDescent="0.35">
      <c r="A93" s="968">
        <v>46087</v>
      </c>
      <c r="B93" s="930" t="s">
        <v>428</v>
      </c>
      <c r="C93" s="925"/>
      <c r="D93" s="964" t="s">
        <v>92</v>
      </c>
      <c r="E93" s="964"/>
      <c r="F93" s="964"/>
      <c r="G93" s="964"/>
      <c r="H93" s="964" t="s">
        <v>813</v>
      </c>
      <c r="I93" s="965">
        <v>57000</v>
      </c>
      <c r="J93"/>
      <c r="K93"/>
      <c r="L93"/>
      <c r="M93"/>
      <c r="N93"/>
      <c r="O93"/>
      <c r="P93"/>
      <c r="Q93"/>
      <c r="R93"/>
      <c r="S93"/>
      <c r="T93"/>
      <c r="U93"/>
      <c r="V93"/>
      <c r="W93"/>
      <c r="X93"/>
      <c r="Y93"/>
      <c r="Z93"/>
      <c r="AA93"/>
      <c r="AB93"/>
    </row>
    <row r="94" spans="1:28" s="813" customFormat="1" ht="24.95" customHeight="1" x14ac:dyDescent="0.35">
      <c r="A94" s="968">
        <v>46107</v>
      </c>
      <c r="B94" s="930" t="s">
        <v>428</v>
      </c>
      <c r="C94" s="925"/>
      <c r="D94" s="964" t="s">
        <v>92</v>
      </c>
      <c r="E94" s="964"/>
      <c r="F94" s="964"/>
      <c r="G94" s="964"/>
      <c r="H94" s="964" t="s">
        <v>846</v>
      </c>
      <c r="I94" s="965" t="s">
        <v>419</v>
      </c>
      <c r="J94"/>
      <c r="K94"/>
      <c r="L94"/>
      <c r="M94"/>
      <c r="N94"/>
      <c r="O94"/>
      <c r="P94"/>
      <c r="Q94"/>
      <c r="R94"/>
      <c r="S94"/>
      <c r="T94"/>
      <c r="U94"/>
      <c r="V94"/>
      <c r="W94"/>
      <c r="X94"/>
      <c r="Y94"/>
      <c r="Z94"/>
      <c r="AA94"/>
      <c r="AB94"/>
    </row>
    <row r="95" spans="1:28" s="813" customFormat="1" ht="24.95" customHeight="1" x14ac:dyDescent="0.35">
      <c r="A95" s="968">
        <v>46156</v>
      </c>
      <c r="B95" s="930" t="s">
        <v>428</v>
      </c>
      <c r="C95" s="925"/>
      <c r="D95" s="964" t="s">
        <v>92</v>
      </c>
      <c r="E95" s="964"/>
      <c r="F95" s="964"/>
      <c r="G95" s="964"/>
      <c r="H95" s="964" t="s">
        <v>868</v>
      </c>
      <c r="I95" s="965" t="s">
        <v>419</v>
      </c>
      <c r="J95"/>
      <c r="K95"/>
      <c r="L95"/>
      <c r="M95"/>
      <c r="N95"/>
      <c r="O95"/>
      <c r="P95"/>
      <c r="Q95"/>
      <c r="R95"/>
      <c r="S95"/>
      <c r="T95"/>
      <c r="U95"/>
      <c r="V95"/>
      <c r="W95"/>
      <c r="X95"/>
      <c r="Y95"/>
      <c r="Z95"/>
      <c r="AA95"/>
      <c r="AB95"/>
    </row>
    <row r="96" spans="1:28" s="782" customFormat="1" ht="24.95" customHeight="1" x14ac:dyDescent="0.35">
      <c r="A96" s="968">
        <v>45750</v>
      </c>
      <c r="B96" s="930" t="s">
        <v>438</v>
      </c>
      <c r="C96" s="925"/>
      <c r="D96" s="964" t="s">
        <v>90</v>
      </c>
      <c r="E96" s="964"/>
      <c r="F96" s="964"/>
      <c r="G96" s="964"/>
      <c r="H96" s="964" t="s">
        <v>496</v>
      </c>
      <c r="I96" s="965" t="s">
        <v>64</v>
      </c>
      <c r="J96"/>
      <c r="K96"/>
      <c r="L96"/>
      <c r="M96"/>
      <c r="N96"/>
      <c r="O96"/>
      <c r="P96"/>
      <c r="Q96"/>
      <c r="R96"/>
      <c r="S96"/>
      <c r="T96"/>
      <c r="U96"/>
      <c r="V96"/>
      <c r="W96"/>
      <c r="X96"/>
      <c r="Y96"/>
      <c r="Z96"/>
      <c r="AA96"/>
      <c r="AB96"/>
    </row>
    <row r="97" spans="1:28" s="749" customFormat="1" ht="24.95" customHeight="1" x14ac:dyDescent="0.35">
      <c r="A97" s="968"/>
      <c r="B97" s="930" t="s">
        <v>446</v>
      </c>
      <c r="C97" s="925" t="s">
        <v>740</v>
      </c>
      <c r="D97" s="964" t="s">
        <v>90</v>
      </c>
      <c r="E97" s="964"/>
      <c r="F97" s="964"/>
      <c r="G97" s="964"/>
      <c r="H97" s="964" t="s">
        <v>882</v>
      </c>
      <c r="I97" s="965">
        <v>1090000</v>
      </c>
      <c r="J97"/>
      <c r="K97"/>
      <c r="L97"/>
      <c r="M97"/>
      <c r="N97"/>
      <c r="O97"/>
      <c r="P97"/>
      <c r="Q97"/>
      <c r="R97"/>
      <c r="S97"/>
      <c r="T97"/>
      <c r="U97"/>
      <c r="V97"/>
      <c r="W97"/>
      <c r="X97"/>
      <c r="Y97"/>
      <c r="Z97"/>
      <c r="AA97"/>
      <c r="AB97"/>
    </row>
    <row r="98" spans="1:28" s="749" customFormat="1" ht="24.95" customHeight="1" x14ac:dyDescent="0.35">
      <c r="A98" s="968" t="s">
        <v>421</v>
      </c>
      <c r="B98" s="930" t="s">
        <v>299</v>
      </c>
      <c r="C98" s="925"/>
      <c r="D98" s="925" t="s">
        <v>92</v>
      </c>
      <c r="E98" s="925"/>
      <c r="F98" s="964"/>
      <c r="G98" s="964"/>
      <c r="H98" s="964" t="s">
        <v>506</v>
      </c>
      <c r="I98" s="965">
        <v>77261.850000000006</v>
      </c>
      <c r="J98"/>
      <c r="K98"/>
      <c r="L98"/>
      <c r="M98"/>
      <c r="N98"/>
      <c r="O98"/>
      <c r="P98"/>
      <c r="Q98"/>
      <c r="R98"/>
      <c r="S98"/>
      <c r="T98"/>
      <c r="U98"/>
      <c r="V98"/>
      <c r="W98"/>
      <c r="X98"/>
      <c r="Y98"/>
      <c r="Z98"/>
      <c r="AA98"/>
      <c r="AB98"/>
    </row>
    <row r="99" spans="1:28" s="749" customFormat="1" ht="24.95" customHeight="1" x14ac:dyDescent="0.35">
      <c r="A99" s="968" t="s">
        <v>421</v>
      </c>
      <c r="B99" s="930" t="s">
        <v>299</v>
      </c>
      <c r="C99" s="925"/>
      <c r="D99" s="925" t="s">
        <v>92</v>
      </c>
      <c r="E99" s="925"/>
      <c r="F99" s="964"/>
      <c r="G99" s="964"/>
      <c r="H99" s="964" t="s">
        <v>525</v>
      </c>
      <c r="I99" s="965">
        <v>86950</v>
      </c>
      <c r="J99"/>
      <c r="K99"/>
      <c r="L99"/>
      <c r="M99"/>
      <c r="N99"/>
      <c r="O99"/>
      <c r="P99"/>
      <c r="Q99"/>
      <c r="R99"/>
      <c r="S99"/>
      <c r="T99"/>
      <c r="U99"/>
      <c r="V99"/>
      <c r="W99"/>
      <c r="X99"/>
      <c r="Y99"/>
      <c r="Z99"/>
      <c r="AA99"/>
      <c r="AB99"/>
    </row>
    <row r="100" spans="1:28" s="782" customFormat="1" ht="24.95" customHeight="1" x14ac:dyDescent="0.35">
      <c r="A100" s="968">
        <v>45790</v>
      </c>
      <c r="B100" s="930" t="s">
        <v>660</v>
      </c>
      <c r="C100" s="925"/>
      <c r="D100" s="925" t="s">
        <v>90</v>
      </c>
      <c r="E100" s="925"/>
      <c r="F100" s="964"/>
      <c r="G100" s="964"/>
      <c r="H100" s="964" t="s">
        <v>520</v>
      </c>
      <c r="I100" s="965">
        <v>487467.5</v>
      </c>
      <c r="J100"/>
      <c r="K100"/>
      <c r="L100"/>
      <c r="M100"/>
      <c r="N100"/>
      <c r="O100"/>
      <c r="P100"/>
      <c r="Q100"/>
      <c r="R100"/>
      <c r="S100"/>
      <c r="T100"/>
      <c r="U100"/>
      <c r="V100"/>
      <c r="W100"/>
      <c r="X100"/>
      <c r="Y100"/>
      <c r="Z100"/>
      <c r="AA100"/>
      <c r="AB100"/>
    </row>
    <row r="101" spans="1:28" s="782" customFormat="1" ht="24.95" customHeight="1" x14ac:dyDescent="0.35">
      <c r="A101" s="968">
        <v>45897</v>
      </c>
      <c r="B101" s="930" t="s">
        <v>660</v>
      </c>
      <c r="C101" s="925"/>
      <c r="D101" s="925" t="s">
        <v>90</v>
      </c>
      <c r="E101" s="925"/>
      <c r="F101" s="964"/>
      <c r="G101" s="964"/>
      <c r="H101" s="964" t="s">
        <v>606</v>
      </c>
      <c r="I101" s="965">
        <v>476000</v>
      </c>
      <c r="J101"/>
      <c r="K101"/>
      <c r="L101"/>
      <c r="M101"/>
      <c r="N101"/>
      <c r="O101"/>
      <c r="P101"/>
      <c r="Q101"/>
      <c r="R101"/>
      <c r="S101"/>
      <c r="T101"/>
      <c r="U101"/>
      <c r="V101"/>
      <c r="W101"/>
      <c r="X101"/>
      <c r="Y101"/>
      <c r="Z101"/>
      <c r="AA101"/>
      <c r="AB101"/>
    </row>
    <row r="102" spans="1:28" s="782" customFormat="1" ht="24.95" customHeight="1" x14ac:dyDescent="0.35">
      <c r="A102" s="968">
        <v>45973</v>
      </c>
      <c r="B102" s="930" t="s">
        <v>660</v>
      </c>
      <c r="C102" s="925"/>
      <c r="D102" s="925" t="s">
        <v>90</v>
      </c>
      <c r="E102" s="925"/>
      <c r="F102" s="964"/>
      <c r="G102" s="964"/>
      <c r="H102" s="964" t="s">
        <v>677</v>
      </c>
      <c r="I102" s="965">
        <v>39180</v>
      </c>
      <c r="J102"/>
      <c r="K102"/>
      <c r="L102"/>
      <c r="M102"/>
      <c r="N102"/>
      <c r="O102"/>
      <c r="P102"/>
      <c r="Q102"/>
      <c r="R102"/>
      <c r="S102"/>
      <c r="T102"/>
      <c r="U102"/>
      <c r="V102"/>
      <c r="W102"/>
      <c r="X102"/>
      <c r="Y102"/>
      <c r="Z102"/>
      <c r="AA102"/>
      <c r="AB102"/>
    </row>
    <row r="103" spans="1:28" s="782" customFormat="1" ht="24.95" customHeight="1" x14ac:dyDescent="0.35">
      <c r="A103" s="968">
        <v>45804</v>
      </c>
      <c r="B103" s="930" t="s">
        <v>533</v>
      </c>
      <c r="C103" s="925"/>
      <c r="D103" s="925" t="s">
        <v>92</v>
      </c>
      <c r="E103" s="925"/>
      <c r="F103" s="964"/>
      <c r="G103" s="964"/>
      <c r="H103" s="964" t="s">
        <v>534</v>
      </c>
      <c r="I103" s="965" t="s">
        <v>419</v>
      </c>
      <c r="J103"/>
      <c r="K103"/>
      <c r="L103"/>
      <c r="M103"/>
      <c r="N103"/>
      <c r="O103"/>
      <c r="P103"/>
      <c r="Q103"/>
      <c r="R103"/>
      <c r="S103"/>
      <c r="T103"/>
      <c r="U103"/>
      <c r="V103"/>
      <c r="W103"/>
      <c r="X103"/>
      <c r="Y103"/>
      <c r="Z103"/>
      <c r="AA103"/>
      <c r="AB103"/>
    </row>
    <row r="104" spans="1:28" s="782" customFormat="1" ht="24.95" customHeight="1" x14ac:dyDescent="0.35">
      <c r="A104" s="968" t="s">
        <v>557</v>
      </c>
      <c r="B104" s="930" t="s">
        <v>662</v>
      </c>
      <c r="C104" s="925"/>
      <c r="D104" s="964" t="s">
        <v>92</v>
      </c>
      <c r="E104" s="964"/>
      <c r="F104" s="964"/>
      <c r="G104" s="964"/>
      <c r="H104" s="964" t="s">
        <v>564</v>
      </c>
      <c r="I104" s="965">
        <v>115000</v>
      </c>
      <c r="J104"/>
      <c r="K104"/>
      <c r="L104"/>
      <c r="M104"/>
      <c r="N104"/>
      <c r="O104"/>
      <c r="P104"/>
      <c r="Q104"/>
      <c r="R104"/>
      <c r="S104"/>
      <c r="T104"/>
      <c r="U104"/>
      <c r="V104"/>
      <c r="W104"/>
      <c r="X104"/>
      <c r="Y104"/>
      <c r="Z104"/>
      <c r="AA104"/>
      <c r="AB104"/>
    </row>
    <row r="105" spans="1:28" s="782" customFormat="1" ht="24.95" customHeight="1" x14ac:dyDescent="0.35">
      <c r="A105" s="968" t="s">
        <v>421</v>
      </c>
      <c r="B105" s="930" t="s">
        <v>662</v>
      </c>
      <c r="C105" s="925"/>
      <c r="D105" s="964" t="s">
        <v>92</v>
      </c>
      <c r="E105" s="964"/>
      <c r="F105" s="964"/>
      <c r="G105" s="964"/>
      <c r="H105" s="964" t="s">
        <v>565</v>
      </c>
      <c r="I105" s="965">
        <v>25895</v>
      </c>
      <c r="J105"/>
      <c r="K105"/>
      <c r="L105"/>
      <c r="M105"/>
      <c r="N105"/>
      <c r="O105"/>
      <c r="P105"/>
      <c r="Q105"/>
      <c r="R105"/>
      <c r="S105"/>
      <c r="T105"/>
      <c r="U105"/>
      <c r="V105"/>
      <c r="W105"/>
      <c r="X105"/>
      <c r="Y105"/>
      <c r="Z105"/>
      <c r="AA105"/>
      <c r="AB105"/>
    </row>
    <row r="106" spans="1:28" s="782" customFormat="1" ht="24.95" customHeight="1" x14ac:dyDescent="0.35">
      <c r="A106" s="968" t="s">
        <v>421</v>
      </c>
      <c r="B106" s="930" t="s">
        <v>663</v>
      </c>
      <c r="C106" s="925"/>
      <c r="D106" s="964" t="s">
        <v>90</v>
      </c>
      <c r="E106" s="964"/>
      <c r="F106" s="964"/>
      <c r="G106" s="964"/>
      <c r="H106" s="964" t="s">
        <v>571</v>
      </c>
      <c r="I106" s="965">
        <v>45000</v>
      </c>
      <c r="J106"/>
      <c r="K106"/>
      <c r="L106"/>
      <c r="M106"/>
      <c r="N106"/>
      <c r="O106"/>
      <c r="P106"/>
      <c r="Q106"/>
      <c r="R106"/>
      <c r="S106"/>
      <c r="T106"/>
      <c r="U106"/>
      <c r="V106"/>
      <c r="W106"/>
      <c r="X106"/>
      <c r="Y106"/>
      <c r="Z106"/>
      <c r="AA106"/>
      <c r="AB106"/>
    </row>
    <row r="107" spans="1:28" s="782" customFormat="1" ht="24.95" customHeight="1" x14ac:dyDescent="0.35">
      <c r="A107" s="968">
        <v>46169</v>
      </c>
      <c r="B107" s="930" t="s">
        <v>663</v>
      </c>
      <c r="C107" s="925"/>
      <c r="D107" s="964" t="s">
        <v>90</v>
      </c>
      <c r="E107" s="964"/>
      <c r="F107" s="964"/>
      <c r="G107" s="964"/>
      <c r="H107" s="964" t="s">
        <v>881</v>
      </c>
      <c r="I107" s="965">
        <v>152800</v>
      </c>
      <c r="J107"/>
      <c r="K107"/>
      <c r="L107"/>
      <c r="M107"/>
      <c r="N107"/>
      <c r="O107"/>
      <c r="P107"/>
      <c r="Q107"/>
      <c r="R107"/>
      <c r="S107"/>
      <c r="T107"/>
      <c r="U107"/>
      <c r="V107"/>
      <c r="W107"/>
      <c r="X107"/>
      <c r="Y107"/>
      <c r="Z107"/>
      <c r="AA107"/>
      <c r="AB107"/>
    </row>
    <row r="108" spans="1:28" s="941" customFormat="1" ht="24.95" customHeight="1" x14ac:dyDescent="0.35">
      <c r="A108" s="968">
        <v>45874</v>
      </c>
      <c r="B108" s="930" t="s">
        <v>664</v>
      </c>
      <c r="C108" s="925"/>
      <c r="D108" s="964" t="s">
        <v>92</v>
      </c>
      <c r="E108" s="964"/>
      <c r="F108" s="964"/>
      <c r="G108" s="964"/>
      <c r="H108" s="964" t="s">
        <v>585</v>
      </c>
      <c r="I108" s="965">
        <v>105000</v>
      </c>
      <c r="J108"/>
      <c r="K108"/>
      <c r="L108"/>
      <c r="M108"/>
      <c r="N108"/>
      <c r="O108"/>
      <c r="P108"/>
      <c r="Q108"/>
      <c r="R108"/>
      <c r="S108"/>
      <c r="T108"/>
      <c r="U108"/>
      <c r="V108"/>
      <c r="W108"/>
      <c r="X108"/>
      <c r="Y108"/>
      <c r="Z108"/>
      <c r="AA108"/>
      <c r="AB108"/>
    </row>
    <row r="109" spans="1:28" s="749" customFormat="1" ht="24.95" customHeight="1" x14ac:dyDescent="0.35">
      <c r="A109" s="968">
        <v>46000</v>
      </c>
      <c r="B109" s="930" t="s">
        <v>281</v>
      </c>
      <c r="C109" s="925"/>
      <c r="D109" s="964" t="s">
        <v>282</v>
      </c>
      <c r="E109" s="964"/>
      <c r="F109" s="964"/>
      <c r="G109" s="964"/>
      <c r="H109" s="964" t="s">
        <v>701</v>
      </c>
      <c r="I109" s="965">
        <v>306438.21999999997</v>
      </c>
      <c r="J109"/>
      <c r="K109"/>
      <c r="L109"/>
      <c r="M109"/>
      <c r="N109"/>
      <c r="O109"/>
      <c r="P109"/>
      <c r="Q109"/>
      <c r="R109"/>
      <c r="S109"/>
      <c r="T109"/>
      <c r="U109"/>
      <c r="V109"/>
      <c r="W109"/>
      <c r="X109"/>
      <c r="Y109"/>
      <c r="Z109"/>
      <c r="AA109"/>
      <c r="AB109"/>
    </row>
    <row r="110" spans="1:28" s="749" customFormat="1" ht="24.95" customHeight="1" x14ac:dyDescent="0.35">
      <c r="A110" s="968">
        <v>46008</v>
      </c>
      <c r="B110" s="930" t="s">
        <v>281</v>
      </c>
      <c r="C110" s="925"/>
      <c r="D110" s="964" t="s">
        <v>282</v>
      </c>
      <c r="E110" s="964"/>
      <c r="F110" s="964"/>
      <c r="G110" s="964"/>
      <c r="H110" s="964" t="s">
        <v>707</v>
      </c>
      <c r="I110" s="965" t="s">
        <v>419</v>
      </c>
      <c r="J110"/>
      <c r="K110"/>
      <c r="L110"/>
      <c r="M110"/>
      <c r="N110"/>
      <c r="O110"/>
      <c r="P110"/>
      <c r="Q110"/>
      <c r="R110"/>
      <c r="S110"/>
      <c r="T110"/>
      <c r="U110"/>
      <c r="V110"/>
      <c r="W110"/>
      <c r="X110"/>
      <c r="Y110"/>
      <c r="Z110"/>
      <c r="AA110"/>
      <c r="AB110"/>
    </row>
    <row r="111" spans="1:28" s="749" customFormat="1" ht="24.95" customHeight="1" x14ac:dyDescent="0.35">
      <c r="A111" s="968">
        <v>45772</v>
      </c>
      <c r="B111" s="930" t="s">
        <v>596</v>
      </c>
      <c r="C111" s="925"/>
      <c r="D111" s="964" t="s">
        <v>92</v>
      </c>
      <c r="E111" s="964"/>
      <c r="F111" s="964"/>
      <c r="G111" s="964"/>
      <c r="H111" s="964" t="s">
        <v>597</v>
      </c>
      <c r="I111" s="965">
        <v>142240</v>
      </c>
      <c r="J111"/>
      <c r="K111"/>
      <c r="L111"/>
      <c r="M111"/>
      <c r="N111"/>
      <c r="O111"/>
      <c r="P111"/>
      <c r="Q111"/>
      <c r="R111"/>
      <c r="S111"/>
      <c r="T111"/>
      <c r="U111"/>
      <c r="V111"/>
      <c r="W111"/>
      <c r="X111"/>
      <c r="Y111"/>
      <c r="Z111"/>
      <c r="AA111"/>
      <c r="AB111"/>
    </row>
    <row r="112" spans="1:28" s="782" customFormat="1" ht="24.95" customHeight="1" x14ac:dyDescent="0.35">
      <c r="A112" s="968">
        <v>45897</v>
      </c>
      <c r="B112" s="930" t="s">
        <v>666</v>
      </c>
      <c r="C112" s="925"/>
      <c r="D112" s="964" t="s">
        <v>92</v>
      </c>
      <c r="E112" s="964"/>
      <c r="F112" s="964"/>
      <c r="G112" s="964"/>
      <c r="H112" s="964" t="s">
        <v>602</v>
      </c>
      <c r="I112" s="965">
        <v>3500</v>
      </c>
      <c r="J112"/>
      <c r="K112"/>
      <c r="L112"/>
      <c r="M112"/>
      <c r="N112"/>
      <c r="O112"/>
      <c r="P112"/>
      <c r="Q112"/>
      <c r="R112"/>
      <c r="S112"/>
      <c r="T112"/>
      <c r="U112"/>
      <c r="V112"/>
      <c r="W112"/>
      <c r="X112"/>
      <c r="Y112"/>
      <c r="Z112"/>
      <c r="AA112"/>
      <c r="AB112"/>
    </row>
    <row r="113" spans="1:28" s="782" customFormat="1" ht="24.95" customHeight="1" x14ac:dyDescent="0.35">
      <c r="A113" s="968">
        <v>45908</v>
      </c>
      <c r="B113" s="930" t="s">
        <v>614</v>
      </c>
      <c r="C113" s="925"/>
      <c r="D113" s="964" t="s">
        <v>92</v>
      </c>
      <c r="E113" s="964"/>
      <c r="F113" s="964"/>
      <c r="G113" s="964"/>
      <c r="H113" s="964" t="s">
        <v>615</v>
      </c>
      <c r="I113" s="965" t="s">
        <v>419</v>
      </c>
      <c r="J113"/>
      <c r="K113"/>
      <c r="L113"/>
      <c r="M113"/>
      <c r="N113"/>
      <c r="O113"/>
      <c r="P113"/>
      <c r="Q113"/>
      <c r="R113"/>
      <c r="S113"/>
      <c r="T113"/>
      <c r="U113"/>
      <c r="V113"/>
      <c r="W113"/>
      <c r="X113"/>
      <c r="Y113"/>
      <c r="Z113"/>
      <c r="AA113"/>
      <c r="AB113"/>
    </row>
    <row r="114" spans="1:28" s="782" customFormat="1" ht="24.95" customHeight="1" x14ac:dyDescent="0.35">
      <c r="A114" s="968">
        <v>45923</v>
      </c>
      <c r="B114" s="930" t="s">
        <v>614</v>
      </c>
      <c r="C114" s="925"/>
      <c r="D114" s="964" t="s">
        <v>92</v>
      </c>
      <c r="E114" s="964"/>
      <c r="F114" s="964"/>
      <c r="G114" s="964"/>
      <c r="H114" s="964" t="s">
        <v>626</v>
      </c>
      <c r="I114" s="965" t="s">
        <v>419</v>
      </c>
      <c r="J114"/>
      <c r="K114"/>
      <c r="L114"/>
      <c r="M114"/>
      <c r="N114"/>
      <c r="O114"/>
      <c r="P114"/>
      <c r="Q114"/>
      <c r="R114"/>
      <c r="S114"/>
      <c r="T114"/>
      <c r="U114"/>
      <c r="V114"/>
      <c r="W114"/>
      <c r="X114"/>
      <c r="Y114"/>
      <c r="Z114"/>
      <c r="AA114"/>
      <c r="AB114"/>
    </row>
    <row r="115" spans="1:28" s="782" customFormat="1" ht="24.95" customHeight="1" x14ac:dyDescent="0.35">
      <c r="A115" s="968">
        <v>45909</v>
      </c>
      <c r="B115" s="930" t="s">
        <v>617</v>
      </c>
      <c r="C115" s="925"/>
      <c r="D115" s="964" t="s">
        <v>92</v>
      </c>
      <c r="E115" s="964"/>
      <c r="F115" s="964"/>
      <c r="G115" s="964"/>
      <c r="H115" s="964" t="s">
        <v>618</v>
      </c>
      <c r="I115" s="965">
        <v>93995</v>
      </c>
      <c r="J115"/>
      <c r="K115"/>
      <c r="L115"/>
      <c r="M115"/>
      <c r="N115"/>
      <c r="O115"/>
      <c r="P115"/>
      <c r="Q115"/>
      <c r="R115"/>
      <c r="S115"/>
      <c r="T115"/>
      <c r="U115"/>
      <c r="V115"/>
      <c r="W115"/>
      <c r="X115"/>
      <c r="Y115"/>
      <c r="Z115"/>
      <c r="AA115"/>
      <c r="AB115"/>
    </row>
    <row r="116" spans="1:28" s="782" customFormat="1" ht="24.95" customHeight="1" x14ac:dyDescent="0.35">
      <c r="A116" s="968">
        <v>45911</v>
      </c>
      <c r="B116" s="930" t="s">
        <v>617</v>
      </c>
      <c r="C116" s="925"/>
      <c r="D116" s="964" t="s">
        <v>92</v>
      </c>
      <c r="E116" s="964"/>
      <c r="F116" s="964"/>
      <c r="G116" s="964"/>
      <c r="H116" s="964" t="s">
        <v>624</v>
      </c>
      <c r="I116" s="965">
        <v>5400</v>
      </c>
      <c r="J116"/>
      <c r="K116"/>
      <c r="L116"/>
      <c r="M116"/>
      <c r="N116"/>
      <c r="O116"/>
      <c r="P116"/>
      <c r="Q116"/>
      <c r="R116"/>
      <c r="S116"/>
      <c r="T116"/>
      <c r="U116"/>
      <c r="V116"/>
      <c r="W116"/>
      <c r="X116"/>
      <c r="Y116"/>
      <c r="Z116"/>
      <c r="AA116"/>
      <c r="AB116"/>
    </row>
    <row r="117" spans="1:28" s="941" customFormat="1" ht="24.95" customHeight="1" x14ac:dyDescent="0.35">
      <c r="A117" s="968">
        <v>45912</v>
      </c>
      <c r="B117" s="930" t="s">
        <v>617</v>
      </c>
      <c r="C117" s="925"/>
      <c r="D117" s="964" t="s">
        <v>92</v>
      </c>
      <c r="E117" s="964"/>
      <c r="F117" s="964"/>
      <c r="G117" s="964"/>
      <c r="H117" s="964" t="s">
        <v>625</v>
      </c>
      <c r="I117" s="965">
        <v>5400</v>
      </c>
      <c r="J117"/>
      <c r="K117"/>
      <c r="L117"/>
      <c r="M117"/>
      <c r="N117"/>
      <c r="O117"/>
      <c r="P117"/>
      <c r="Q117"/>
      <c r="R117"/>
      <c r="S117"/>
      <c r="T117"/>
      <c r="U117"/>
      <c r="V117"/>
      <c r="W117"/>
      <c r="X117"/>
      <c r="Y117"/>
      <c r="Z117"/>
      <c r="AA117"/>
      <c r="AB117"/>
    </row>
    <row r="118" spans="1:28" s="749" customFormat="1" ht="24.95" customHeight="1" x14ac:dyDescent="0.35">
      <c r="A118" s="968">
        <v>45929</v>
      </c>
      <c r="B118" s="930" t="s">
        <v>617</v>
      </c>
      <c r="C118" s="925"/>
      <c r="D118" s="964" t="s">
        <v>92</v>
      </c>
      <c r="E118" s="964"/>
      <c r="F118" s="964"/>
      <c r="G118" s="964"/>
      <c r="H118" s="964" t="s">
        <v>667</v>
      </c>
      <c r="I118" s="965">
        <v>180000</v>
      </c>
      <c r="J118"/>
      <c r="K118"/>
      <c r="L118"/>
      <c r="M118"/>
      <c r="N118"/>
      <c r="O118"/>
      <c r="P118"/>
      <c r="Q118"/>
      <c r="R118"/>
      <c r="S118"/>
      <c r="T118"/>
      <c r="U118"/>
      <c r="V118"/>
      <c r="W118"/>
      <c r="X118"/>
      <c r="Y118"/>
      <c r="Z118"/>
      <c r="AA118"/>
      <c r="AB118"/>
    </row>
    <row r="119" spans="1:28" s="749" customFormat="1" ht="24.95" customHeight="1" x14ac:dyDescent="0.35">
      <c r="A119" s="968">
        <v>46000</v>
      </c>
      <c r="B119" s="930" t="s">
        <v>617</v>
      </c>
      <c r="C119" s="925"/>
      <c r="D119" s="964" t="s">
        <v>92</v>
      </c>
      <c r="E119" s="964"/>
      <c r="F119" s="964"/>
      <c r="G119" s="964"/>
      <c r="H119" s="964" t="s">
        <v>698</v>
      </c>
      <c r="I119" s="965">
        <v>92000</v>
      </c>
      <c r="J119"/>
      <c r="K119"/>
      <c r="L119"/>
      <c r="M119"/>
      <c r="N119"/>
      <c r="O119"/>
      <c r="P119"/>
      <c r="Q119"/>
      <c r="R119"/>
      <c r="S119"/>
      <c r="T119"/>
      <c r="U119"/>
      <c r="V119"/>
      <c r="W119"/>
      <c r="X119"/>
      <c r="Y119"/>
      <c r="Z119"/>
      <c r="AA119"/>
      <c r="AB119"/>
    </row>
    <row r="120" spans="1:28" s="749" customFormat="1" ht="24.95" customHeight="1" x14ac:dyDescent="0.35">
      <c r="A120" s="968">
        <v>45663</v>
      </c>
      <c r="B120" s="930" t="s">
        <v>717</v>
      </c>
      <c r="C120" s="925"/>
      <c r="D120" s="964" t="s">
        <v>92</v>
      </c>
      <c r="E120" s="964"/>
      <c r="F120" s="964"/>
      <c r="G120" s="964"/>
      <c r="H120" s="964" t="s">
        <v>718</v>
      </c>
      <c r="I120" s="965">
        <v>2885</v>
      </c>
      <c r="J120"/>
      <c r="K120"/>
      <c r="L120"/>
      <c r="M120"/>
      <c r="N120"/>
      <c r="O120"/>
      <c r="P120"/>
      <c r="Q120"/>
      <c r="R120"/>
      <c r="S120"/>
      <c r="T120"/>
      <c r="U120"/>
      <c r="V120"/>
      <c r="W120"/>
      <c r="X120"/>
      <c r="Y120"/>
      <c r="Z120"/>
      <c r="AA120"/>
      <c r="AB120"/>
    </row>
    <row r="121" spans="1:28" s="749" customFormat="1" ht="24.95" customHeight="1" x14ac:dyDescent="0.35">
      <c r="A121" s="968" t="s">
        <v>421</v>
      </c>
      <c r="B121" s="930" t="s">
        <v>617</v>
      </c>
      <c r="C121" s="925"/>
      <c r="D121" s="964" t="s">
        <v>92</v>
      </c>
      <c r="E121" s="964"/>
      <c r="F121" s="964"/>
      <c r="G121" s="964"/>
      <c r="H121" s="964" t="s">
        <v>824</v>
      </c>
      <c r="I121" s="965">
        <v>31540</v>
      </c>
      <c r="J121"/>
      <c r="K121"/>
      <c r="L121"/>
      <c r="M121"/>
      <c r="N121"/>
      <c r="O121"/>
      <c r="P121"/>
      <c r="Q121"/>
      <c r="R121"/>
      <c r="S121"/>
      <c r="T121"/>
      <c r="U121"/>
      <c r="V121"/>
      <c r="W121"/>
      <c r="X121"/>
      <c r="Y121"/>
      <c r="Z121"/>
      <c r="AA121"/>
      <c r="AB121"/>
    </row>
    <row r="122" spans="1:28" s="749" customFormat="1" ht="24.95" customHeight="1" x14ac:dyDescent="0.35">
      <c r="A122" s="968" t="s">
        <v>421</v>
      </c>
      <c r="B122" s="930" t="s">
        <v>617</v>
      </c>
      <c r="C122" s="925"/>
      <c r="D122" s="964" t="s">
        <v>92</v>
      </c>
      <c r="E122" s="964"/>
      <c r="F122" s="964"/>
      <c r="G122" s="964"/>
      <c r="H122" s="964" t="s">
        <v>825</v>
      </c>
      <c r="I122" s="965">
        <v>80900</v>
      </c>
      <c r="J122"/>
      <c r="K122"/>
      <c r="L122"/>
      <c r="M122"/>
      <c r="N122"/>
      <c r="O122"/>
      <c r="P122"/>
      <c r="Q122"/>
      <c r="R122"/>
      <c r="S122"/>
      <c r="T122"/>
      <c r="U122"/>
      <c r="V122"/>
      <c r="W122"/>
      <c r="X122"/>
      <c r="Y122"/>
      <c r="Z122"/>
      <c r="AA122"/>
      <c r="AB122"/>
    </row>
    <row r="123" spans="1:28" s="749" customFormat="1" ht="24.95" customHeight="1" x14ac:dyDescent="0.35">
      <c r="A123" s="968">
        <v>45964</v>
      </c>
      <c r="B123" s="930" t="s">
        <v>669</v>
      </c>
      <c r="C123" s="925"/>
      <c r="D123" s="964" t="s">
        <v>282</v>
      </c>
      <c r="E123" s="964"/>
      <c r="F123" s="964"/>
      <c r="G123" s="964"/>
      <c r="H123" s="964" t="s">
        <v>670</v>
      </c>
      <c r="I123" s="965">
        <v>81575</v>
      </c>
      <c r="J123"/>
      <c r="K123"/>
      <c r="L123"/>
      <c r="M123"/>
      <c r="N123"/>
      <c r="O123"/>
      <c r="P123"/>
      <c r="Q123"/>
      <c r="R123"/>
      <c r="S123"/>
      <c r="T123"/>
      <c r="U123"/>
      <c r="V123"/>
      <c r="W123"/>
      <c r="X123"/>
      <c r="Y123"/>
      <c r="Z123"/>
      <c r="AA123"/>
      <c r="AB123"/>
    </row>
    <row r="124" spans="1:28" s="749" customFormat="1" ht="24.95" customHeight="1" x14ac:dyDescent="0.35">
      <c r="A124" s="968">
        <v>45978</v>
      </c>
      <c r="B124" s="930" t="s">
        <v>669</v>
      </c>
      <c r="C124" s="925"/>
      <c r="D124" s="964" t="s">
        <v>282</v>
      </c>
      <c r="E124" s="964"/>
      <c r="F124" s="964"/>
      <c r="G124" s="964"/>
      <c r="H124" s="964" t="s">
        <v>493</v>
      </c>
      <c r="I124" s="965">
        <v>134000</v>
      </c>
      <c r="J124"/>
      <c r="K124"/>
      <c r="L124"/>
      <c r="M124"/>
      <c r="N124"/>
      <c r="O124"/>
      <c r="P124"/>
      <c r="Q124"/>
      <c r="R124"/>
      <c r="S124"/>
      <c r="T124"/>
      <c r="U124"/>
      <c r="V124"/>
      <c r="W124"/>
      <c r="X124"/>
      <c r="Y124"/>
      <c r="Z124"/>
      <c r="AA124"/>
      <c r="AB124"/>
    </row>
    <row r="125" spans="1:28" s="749" customFormat="1" ht="24.95" customHeight="1" x14ac:dyDescent="0.35">
      <c r="A125" s="968">
        <v>45981</v>
      </c>
      <c r="B125" s="930" t="s">
        <v>683</v>
      </c>
      <c r="C125" s="925"/>
      <c r="D125" s="964" t="s">
        <v>92</v>
      </c>
      <c r="E125" s="964"/>
      <c r="F125" s="964"/>
      <c r="G125" s="964"/>
      <c r="H125" s="964" t="s">
        <v>684</v>
      </c>
      <c r="I125" s="965">
        <v>72550</v>
      </c>
      <c r="J125"/>
      <c r="K125"/>
      <c r="L125"/>
      <c r="M125"/>
      <c r="N125"/>
      <c r="O125"/>
      <c r="P125"/>
      <c r="Q125"/>
      <c r="R125"/>
      <c r="S125"/>
      <c r="T125"/>
      <c r="U125"/>
      <c r="V125"/>
      <c r="W125"/>
      <c r="X125"/>
      <c r="Y125"/>
      <c r="Z125"/>
      <c r="AA125"/>
      <c r="AB125"/>
    </row>
    <row r="126" spans="1:28" s="749" customFormat="1" ht="24.95" customHeight="1" x14ac:dyDescent="0.35">
      <c r="A126" s="968">
        <v>46006</v>
      </c>
      <c r="B126" s="930" t="s">
        <v>683</v>
      </c>
      <c r="C126" s="925"/>
      <c r="D126" s="964" t="s">
        <v>92</v>
      </c>
      <c r="E126" s="964"/>
      <c r="F126" s="964"/>
      <c r="G126" s="964"/>
      <c r="H126" s="964" t="s">
        <v>709</v>
      </c>
      <c r="I126" s="965">
        <v>72550</v>
      </c>
      <c r="J126"/>
      <c r="K126"/>
      <c r="L126"/>
      <c r="M126"/>
      <c r="N126"/>
      <c r="O126"/>
      <c r="P126"/>
      <c r="Q126"/>
      <c r="R126"/>
      <c r="S126"/>
      <c r="T126"/>
      <c r="U126"/>
      <c r="V126"/>
      <c r="W126"/>
      <c r="X126"/>
      <c r="Y126"/>
      <c r="Z126"/>
      <c r="AA126"/>
      <c r="AB126"/>
    </row>
    <row r="127" spans="1:28" s="749" customFormat="1" ht="24.95" customHeight="1" x14ac:dyDescent="0.35">
      <c r="A127" s="968">
        <v>46133</v>
      </c>
      <c r="B127" s="930" t="s">
        <v>683</v>
      </c>
      <c r="C127" s="925"/>
      <c r="D127" s="964" t="s">
        <v>92</v>
      </c>
      <c r="E127" s="964"/>
      <c r="F127" s="964"/>
      <c r="G127" s="964"/>
      <c r="H127" s="964" t="s">
        <v>855</v>
      </c>
      <c r="I127" s="965">
        <v>105000</v>
      </c>
      <c r="J127"/>
      <c r="K127"/>
      <c r="L127"/>
      <c r="M127"/>
      <c r="N127"/>
      <c r="O127"/>
      <c r="P127"/>
      <c r="Q127"/>
      <c r="R127"/>
      <c r="S127"/>
      <c r="T127"/>
      <c r="U127"/>
      <c r="V127"/>
      <c r="W127"/>
      <c r="X127"/>
      <c r="Y127"/>
      <c r="Z127"/>
      <c r="AA127"/>
      <c r="AB127"/>
    </row>
    <row r="128" spans="1:28" s="749" customFormat="1" ht="24.95" customHeight="1" x14ac:dyDescent="0.35">
      <c r="A128" s="968">
        <v>45985</v>
      </c>
      <c r="B128" s="930" t="s">
        <v>681</v>
      </c>
      <c r="C128" s="925"/>
      <c r="D128" s="964" t="s">
        <v>92</v>
      </c>
      <c r="E128" s="964"/>
      <c r="F128" s="964"/>
      <c r="G128" s="964"/>
      <c r="H128" s="964" t="s">
        <v>682</v>
      </c>
      <c r="I128" s="965">
        <v>1850000</v>
      </c>
      <c r="J128"/>
      <c r="K128"/>
      <c r="L128"/>
      <c r="M128"/>
      <c r="N128"/>
      <c r="O128"/>
      <c r="P128"/>
      <c r="Q128"/>
      <c r="R128"/>
      <c r="S128"/>
      <c r="T128"/>
      <c r="U128"/>
      <c r="V128"/>
      <c r="W128"/>
      <c r="X128"/>
      <c r="Y128"/>
      <c r="Z128"/>
      <c r="AA128"/>
      <c r="AB128"/>
    </row>
    <row r="129" spans="1:28" s="749" customFormat="1" ht="24.95" customHeight="1" x14ac:dyDescent="0.35">
      <c r="A129" s="968">
        <v>45986</v>
      </c>
      <c r="B129" s="930" t="s">
        <v>686</v>
      </c>
      <c r="C129" s="925"/>
      <c r="D129" s="964" t="s">
        <v>90</v>
      </c>
      <c r="E129" s="964"/>
      <c r="F129" s="964" t="s">
        <v>732</v>
      </c>
      <c r="G129" s="964"/>
      <c r="H129" s="964" t="s">
        <v>758</v>
      </c>
      <c r="I129" s="965">
        <v>2745488.32</v>
      </c>
      <c r="J129" t="s">
        <v>478</v>
      </c>
      <c r="K129"/>
      <c r="L129"/>
      <c r="M129"/>
      <c r="N129"/>
      <c r="O129"/>
      <c r="P129"/>
      <c r="Q129"/>
      <c r="R129"/>
      <c r="S129"/>
      <c r="T129"/>
      <c r="U129"/>
      <c r="V129"/>
      <c r="W129"/>
      <c r="X129"/>
      <c r="Y129"/>
      <c r="Z129"/>
      <c r="AA129"/>
      <c r="AB129"/>
    </row>
    <row r="130" spans="1:28" s="749" customFormat="1" ht="24.95" customHeight="1" x14ac:dyDescent="0.35">
      <c r="A130" s="968">
        <v>45965</v>
      </c>
      <c r="B130" s="930" t="s">
        <v>695</v>
      </c>
      <c r="C130" s="925"/>
      <c r="D130" s="964" t="s">
        <v>90</v>
      </c>
      <c r="E130" s="964"/>
      <c r="F130" s="964"/>
      <c r="G130" s="964"/>
      <c r="H130" s="964" t="s">
        <v>696</v>
      </c>
      <c r="I130" s="965" t="s">
        <v>419</v>
      </c>
      <c r="J130"/>
      <c r="K130"/>
      <c r="L130"/>
      <c r="M130"/>
      <c r="N130"/>
      <c r="O130"/>
      <c r="P130"/>
      <c r="Q130"/>
      <c r="R130"/>
      <c r="S130"/>
      <c r="T130"/>
      <c r="U130"/>
      <c r="V130"/>
      <c r="W130"/>
      <c r="X130"/>
      <c r="Y130"/>
      <c r="Z130"/>
      <c r="AA130"/>
      <c r="AB130"/>
    </row>
    <row r="131" spans="1:28" s="749" customFormat="1" ht="24.95" customHeight="1" x14ac:dyDescent="0.35">
      <c r="A131" s="968">
        <v>45995</v>
      </c>
      <c r="B131" s="930" t="s">
        <v>699</v>
      </c>
      <c r="C131" s="925"/>
      <c r="D131" s="964" t="s">
        <v>90</v>
      </c>
      <c r="E131" s="964"/>
      <c r="F131" s="964"/>
      <c r="G131" s="964"/>
      <c r="H131" s="964" t="s">
        <v>700</v>
      </c>
      <c r="I131" s="965">
        <v>98000</v>
      </c>
      <c r="J131"/>
      <c r="K131"/>
      <c r="L131"/>
      <c r="M131"/>
      <c r="N131"/>
      <c r="O131"/>
      <c r="P131"/>
      <c r="Q131"/>
      <c r="R131"/>
      <c r="S131"/>
      <c r="T131"/>
      <c r="U131"/>
      <c r="V131"/>
      <c r="W131"/>
      <c r="X131"/>
      <c r="Y131"/>
      <c r="Z131"/>
      <c r="AA131"/>
      <c r="AB131"/>
    </row>
    <row r="132" spans="1:28" s="749" customFormat="1" ht="24.95" customHeight="1" x14ac:dyDescent="0.35">
      <c r="A132" s="968" t="s">
        <v>705</v>
      </c>
      <c r="B132" s="930" t="s">
        <v>485</v>
      </c>
      <c r="C132" s="925"/>
      <c r="D132" s="964" t="s">
        <v>282</v>
      </c>
      <c r="E132" s="964"/>
      <c r="F132" s="964" t="s">
        <v>734</v>
      </c>
      <c r="G132" s="964"/>
      <c r="H132" s="964" t="s">
        <v>706</v>
      </c>
      <c r="I132" s="965">
        <v>18800</v>
      </c>
      <c r="J132"/>
      <c r="K132"/>
      <c r="L132"/>
      <c r="M132"/>
      <c r="N132"/>
      <c r="O132"/>
      <c r="P132"/>
      <c r="Q132"/>
      <c r="R132"/>
      <c r="S132"/>
      <c r="T132"/>
      <c r="U132"/>
      <c r="V132"/>
      <c r="W132"/>
      <c r="X132"/>
      <c r="Y132"/>
      <c r="Z132"/>
      <c r="AA132"/>
      <c r="AB132"/>
    </row>
    <row r="133" spans="1:28" s="749" customFormat="1" ht="24.95" customHeight="1" x14ac:dyDescent="0.35">
      <c r="A133" s="968">
        <v>46008</v>
      </c>
      <c r="B133" s="930" t="s">
        <v>485</v>
      </c>
      <c r="C133" s="925"/>
      <c r="D133" s="964" t="s">
        <v>282</v>
      </c>
      <c r="E133" s="964"/>
      <c r="F133" s="964" t="s">
        <v>735</v>
      </c>
      <c r="G133" s="964"/>
      <c r="H133" s="964" t="s">
        <v>710</v>
      </c>
      <c r="I133" s="965">
        <v>23868</v>
      </c>
      <c r="J133"/>
      <c r="K133"/>
      <c r="L133"/>
      <c r="M133"/>
      <c r="N133"/>
      <c r="O133"/>
      <c r="P133"/>
      <c r="Q133"/>
      <c r="R133"/>
      <c r="S133"/>
      <c r="T133"/>
      <c r="U133"/>
      <c r="V133"/>
      <c r="W133"/>
      <c r="X133"/>
      <c r="Y133"/>
      <c r="Z133"/>
      <c r="AA133"/>
      <c r="AB133"/>
    </row>
    <row r="134" spans="1:28" s="749" customFormat="1" ht="24.95" customHeight="1" x14ac:dyDescent="0.35">
      <c r="A134" s="968">
        <v>45662</v>
      </c>
      <c r="B134" s="930" t="s">
        <v>683</v>
      </c>
      <c r="C134" s="925"/>
      <c r="D134" s="964" t="s">
        <v>92</v>
      </c>
      <c r="E134" s="964"/>
      <c r="F134" s="964"/>
      <c r="G134" s="964"/>
      <c r="H134" s="964" t="s">
        <v>719</v>
      </c>
      <c r="I134" s="965">
        <v>3500</v>
      </c>
      <c r="J134"/>
      <c r="K134"/>
      <c r="L134"/>
      <c r="M134"/>
      <c r="N134"/>
      <c r="O134"/>
      <c r="P134"/>
      <c r="Q134"/>
      <c r="R134"/>
      <c r="S134"/>
      <c r="T134"/>
      <c r="U134"/>
      <c r="V134"/>
      <c r="W134"/>
      <c r="X134"/>
      <c r="Y134"/>
      <c r="Z134"/>
      <c r="AA134"/>
      <c r="AB134"/>
    </row>
    <row r="135" spans="1:28" s="749" customFormat="1" ht="24.95" customHeight="1" x14ac:dyDescent="0.35">
      <c r="A135" s="968">
        <v>45662</v>
      </c>
      <c r="B135" s="930" t="s">
        <v>683</v>
      </c>
      <c r="C135" s="925"/>
      <c r="D135" s="964" t="s">
        <v>92</v>
      </c>
      <c r="E135" s="964"/>
      <c r="F135" s="964"/>
      <c r="G135" s="964"/>
      <c r="H135" s="964" t="s">
        <v>720</v>
      </c>
      <c r="I135" s="965">
        <v>3500</v>
      </c>
      <c r="J135"/>
      <c r="K135"/>
      <c r="L135"/>
      <c r="M135"/>
      <c r="N135"/>
      <c r="O135"/>
      <c r="P135"/>
      <c r="Q135"/>
      <c r="R135"/>
      <c r="S135"/>
      <c r="T135"/>
      <c r="U135"/>
      <c r="V135"/>
      <c r="W135"/>
      <c r="X135"/>
      <c r="Y135"/>
      <c r="Z135"/>
      <c r="AA135"/>
      <c r="AB135"/>
    </row>
    <row r="136" spans="1:28" s="749" customFormat="1" ht="24.95" customHeight="1" x14ac:dyDescent="0.35">
      <c r="A136" s="968">
        <v>46041</v>
      </c>
      <c r="B136" s="930" t="s">
        <v>417</v>
      </c>
      <c r="C136" s="925"/>
      <c r="D136" s="964" t="s">
        <v>90</v>
      </c>
      <c r="E136" s="964"/>
      <c r="F136" s="964"/>
      <c r="G136" s="964"/>
      <c r="H136" s="964" t="s">
        <v>724</v>
      </c>
      <c r="I136" s="965" t="s">
        <v>419</v>
      </c>
      <c r="J136"/>
      <c r="K136"/>
      <c r="L136"/>
      <c r="M136"/>
      <c r="N136"/>
      <c r="O136"/>
      <c r="P136"/>
      <c r="Q136"/>
      <c r="R136"/>
      <c r="S136"/>
      <c r="T136"/>
      <c r="U136"/>
      <c r="V136"/>
      <c r="W136"/>
      <c r="X136"/>
      <c r="Y136"/>
      <c r="Z136"/>
      <c r="AA136"/>
      <c r="AB136"/>
    </row>
    <row r="137" spans="1:28" s="749" customFormat="1" ht="24.95" customHeight="1" x14ac:dyDescent="0.35">
      <c r="A137" s="968">
        <v>46042</v>
      </c>
      <c r="B137" s="930" t="s">
        <v>730</v>
      </c>
      <c r="C137" s="925"/>
      <c r="D137" s="964" t="s">
        <v>90</v>
      </c>
      <c r="E137" s="964"/>
      <c r="F137" s="964"/>
      <c r="G137" s="964"/>
      <c r="H137" s="964" t="s">
        <v>731</v>
      </c>
      <c r="I137" s="965" t="s">
        <v>419</v>
      </c>
      <c r="J137"/>
      <c r="K137"/>
      <c r="L137"/>
      <c r="M137"/>
      <c r="N137"/>
      <c r="O137"/>
      <c r="P137"/>
      <c r="Q137"/>
      <c r="R137"/>
      <c r="S137"/>
      <c r="T137"/>
      <c r="U137"/>
      <c r="V137"/>
      <c r="W137"/>
      <c r="X137"/>
      <c r="Y137"/>
      <c r="Z137"/>
      <c r="AA137"/>
      <c r="AB137"/>
    </row>
    <row r="138" spans="1:28" s="749" customFormat="1" ht="24.95" customHeight="1" x14ac:dyDescent="0.35">
      <c r="A138" s="968">
        <v>46048</v>
      </c>
      <c r="B138" s="930" t="s">
        <v>155</v>
      </c>
      <c r="C138" s="925"/>
      <c r="D138" s="964" t="s">
        <v>94</v>
      </c>
      <c r="E138" s="964"/>
      <c r="F138" s="964"/>
      <c r="G138" s="964"/>
      <c r="H138" s="964" t="s">
        <v>818</v>
      </c>
      <c r="I138" s="965">
        <v>1425260</v>
      </c>
      <c r="J138"/>
      <c r="K138"/>
      <c r="L138"/>
      <c r="M138"/>
      <c r="N138"/>
      <c r="O138"/>
      <c r="P138"/>
      <c r="Q138"/>
      <c r="R138"/>
      <c r="S138"/>
      <c r="T138"/>
      <c r="U138"/>
      <c r="V138"/>
      <c r="W138"/>
      <c r="X138"/>
      <c r="Y138"/>
      <c r="Z138"/>
      <c r="AA138"/>
      <c r="AB138"/>
    </row>
    <row r="139" spans="1:28" s="749" customFormat="1" ht="24.95" customHeight="1" x14ac:dyDescent="0.35">
      <c r="A139" s="968">
        <v>46051</v>
      </c>
      <c r="B139" s="930" t="s">
        <v>741</v>
      </c>
      <c r="C139" s="925"/>
      <c r="D139" s="964" t="s">
        <v>92</v>
      </c>
      <c r="E139" s="964"/>
      <c r="F139" s="964"/>
      <c r="G139" s="964"/>
      <c r="H139" s="964" t="s">
        <v>742</v>
      </c>
      <c r="I139" s="965">
        <v>99500</v>
      </c>
      <c r="J139"/>
      <c r="K139"/>
      <c r="L139"/>
      <c r="M139"/>
      <c r="N139"/>
      <c r="O139"/>
      <c r="P139"/>
      <c r="Q139"/>
      <c r="R139"/>
      <c r="S139"/>
      <c r="T139"/>
      <c r="U139"/>
      <c r="V139"/>
      <c r="W139"/>
      <c r="X139"/>
      <c r="Y139"/>
      <c r="Z139"/>
      <c r="AA139"/>
      <c r="AB139"/>
    </row>
    <row r="140" spans="1:28" s="749" customFormat="1" ht="24.95" customHeight="1" x14ac:dyDescent="0.35">
      <c r="A140" s="968">
        <v>46051</v>
      </c>
      <c r="B140" s="930" t="s">
        <v>741</v>
      </c>
      <c r="C140" s="925"/>
      <c r="D140" s="964" t="s">
        <v>92</v>
      </c>
      <c r="E140" s="964"/>
      <c r="F140" s="964"/>
      <c r="G140" s="964"/>
      <c r="H140" s="964" t="s">
        <v>743</v>
      </c>
      <c r="I140" s="965">
        <v>80000</v>
      </c>
      <c r="J140"/>
      <c r="K140"/>
      <c r="L140"/>
      <c r="M140"/>
      <c r="N140"/>
      <c r="O140"/>
      <c r="P140"/>
      <c r="Q140"/>
      <c r="R140"/>
      <c r="S140"/>
      <c r="T140"/>
      <c r="U140"/>
      <c r="V140"/>
      <c r="W140"/>
      <c r="X140"/>
      <c r="Y140"/>
      <c r="Z140"/>
      <c r="AA140"/>
      <c r="AB140"/>
    </row>
    <row r="141" spans="1:28" s="749" customFormat="1" ht="24.95" customHeight="1" x14ac:dyDescent="0.35">
      <c r="A141" s="968">
        <v>46057</v>
      </c>
      <c r="B141" s="930" t="s">
        <v>761</v>
      </c>
      <c r="C141" s="925"/>
      <c r="D141" s="964" t="s">
        <v>282</v>
      </c>
      <c r="E141" s="964"/>
      <c r="F141" s="964"/>
      <c r="G141" s="964"/>
      <c r="H141" s="964" t="s">
        <v>762</v>
      </c>
      <c r="I141" s="965">
        <v>8800</v>
      </c>
      <c r="J141"/>
      <c r="K141"/>
      <c r="L141"/>
      <c r="M141"/>
      <c r="N141"/>
      <c r="O141"/>
      <c r="P141"/>
      <c r="Q141"/>
      <c r="R141"/>
      <c r="S141"/>
      <c r="T141"/>
      <c r="U141"/>
      <c r="V141"/>
      <c r="W141"/>
      <c r="X141"/>
      <c r="Y141"/>
      <c r="Z141"/>
      <c r="AA141"/>
      <c r="AB141"/>
    </row>
    <row r="142" spans="1:28" s="749" customFormat="1" ht="24.95" customHeight="1" x14ac:dyDescent="0.35">
      <c r="A142" s="968" t="s">
        <v>421</v>
      </c>
      <c r="B142" s="930" t="s">
        <v>763</v>
      </c>
      <c r="C142" s="925"/>
      <c r="D142" s="964" t="s">
        <v>92</v>
      </c>
      <c r="E142" s="964"/>
      <c r="F142" s="964"/>
      <c r="G142" s="964"/>
      <c r="H142" s="964" t="s">
        <v>764</v>
      </c>
      <c r="I142" s="965" t="s">
        <v>419</v>
      </c>
      <c r="J142"/>
      <c r="K142"/>
      <c r="L142"/>
      <c r="M142"/>
      <c r="N142"/>
      <c r="O142"/>
      <c r="P142"/>
      <c r="Q142"/>
      <c r="R142"/>
      <c r="S142"/>
      <c r="T142"/>
      <c r="U142"/>
      <c r="V142"/>
      <c r="W142"/>
      <c r="X142"/>
      <c r="Y142"/>
      <c r="Z142"/>
      <c r="AA142"/>
      <c r="AB142"/>
    </row>
    <row r="143" spans="1:28" s="749" customFormat="1" ht="24.95" customHeight="1" x14ac:dyDescent="0.35">
      <c r="A143" s="968">
        <v>46057</v>
      </c>
      <c r="B143" s="930" t="s">
        <v>765</v>
      </c>
      <c r="C143" s="925"/>
      <c r="D143" s="964" t="s">
        <v>92</v>
      </c>
      <c r="E143" s="964"/>
      <c r="F143" s="964"/>
      <c r="G143" s="964"/>
      <c r="H143" s="964" t="s">
        <v>766</v>
      </c>
      <c r="I143" s="965" t="s">
        <v>419</v>
      </c>
      <c r="J143"/>
      <c r="K143"/>
      <c r="L143"/>
      <c r="M143"/>
      <c r="N143"/>
      <c r="O143"/>
      <c r="P143"/>
      <c r="Q143"/>
      <c r="R143"/>
      <c r="S143"/>
      <c r="T143"/>
      <c r="U143"/>
      <c r="V143"/>
      <c r="W143"/>
      <c r="X143"/>
      <c r="Y143"/>
      <c r="Z143"/>
      <c r="AA143"/>
      <c r="AB143"/>
    </row>
    <row r="144" spans="1:28" s="749" customFormat="1" ht="24.95" customHeight="1" x14ac:dyDescent="0.35">
      <c r="A144" s="968">
        <v>46057</v>
      </c>
      <c r="B144" s="930" t="s">
        <v>765</v>
      </c>
      <c r="C144" s="925"/>
      <c r="D144" s="964" t="s">
        <v>92</v>
      </c>
      <c r="E144" s="964"/>
      <c r="F144" s="964"/>
      <c r="G144" s="964"/>
      <c r="H144" s="964" t="s">
        <v>767</v>
      </c>
      <c r="I144" s="965" t="s">
        <v>419</v>
      </c>
      <c r="J144"/>
      <c r="K144"/>
      <c r="L144"/>
      <c r="M144"/>
      <c r="N144"/>
      <c r="O144"/>
      <c r="P144"/>
      <c r="Q144"/>
      <c r="R144"/>
      <c r="S144"/>
      <c r="T144"/>
      <c r="U144"/>
      <c r="V144"/>
      <c r="W144"/>
      <c r="X144"/>
      <c r="Y144"/>
      <c r="Z144"/>
      <c r="AA144"/>
      <c r="AB144"/>
    </row>
    <row r="145" spans="1:28" s="749" customFormat="1" ht="24.95" customHeight="1" x14ac:dyDescent="0.35">
      <c r="A145" s="968">
        <v>46057</v>
      </c>
      <c r="B145" s="930" t="s">
        <v>770</v>
      </c>
      <c r="C145" s="925"/>
      <c r="D145" s="964" t="s">
        <v>92</v>
      </c>
      <c r="E145" s="964"/>
      <c r="F145" s="964"/>
      <c r="G145" s="964"/>
      <c r="H145" s="964" t="s">
        <v>771</v>
      </c>
      <c r="I145" s="965">
        <v>17500</v>
      </c>
      <c r="J145" t="s">
        <v>478</v>
      </c>
      <c r="K145"/>
      <c r="L145"/>
      <c r="M145"/>
      <c r="N145"/>
      <c r="O145"/>
      <c r="P145"/>
      <c r="Q145"/>
      <c r="R145"/>
      <c r="S145"/>
      <c r="T145"/>
      <c r="U145"/>
      <c r="V145"/>
      <c r="W145"/>
      <c r="X145"/>
      <c r="Y145"/>
      <c r="Z145"/>
      <c r="AA145"/>
      <c r="AB145"/>
    </row>
    <row r="146" spans="1:28" s="749" customFormat="1" ht="24.95" customHeight="1" x14ac:dyDescent="0.35">
      <c r="A146" s="968"/>
      <c r="B146" s="930" t="s">
        <v>772</v>
      </c>
      <c r="C146" s="925"/>
      <c r="D146" s="964" t="s">
        <v>92</v>
      </c>
      <c r="E146" s="964"/>
      <c r="F146" s="964"/>
      <c r="G146" s="964"/>
      <c r="H146" s="964" t="s">
        <v>773</v>
      </c>
      <c r="I146" s="965">
        <v>39895</v>
      </c>
      <c r="J146"/>
      <c r="K146"/>
      <c r="L146"/>
      <c r="M146"/>
      <c r="N146"/>
      <c r="O146"/>
      <c r="P146"/>
      <c r="Q146"/>
      <c r="R146"/>
      <c r="S146"/>
      <c r="T146"/>
      <c r="U146"/>
      <c r="V146"/>
      <c r="W146"/>
      <c r="X146"/>
      <c r="Y146"/>
      <c r="Z146"/>
      <c r="AA146"/>
      <c r="AB146"/>
    </row>
    <row r="147" spans="1:28" s="749" customFormat="1" ht="24.95" customHeight="1" x14ac:dyDescent="0.35">
      <c r="A147" s="968">
        <v>46071</v>
      </c>
      <c r="B147" s="930" t="s">
        <v>772</v>
      </c>
      <c r="C147" s="925"/>
      <c r="D147" s="964" t="s">
        <v>92</v>
      </c>
      <c r="E147" s="964"/>
      <c r="F147" s="964"/>
      <c r="G147" s="964"/>
      <c r="H147" s="964" t="s">
        <v>787</v>
      </c>
      <c r="I147" s="965">
        <v>25036</v>
      </c>
      <c r="J147"/>
      <c r="K147"/>
      <c r="L147"/>
      <c r="M147"/>
      <c r="N147"/>
      <c r="O147"/>
      <c r="P147"/>
      <c r="Q147"/>
      <c r="R147"/>
      <c r="S147"/>
      <c r="T147"/>
      <c r="U147"/>
      <c r="V147"/>
      <c r="W147"/>
      <c r="X147"/>
      <c r="Y147"/>
      <c r="Z147"/>
      <c r="AA147"/>
      <c r="AB147"/>
    </row>
    <row r="148" spans="1:28" s="749" customFormat="1" ht="24.95" customHeight="1" x14ac:dyDescent="0.35">
      <c r="A148" s="968">
        <v>46119</v>
      </c>
      <c r="B148" s="930" t="s">
        <v>772</v>
      </c>
      <c r="C148" s="925"/>
      <c r="D148" s="964" t="s">
        <v>92</v>
      </c>
      <c r="E148" s="964"/>
      <c r="F148" s="964"/>
      <c r="G148" s="964"/>
      <c r="H148" s="964" t="s">
        <v>856</v>
      </c>
      <c r="I148" s="965">
        <v>140082.79999999999</v>
      </c>
      <c r="J148"/>
      <c r="K148"/>
      <c r="L148"/>
      <c r="M148"/>
      <c r="N148"/>
      <c r="O148"/>
      <c r="P148"/>
      <c r="Q148"/>
      <c r="R148"/>
      <c r="S148"/>
      <c r="T148"/>
      <c r="U148"/>
      <c r="V148"/>
      <c r="W148"/>
      <c r="X148"/>
      <c r="Y148"/>
      <c r="Z148"/>
      <c r="AA148"/>
      <c r="AB148"/>
    </row>
    <row r="149" spans="1:28" s="749" customFormat="1" ht="24.95" customHeight="1" x14ac:dyDescent="0.35">
      <c r="A149" s="968">
        <v>46140</v>
      </c>
      <c r="B149" s="930" t="s">
        <v>772</v>
      </c>
      <c r="C149" s="925"/>
      <c r="D149" s="964" t="s">
        <v>92</v>
      </c>
      <c r="E149" s="964"/>
      <c r="F149" s="964"/>
      <c r="G149" s="964"/>
      <c r="H149" s="964" t="s">
        <v>857</v>
      </c>
      <c r="I149" s="965" t="s">
        <v>419</v>
      </c>
      <c r="J149"/>
      <c r="K149"/>
      <c r="L149"/>
      <c r="M149"/>
      <c r="N149"/>
      <c r="O149"/>
      <c r="P149"/>
      <c r="Q149"/>
      <c r="R149"/>
      <c r="S149"/>
      <c r="T149"/>
      <c r="U149"/>
      <c r="V149"/>
      <c r="W149"/>
      <c r="X149"/>
      <c r="Y149"/>
      <c r="Z149"/>
      <c r="AA149"/>
      <c r="AB149"/>
    </row>
    <row r="150" spans="1:28" s="749" customFormat="1" ht="24.95" customHeight="1" x14ac:dyDescent="0.35">
      <c r="A150" s="968">
        <v>46168</v>
      </c>
      <c r="B150" s="930" t="s">
        <v>772</v>
      </c>
      <c r="C150" s="925"/>
      <c r="D150" s="964" t="s">
        <v>92</v>
      </c>
      <c r="E150" s="964"/>
      <c r="F150" s="964"/>
      <c r="G150" s="964"/>
      <c r="H150" s="964" t="s">
        <v>883</v>
      </c>
      <c r="I150" s="965">
        <v>20472.55</v>
      </c>
      <c r="J150"/>
      <c r="K150"/>
      <c r="L150"/>
      <c r="M150"/>
      <c r="N150"/>
      <c r="O150"/>
      <c r="P150"/>
      <c r="Q150"/>
      <c r="R150"/>
      <c r="S150"/>
      <c r="T150"/>
      <c r="U150"/>
      <c r="V150"/>
      <c r="W150"/>
      <c r="X150"/>
      <c r="Y150"/>
      <c r="Z150"/>
      <c r="AA150"/>
      <c r="AB150"/>
    </row>
    <row r="151" spans="1:28" s="749" customFormat="1" ht="24.95" customHeight="1" x14ac:dyDescent="0.35">
      <c r="A151" s="968">
        <v>46168</v>
      </c>
      <c r="B151" s="930" t="s">
        <v>772</v>
      </c>
      <c r="C151" s="925"/>
      <c r="D151" s="964" t="s">
        <v>92</v>
      </c>
      <c r="E151" s="964"/>
      <c r="F151" s="964"/>
      <c r="G151" s="964"/>
      <c r="H151" s="964" t="s">
        <v>884</v>
      </c>
      <c r="I151" s="965">
        <v>19454.650000000001</v>
      </c>
      <c r="J151"/>
      <c r="K151"/>
      <c r="L151"/>
      <c r="M151"/>
      <c r="N151"/>
      <c r="O151"/>
      <c r="P151"/>
      <c r="Q151"/>
      <c r="R151"/>
      <c r="S151"/>
      <c r="T151"/>
      <c r="U151"/>
      <c r="V151"/>
      <c r="W151"/>
      <c r="X151"/>
      <c r="Y151"/>
      <c r="Z151"/>
      <c r="AA151"/>
      <c r="AB151"/>
    </row>
    <row r="152" spans="1:28" s="749" customFormat="1" ht="24.95" customHeight="1" x14ac:dyDescent="0.35">
      <c r="A152" s="968">
        <v>46059</v>
      </c>
      <c r="B152" s="930" t="s">
        <v>775</v>
      </c>
      <c r="C152" s="925"/>
      <c r="D152" s="964" t="s">
        <v>92</v>
      </c>
      <c r="E152" s="964"/>
      <c r="F152" s="964"/>
      <c r="G152" s="964"/>
      <c r="H152" s="964" t="s">
        <v>776</v>
      </c>
      <c r="I152" s="965" t="s">
        <v>419</v>
      </c>
      <c r="J152"/>
      <c r="K152"/>
      <c r="L152"/>
      <c r="M152"/>
      <c r="N152"/>
      <c r="O152"/>
      <c r="P152"/>
      <c r="Q152"/>
      <c r="R152"/>
      <c r="S152"/>
      <c r="T152"/>
      <c r="U152"/>
      <c r="V152"/>
      <c r="W152"/>
      <c r="X152"/>
      <c r="Y152"/>
      <c r="Z152"/>
      <c r="AA152"/>
      <c r="AB152"/>
    </row>
    <row r="153" spans="1:28" s="749" customFormat="1" ht="24.95" customHeight="1" x14ac:dyDescent="0.35">
      <c r="A153" s="968"/>
      <c r="B153" s="930" t="s">
        <v>777</v>
      </c>
      <c r="C153" s="925"/>
      <c r="D153" s="964" t="s">
        <v>92</v>
      </c>
      <c r="E153" s="964"/>
      <c r="F153" s="964"/>
      <c r="G153" s="964"/>
      <c r="H153" s="964" t="s">
        <v>778</v>
      </c>
      <c r="I153" s="965" t="s">
        <v>419</v>
      </c>
      <c r="J153"/>
      <c r="K153"/>
      <c r="L153"/>
      <c r="M153"/>
      <c r="N153"/>
      <c r="O153"/>
      <c r="P153"/>
      <c r="Q153"/>
      <c r="R153"/>
      <c r="S153"/>
      <c r="T153"/>
      <c r="U153"/>
      <c r="V153"/>
      <c r="W153"/>
      <c r="X153"/>
      <c r="Y153"/>
      <c r="Z153"/>
      <c r="AA153"/>
      <c r="AB153"/>
    </row>
    <row r="154" spans="1:28" s="749" customFormat="1" ht="24.95" customHeight="1" x14ac:dyDescent="0.35">
      <c r="A154" s="968">
        <v>46063</v>
      </c>
      <c r="B154" s="930" t="s">
        <v>777</v>
      </c>
      <c r="C154" s="925"/>
      <c r="D154" s="964" t="s">
        <v>92</v>
      </c>
      <c r="E154" s="964"/>
      <c r="F154" s="964"/>
      <c r="G154" s="964"/>
      <c r="H154" s="964" t="s">
        <v>779</v>
      </c>
      <c r="I154" s="965" t="s">
        <v>419</v>
      </c>
      <c r="J154"/>
      <c r="K154"/>
      <c r="L154"/>
      <c r="M154"/>
      <c r="N154"/>
      <c r="O154"/>
      <c r="P154"/>
      <c r="Q154"/>
      <c r="R154"/>
      <c r="S154"/>
      <c r="T154"/>
      <c r="U154"/>
      <c r="V154"/>
      <c r="W154"/>
      <c r="X154"/>
      <c r="Y154"/>
      <c r="Z154"/>
      <c r="AA154"/>
      <c r="AB154"/>
    </row>
    <row r="155" spans="1:28" s="749" customFormat="1" ht="24.95" customHeight="1" x14ac:dyDescent="0.35">
      <c r="A155" s="968">
        <v>46063</v>
      </c>
      <c r="B155" s="930" t="s">
        <v>777</v>
      </c>
      <c r="C155" s="925"/>
      <c r="D155" s="964" t="s">
        <v>92</v>
      </c>
      <c r="E155" s="964"/>
      <c r="F155" s="964"/>
      <c r="G155" s="964"/>
      <c r="H155" s="964" t="s">
        <v>843</v>
      </c>
      <c r="I155" s="965" t="s">
        <v>419</v>
      </c>
      <c r="J155"/>
      <c r="K155"/>
      <c r="L155"/>
      <c r="M155"/>
      <c r="N155"/>
      <c r="O155"/>
      <c r="P155"/>
      <c r="Q155"/>
      <c r="R155"/>
      <c r="S155"/>
      <c r="T155"/>
      <c r="U155"/>
      <c r="V155"/>
      <c r="W155"/>
      <c r="X155"/>
      <c r="Y155"/>
      <c r="Z155"/>
      <c r="AA155"/>
      <c r="AB155"/>
    </row>
    <row r="156" spans="1:28" s="749" customFormat="1" ht="24.95" customHeight="1" x14ac:dyDescent="0.35">
      <c r="A156" s="968">
        <v>46160</v>
      </c>
      <c r="B156" s="930" t="s">
        <v>777</v>
      </c>
      <c r="C156" s="925"/>
      <c r="D156" s="964" t="s">
        <v>92</v>
      </c>
      <c r="E156" s="964"/>
      <c r="F156" s="964"/>
      <c r="G156" s="964"/>
      <c r="H156" s="964" t="s">
        <v>864</v>
      </c>
      <c r="I156" s="965" t="s">
        <v>419</v>
      </c>
      <c r="J156"/>
      <c r="K156"/>
      <c r="L156"/>
      <c r="M156"/>
      <c r="N156"/>
      <c r="O156"/>
      <c r="P156"/>
      <c r="Q156"/>
      <c r="R156"/>
      <c r="S156"/>
      <c r="T156"/>
      <c r="U156"/>
      <c r="V156"/>
      <c r="W156"/>
      <c r="X156"/>
      <c r="Y156"/>
      <c r="Z156"/>
      <c r="AA156"/>
      <c r="AB156"/>
    </row>
    <row r="157" spans="1:28" s="749" customFormat="1" ht="24.95" customHeight="1" x14ac:dyDescent="0.35">
      <c r="A157" s="968"/>
      <c r="B157" s="930" t="s">
        <v>782</v>
      </c>
      <c r="C157" s="925"/>
      <c r="D157" s="964" t="s">
        <v>92</v>
      </c>
      <c r="E157" s="964"/>
      <c r="F157" s="964" t="s">
        <v>795</v>
      </c>
      <c r="G157" s="964"/>
      <c r="H157" s="964" t="s">
        <v>783</v>
      </c>
      <c r="I157" s="965">
        <v>59500</v>
      </c>
      <c r="J157"/>
      <c r="K157"/>
      <c r="L157"/>
      <c r="M157"/>
      <c r="N157"/>
      <c r="O157"/>
      <c r="P157"/>
      <c r="Q157"/>
      <c r="R157"/>
      <c r="S157"/>
      <c r="T157"/>
      <c r="U157"/>
      <c r="V157"/>
      <c r="W157"/>
      <c r="X157"/>
      <c r="Y157"/>
      <c r="Z157"/>
      <c r="AA157"/>
      <c r="AB157"/>
    </row>
    <row r="158" spans="1:28" s="749" customFormat="1" ht="24.95" customHeight="1" x14ac:dyDescent="0.35">
      <c r="A158" s="968">
        <v>46069</v>
      </c>
      <c r="B158" s="986" t="s">
        <v>785</v>
      </c>
      <c r="C158" s="925"/>
      <c r="D158" s="964" t="s">
        <v>92</v>
      </c>
      <c r="E158" s="964"/>
      <c r="F158" s="964"/>
      <c r="G158" s="964"/>
      <c r="H158" s="964" t="s">
        <v>788</v>
      </c>
      <c r="I158" s="965">
        <v>1800</v>
      </c>
      <c r="J158"/>
      <c r="K158"/>
      <c r="L158"/>
      <c r="M158"/>
      <c r="N158"/>
      <c r="O158"/>
      <c r="P158"/>
      <c r="Q158"/>
      <c r="R158"/>
      <c r="S158"/>
      <c r="T158"/>
      <c r="U158"/>
      <c r="V158"/>
      <c r="W158"/>
      <c r="X158"/>
      <c r="Y158"/>
      <c r="Z158"/>
      <c r="AA158"/>
      <c r="AB158"/>
    </row>
    <row r="159" spans="1:28" s="749" customFormat="1" ht="24.95" customHeight="1" x14ac:dyDescent="0.35">
      <c r="A159" s="968"/>
      <c r="B159" s="986" t="s">
        <v>822</v>
      </c>
      <c r="C159" s="925"/>
      <c r="D159" s="964" t="s">
        <v>92</v>
      </c>
      <c r="E159" s="964"/>
      <c r="F159" s="964"/>
      <c r="G159" s="964"/>
      <c r="H159" s="964" t="s">
        <v>823</v>
      </c>
      <c r="I159" s="965">
        <v>8815</v>
      </c>
      <c r="J159"/>
      <c r="K159"/>
      <c r="L159"/>
      <c r="M159"/>
      <c r="N159"/>
      <c r="O159"/>
      <c r="P159"/>
      <c r="Q159"/>
      <c r="R159"/>
      <c r="S159"/>
      <c r="T159"/>
      <c r="U159"/>
      <c r="V159"/>
      <c r="W159"/>
      <c r="X159"/>
      <c r="Y159"/>
      <c r="Z159"/>
      <c r="AA159"/>
      <c r="AB159"/>
    </row>
    <row r="160" spans="1:28" s="749" customFormat="1" ht="24.95" customHeight="1" x14ac:dyDescent="0.35">
      <c r="A160" s="968"/>
      <c r="B160" s="986" t="s">
        <v>785</v>
      </c>
      <c r="C160" s="925"/>
      <c r="D160" s="964" t="s">
        <v>92</v>
      </c>
      <c r="E160" s="964"/>
      <c r="F160" s="964"/>
      <c r="G160" s="964"/>
      <c r="H160" s="964" t="s">
        <v>826</v>
      </c>
      <c r="I160" s="965">
        <v>20560</v>
      </c>
      <c r="J160"/>
      <c r="K160"/>
      <c r="L160"/>
      <c r="M160"/>
      <c r="N160"/>
      <c r="O160"/>
      <c r="P160"/>
      <c r="Q160"/>
      <c r="R160"/>
      <c r="S160"/>
      <c r="T160"/>
      <c r="U160"/>
      <c r="V160"/>
      <c r="W160"/>
      <c r="X160"/>
      <c r="Y160"/>
      <c r="Z160"/>
      <c r="AA160"/>
      <c r="AB160"/>
    </row>
    <row r="161" spans="1:28" s="749" customFormat="1" ht="24.95" customHeight="1" x14ac:dyDescent="0.35">
      <c r="A161" s="968"/>
      <c r="B161" s="986" t="s">
        <v>785</v>
      </c>
      <c r="C161" s="925"/>
      <c r="D161" s="964" t="s">
        <v>92</v>
      </c>
      <c r="E161" s="964"/>
      <c r="F161" s="964"/>
      <c r="G161" s="964"/>
      <c r="H161" s="964">
        <v>6356</v>
      </c>
      <c r="I161" s="965">
        <v>4340</v>
      </c>
      <c r="J161"/>
      <c r="K161"/>
      <c r="L161"/>
      <c r="M161"/>
      <c r="N161"/>
      <c r="O161"/>
      <c r="P161"/>
      <c r="Q161"/>
      <c r="R161"/>
      <c r="S161"/>
      <c r="T161"/>
      <c r="U161"/>
      <c r="V161"/>
      <c r="W161"/>
      <c r="X161"/>
      <c r="Y161"/>
      <c r="Z161"/>
      <c r="AA161"/>
      <c r="AB161"/>
    </row>
    <row r="162" spans="1:28" s="749" customFormat="1" ht="24.95" customHeight="1" x14ac:dyDescent="0.35">
      <c r="A162" s="968">
        <v>46071</v>
      </c>
      <c r="B162" s="986" t="s">
        <v>789</v>
      </c>
      <c r="C162" s="925"/>
      <c r="D162" s="964" t="s">
        <v>92</v>
      </c>
      <c r="E162" s="964"/>
      <c r="F162" s="964"/>
      <c r="G162" s="964"/>
      <c r="H162" s="964" t="s">
        <v>790</v>
      </c>
      <c r="I162" s="965">
        <v>254750</v>
      </c>
      <c r="J162"/>
      <c r="K162"/>
      <c r="L162"/>
      <c r="M162"/>
      <c r="N162"/>
      <c r="O162"/>
      <c r="P162"/>
      <c r="Q162"/>
      <c r="R162"/>
      <c r="S162"/>
      <c r="T162"/>
      <c r="U162"/>
      <c r="V162"/>
      <c r="W162"/>
      <c r="X162"/>
      <c r="Y162"/>
      <c r="Z162"/>
      <c r="AA162"/>
      <c r="AB162"/>
    </row>
    <row r="163" spans="1:28" s="749" customFormat="1" ht="24.95" customHeight="1" x14ac:dyDescent="0.35">
      <c r="A163" s="968"/>
      <c r="B163" s="986" t="s">
        <v>798</v>
      </c>
      <c r="C163" s="925"/>
      <c r="D163" s="964" t="s">
        <v>92</v>
      </c>
      <c r="E163" s="964"/>
      <c r="F163" s="964"/>
      <c r="G163" s="964"/>
      <c r="H163" s="964" t="s">
        <v>799</v>
      </c>
      <c r="I163" s="965" t="s">
        <v>419</v>
      </c>
      <c r="J163"/>
      <c r="K163"/>
      <c r="L163"/>
      <c r="M163"/>
      <c r="N163"/>
      <c r="O163"/>
      <c r="P163"/>
      <c r="Q163"/>
      <c r="R163"/>
      <c r="S163"/>
      <c r="T163"/>
      <c r="U163"/>
      <c r="V163"/>
      <c r="W163"/>
      <c r="X163"/>
      <c r="Y163"/>
      <c r="Z163"/>
      <c r="AA163"/>
      <c r="AB163"/>
    </row>
    <row r="164" spans="1:28" s="749" customFormat="1" ht="24.95" customHeight="1" x14ac:dyDescent="0.35">
      <c r="A164" s="968">
        <v>46084</v>
      </c>
      <c r="B164" s="986" t="s">
        <v>430</v>
      </c>
      <c r="C164" s="925"/>
      <c r="D164" s="964" t="s">
        <v>92</v>
      </c>
      <c r="E164" s="964"/>
      <c r="F164" s="964"/>
      <c r="G164" s="964"/>
      <c r="H164" s="964" t="s">
        <v>807</v>
      </c>
      <c r="I164" s="965">
        <v>79500</v>
      </c>
      <c r="J164"/>
      <c r="K164"/>
      <c r="L164"/>
      <c r="M164"/>
      <c r="N164"/>
      <c r="O164"/>
      <c r="P164"/>
      <c r="Q164"/>
      <c r="R164"/>
      <c r="S164"/>
      <c r="T164"/>
      <c r="U164"/>
      <c r="V164"/>
      <c r="W164"/>
      <c r="X164"/>
      <c r="Y164"/>
      <c r="Z164"/>
      <c r="AA164"/>
      <c r="AB164"/>
    </row>
    <row r="165" spans="1:28" s="749" customFormat="1" ht="24.95" customHeight="1" x14ac:dyDescent="0.35">
      <c r="A165" s="968">
        <v>46083</v>
      </c>
      <c r="B165" s="986" t="s">
        <v>808</v>
      </c>
      <c r="C165" s="925"/>
      <c r="D165" s="964" t="s">
        <v>92</v>
      </c>
      <c r="E165" s="964"/>
      <c r="F165" s="964"/>
      <c r="G165" s="964"/>
      <c r="H165" s="964" t="s">
        <v>809</v>
      </c>
      <c r="I165" s="965">
        <v>30500</v>
      </c>
      <c r="J165" t="s">
        <v>478</v>
      </c>
      <c r="K165"/>
      <c r="L165"/>
      <c r="M165"/>
      <c r="N165"/>
      <c r="O165"/>
      <c r="P165"/>
      <c r="Q165"/>
      <c r="R165"/>
      <c r="S165"/>
      <c r="T165"/>
      <c r="U165"/>
      <c r="V165"/>
      <c r="W165"/>
      <c r="X165"/>
      <c r="Y165"/>
      <c r="Z165"/>
      <c r="AA165"/>
      <c r="AB165"/>
    </row>
    <row r="166" spans="1:28" s="749" customFormat="1" ht="24.95" customHeight="1" x14ac:dyDescent="0.35">
      <c r="A166" s="968">
        <v>46087</v>
      </c>
      <c r="B166" s="986" t="s">
        <v>808</v>
      </c>
      <c r="C166" s="925"/>
      <c r="D166" s="964" t="s">
        <v>92</v>
      </c>
      <c r="E166" s="964"/>
      <c r="F166" s="964"/>
      <c r="G166" s="964"/>
      <c r="H166" s="964" t="s">
        <v>863</v>
      </c>
      <c r="I166" s="965">
        <v>19500</v>
      </c>
      <c r="J166" t="s">
        <v>478</v>
      </c>
      <c r="K166"/>
      <c r="L166"/>
      <c r="M166"/>
      <c r="N166"/>
      <c r="O166"/>
      <c r="P166"/>
      <c r="Q166"/>
      <c r="R166"/>
      <c r="S166"/>
      <c r="T166"/>
      <c r="U166"/>
      <c r="V166"/>
      <c r="W166"/>
      <c r="X166"/>
      <c r="Y166"/>
      <c r="Z166"/>
      <c r="AA166"/>
      <c r="AB166"/>
    </row>
    <row r="167" spans="1:28" s="749" customFormat="1" ht="24.95" customHeight="1" x14ac:dyDescent="0.35">
      <c r="A167" s="968">
        <v>46086</v>
      </c>
      <c r="B167" s="986" t="s">
        <v>811</v>
      </c>
      <c r="C167" s="925"/>
      <c r="D167" s="964" t="s">
        <v>92</v>
      </c>
      <c r="E167" s="964"/>
      <c r="F167" s="964"/>
      <c r="G167" s="964"/>
      <c r="H167" s="964" t="s">
        <v>812</v>
      </c>
      <c r="I167" s="965">
        <v>49050</v>
      </c>
      <c r="J167"/>
      <c r="K167"/>
      <c r="L167"/>
      <c r="M167"/>
      <c r="N167"/>
      <c r="O167"/>
      <c r="P167"/>
      <c r="Q167"/>
      <c r="R167"/>
      <c r="S167"/>
      <c r="T167"/>
      <c r="U167"/>
      <c r="V167"/>
      <c r="W167"/>
      <c r="X167"/>
      <c r="Y167"/>
      <c r="Z167"/>
      <c r="AA167"/>
      <c r="AB167"/>
    </row>
    <row r="168" spans="1:28" s="749" customFormat="1" ht="24.95" customHeight="1" x14ac:dyDescent="0.35">
      <c r="A168" s="968">
        <v>46091</v>
      </c>
      <c r="B168" s="986" t="s">
        <v>576</v>
      </c>
      <c r="C168" s="925"/>
      <c r="D168" s="964" t="s">
        <v>90</v>
      </c>
      <c r="E168" s="964"/>
      <c r="F168" s="964" t="s">
        <v>832</v>
      </c>
      <c r="G168" s="964"/>
      <c r="H168" s="964" t="s">
        <v>820</v>
      </c>
      <c r="I168" s="965">
        <v>17410</v>
      </c>
      <c r="J168"/>
      <c r="K168"/>
      <c r="L168"/>
      <c r="M168"/>
      <c r="N168"/>
      <c r="O168"/>
      <c r="P168"/>
      <c r="Q168"/>
      <c r="R168"/>
      <c r="S168"/>
      <c r="T168"/>
      <c r="U168"/>
      <c r="V168"/>
      <c r="W168"/>
      <c r="X168"/>
      <c r="Y168"/>
      <c r="Z168"/>
      <c r="AA168"/>
      <c r="AB168"/>
    </row>
    <row r="169" spans="1:28" s="749" customFormat="1" ht="24.95" customHeight="1" x14ac:dyDescent="0.35">
      <c r="A169" s="968">
        <v>46093</v>
      </c>
      <c r="B169" s="986" t="s">
        <v>828</v>
      </c>
      <c r="C169" s="925"/>
      <c r="D169" s="964" t="s">
        <v>92</v>
      </c>
      <c r="E169" s="964"/>
      <c r="F169" s="964"/>
      <c r="G169" s="964"/>
      <c r="H169" s="964" t="s">
        <v>829</v>
      </c>
      <c r="I169" s="965">
        <v>2750</v>
      </c>
      <c r="J169"/>
      <c r="K169"/>
      <c r="L169"/>
      <c r="M169"/>
      <c r="N169"/>
      <c r="O169"/>
      <c r="P169"/>
      <c r="Q169"/>
      <c r="R169"/>
      <c r="S169"/>
      <c r="T169"/>
      <c r="U169"/>
      <c r="V169"/>
      <c r="W169"/>
      <c r="X169"/>
      <c r="Y169"/>
      <c r="Z169"/>
      <c r="AA169"/>
      <c r="AB169"/>
    </row>
    <row r="170" spans="1:28" s="749" customFormat="1" ht="24.95" customHeight="1" x14ac:dyDescent="0.35">
      <c r="A170" s="968">
        <v>46107</v>
      </c>
      <c r="B170" s="986" t="s">
        <v>838</v>
      </c>
      <c r="C170" s="925"/>
      <c r="D170" s="964" t="s">
        <v>92</v>
      </c>
      <c r="E170" s="964"/>
      <c r="F170" s="964"/>
      <c r="G170" s="964"/>
      <c r="H170" s="964" t="s">
        <v>839</v>
      </c>
      <c r="I170" s="965" t="s">
        <v>419</v>
      </c>
      <c r="J170"/>
      <c r="K170"/>
      <c r="L170"/>
      <c r="M170"/>
      <c r="N170"/>
      <c r="O170"/>
      <c r="P170"/>
      <c r="Q170"/>
      <c r="R170"/>
      <c r="S170"/>
      <c r="T170"/>
      <c r="U170"/>
      <c r="V170"/>
      <c r="W170"/>
      <c r="X170"/>
      <c r="Y170"/>
      <c r="Z170"/>
      <c r="AA170"/>
      <c r="AB170"/>
    </row>
    <row r="171" spans="1:28" s="749" customFormat="1" ht="24.95" customHeight="1" x14ac:dyDescent="0.35">
      <c r="A171" s="968">
        <v>46111</v>
      </c>
      <c r="B171" s="986" t="s">
        <v>844</v>
      </c>
      <c r="C171" s="925"/>
      <c r="D171" s="964" t="s">
        <v>92</v>
      </c>
      <c r="E171" s="964"/>
      <c r="F171" s="964"/>
      <c r="G171" s="964"/>
      <c r="H171" s="964" t="s">
        <v>845</v>
      </c>
      <c r="I171" s="965">
        <v>24000</v>
      </c>
      <c r="J171"/>
      <c r="K171"/>
      <c r="L171"/>
      <c r="M171"/>
      <c r="N171"/>
      <c r="O171"/>
      <c r="P171"/>
      <c r="Q171"/>
      <c r="R171"/>
      <c r="S171"/>
      <c r="T171"/>
      <c r="U171"/>
      <c r="V171"/>
      <c r="W171"/>
      <c r="X171"/>
      <c r="Y171"/>
      <c r="Z171"/>
      <c r="AA171"/>
      <c r="AB171"/>
    </row>
    <row r="172" spans="1:28" s="749" customFormat="1" ht="24.95" customHeight="1" x14ac:dyDescent="0.35">
      <c r="A172" s="968">
        <v>46111</v>
      </c>
      <c r="B172" s="986" t="s">
        <v>847</v>
      </c>
      <c r="C172" s="925"/>
      <c r="D172" s="964" t="s">
        <v>848</v>
      </c>
      <c r="E172" s="964"/>
      <c r="F172" s="964"/>
      <c r="G172" s="964"/>
      <c r="H172" s="964" t="s">
        <v>849</v>
      </c>
      <c r="I172" s="965">
        <v>14616</v>
      </c>
      <c r="J172"/>
      <c r="K172"/>
      <c r="L172"/>
      <c r="M172"/>
      <c r="N172"/>
      <c r="O172"/>
      <c r="P172"/>
      <c r="Q172"/>
      <c r="R172"/>
      <c r="S172"/>
      <c r="T172"/>
      <c r="U172"/>
      <c r="V172"/>
      <c r="W172"/>
      <c r="X172"/>
      <c r="Y172"/>
      <c r="Z172"/>
      <c r="AA172"/>
      <c r="AB172"/>
    </row>
    <row r="173" spans="1:28" s="749" customFormat="1" ht="24.95" customHeight="1" x14ac:dyDescent="0.35">
      <c r="A173" s="968">
        <v>45964</v>
      </c>
      <c r="B173" s="986" t="s">
        <v>669</v>
      </c>
      <c r="C173" s="925"/>
      <c r="D173" s="964" t="s">
        <v>282</v>
      </c>
      <c r="E173" s="964"/>
      <c r="F173" s="964" t="s">
        <v>853</v>
      </c>
      <c r="G173" s="964"/>
      <c r="H173" s="964" t="s">
        <v>850</v>
      </c>
      <c r="I173" s="965">
        <v>216575</v>
      </c>
      <c r="J173"/>
      <c r="K173"/>
      <c r="L173"/>
      <c r="M173"/>
      <c r="N173"/>
      <c r="O173"/>
      <c r="P173"/>
      <c r="Q173"/>
      <c r="R173"/>
      <c r="S173"/>
      <c r="T173"/>
      <c r="U173"/>
      <c r="V173"/>
      <c r="W173"/>
      <c r="X173"/>
      <c r="Y173"/>
      <c r="Z173"/>
      <c r="AA173"/>
      <c r="AB173"/>
    </row>
    <row r="174" spans="1:28" s="749" customFormat="1" ht="24.95" customHeight="1" x14ac:dyDescent="0.35">
      <c r="A174" s="968">
        <v>46150</v>
      </c>
      <c r="B174" s="986" t="s">
        <v>669</v>
      </c>
      <c r="C174" s="925"/>
      <c r="D174" s="964" t="s">
        <v>282</v>
      </c>
      <c r="E174" s="964"/>
      <c r="F174" s="964"/>
      <c r="G174" s="964"/>
      <c r="H174" s="964" t="s">
        <v>861</v>
      </c>
      <c r="I174" s="965" t="s">
        <v>419</v>
      </c>
      <c r="J174"/>
      <c r="K174"/>
      <c r="L174"/>
      <c r="M174"/>
      <c r="N174"/>
      <c r="O174"/>
      <c r="P174"/>
      <c r="Q174"/>
      <c r="R174"/>
      <c r="S174"/>
      <c r="T174"/>
      <c r="U174"/>
      <c r="V174"/>
      <c r="W174"/>
      <c r="X174"/>
      <c r="Y174"/>
      <c r="Z174"/>
      <c r="AA174"/>
      <c r="AB174"/>
    </row>
    <row r="175" spans="1:28" s="749" customFormat="1" ht="24.95" customHeight="1" x14ac:dyDescent="0.35">
      <c r="A175" s="968">
        <v>46146</v>
      </c>
      <c r="B175" s="986" t="s">
        <v>869</v>
      </c>
      <c r="C175" s="925"/>
      <c r="D175" s="964" t="s">
        <v>282</v>
      </c>
      <c r="E175" s="964"/>
      <c r="F175" s="964" t="s">
        <v>871</v>
      </c>
      <c r="G175" s="964"/>
      <c r="H175" s="964" t="s">
        <v>865</v>
      </c>
      <c r="I175" s="965">
        <v>401320</v>
      </c>
      <c r="J175"/>
      <c r="K175"/>
      <c r="L175"/>
      <c r="M175"/>
      <c r="N175"/>
      <c r="O175"/>
      <c r="P175"/>
      <c r="Q175"/>
      <c r="R175"/>
      <c r="S175"/>
      <c r="T175"/>
      <c r="U175"/>
      <c r="V175"/>
      <c r="W175"/>
      <c r="X175"/>
      <c r="Y175"/>
      <c r="Z175"/>
      <c r="AA175"/>
      <c r="AB175"/>
    </row>
    <row r="176" spans="1:28" s="749" customFormat="1" ht="24.95" customHeight="1" x14ac:dyDescent="0.35">
      <c r="A176" s="968">
        <v>46151</v>
      </c>
      <c r="B176" s="986" t="s">
        <v>869</v>
      </c>
      <c r="C176" s="925"/>
      <c r="D176" s="964" t="s">
        <v>282</v>
      </c>
      <c r="E176" s="964"/>
      <c r="F176" s="964" t="s">
        <v>872</v>
      </c>
      <c r="G176" s="964"/>
      <c r="H176" s="964" t="s">
        <v>862</v>
      </c>
      <c r="I176" s="965">
        <v>258000</v>
      </c>
      <c r="J176"/>
      <c r="K176"/>
      <c r="L176"/>
      <c r="M176"/>
      <c r="N176"/>
      <c r="O176"/>
      <c r="P176"/>
      <c r="Q176"/>
      <c r="R176"/>
      <c r="S176"/>
      <c r="T176"/>
      <c r="U176"/>
      <c r="V176"/>
      <c r="W176"/>
      <c r="X176"/>
      <c r="Y176"/>
      <c r="Z176"/>
      <c r="AA176"/>
      <c r="AB176"/>
    </row>
    <row r="177" spans="1:28" s="749" customFormat="1" ht="24.95" customHeight="1" x14ac:dyDescent="0.35">
      <c r="A177" s="968">
        <v>46164</v>
      </c>
      <c r="B177" s="986" t="s">
        <v>869</v>
      </c>
      <c r="C177" s="925"/>
      <c r="D177" s="964" t="s">
        <v>282</v>
      </c>
      <c r="E177" s="964"/>
      <c r="F177" s="964"/>
      <c r="G177" s="964"/>
      <c r="H177" s="964" t="s">
        <v>870</v>
      </c>
      <c r="I177" s="965">
        <v>68000</v>
      </c>
      <c r="J177"/>
      <c r="K177"/>
      <c r="L177"/>
      <c r="M177"/>
      <c r="N177"/>
      <c r="O177"/>
      <c r="P177"/>
      <c r="Q177"/>
      <c r="R177"/>
      <c r="S177"/>
      <c r="T177"/>
      <c r="U177"/>
      <c r="V177"/>
      <c r="W177"/>
      <c r="X177"/>
      <c r="Y177"/>
      <c r="Z177"/>
      <c r="AA177"/>
      <c r="AB177"/>
    </row>
    <row r="178" spans="1:28" s="749" customFormat="1" ht="24.95" customHeight="1" x14ac:dyDescent="0.35">
      <c r="A178" s="968">
        <v>46167</v>
      </c>
      <c r="B178" s="986" t="s">
        <v>869</v>
      </c>
      <c r="C178" s="925"/>
      <c r="D178" s="964" t="s">
        <v>282</v>
      </c>
      <c r="E178" s="964"/>
      <c r="F178" s="964"/>
      <c r="G178" s="964"/>
      <c r="H178" s="964" t="s">
        <v>873</v>
      </c>
      <c r="I178" s="965">
        <v>39200</v>
      </c>
      <c r="J178"/>
      <c r="K178"/>
      <c r="L178"/>
      <c r="M178"/>
      <c r="N178"/>
      <c r="O178"/>
      <c r="P178"/>
      <c r="Q178"/>
      <c r="R178"/>
      <c r="S178"/>
      <c r="T178"/>
      <c r="U178"/>
      <c r="V178"/>
      <c r="W178"/>
      <c r="X178"/>
      <c r="Y178"/>
      <c r="Z178"/>
      <c r="AA178"/>
      <c r="AB178"/>
    </row>
    <row r="179" spans="1:28" s="749" customFormat="1" ht="24.95" customHeight="1" x14ac:dyDescent="0.35">
      <c r="A179" s="968">
        <v>46146</v>
      </c>
      <c r="B179" s="986" t="s">
        <v>858</v>
      </c>
      <c r="C179" s="925"/>
      <c r="D179" s="964" t="s">
        <v>90</v>
      </c>
      <c r="E179" s="964"/>
      <c r="F179" s="964"/>
      <c r="G179" s="964"/>
      <c r="H179" s="964" t="s">
        <v>859</v>
      </c>
      <c r="I179" s="965" t="s">
        <v>419</v>
      </c>
      <c r="J179"/>
      <c r="K179"/>
      <c r="L179"/>
      <c r="M179"/>
      <c r="N179"/>
      <c r="O179"/>
      <c r="P179"/>
      <c r="Q179"/>
      <c r="R179"/>
      <c r="S179"/>
      <c r="T179"/>
      <c r="U179"/>
      <c r="V179"/>
      <c r="W179"/>
      <c r="X179"/>
      <c r="Y179"/>
      <c r="Z179"/>
      <c r="AA179"/>
      <c r="AB179"/>
    </row>
    <row r="180" spans="1:28" s="749" customFormat="1" ht="24.95" customHeight="1" x14ac:dyDescent="0.35">
      <c r="A180" s="968">
        <v>46154</v>
      </c>
      <c r="B180" s="986" t="s">
        <v>858</v>
      </c>
      <c r="C180" s="925"/>
      <c r="D180" s="964" t="s">
        <v>90</v>
      </c>
      <c r="E180" s="964"/>
      <c r="F180" s="964"/>
      <c r="G180" s="964"/>
      <c r="H180" s="964" t="s">
        <v>860</v>
      </c>
      <c r="I180" s="965" t="s">
        <v>419</v>
      </c>
      <c r="J180"/>
      <c r="K180"/>
      <c r="L180"/>
      <c r="M180"/>
      <c r="N180"/>
      <c r="O180"/>
      <c r="P180"/>
      <c r="Q180"/>
      <c r="R180"/>
      <c r="S180"/>
      <c r="T180"/>
      <c r="U180"/>
      <c r="V180"/>
      <c r="W180"/>
      <c r="X180"/>
      <c r="Y180"/>
      <c r="Z180"/>
      <c r="AA180"/>
      <c r="AB180"/>
    </row>
    <row r="181" spans="1:28" s="749" customFormat="1" ht="24.95" customHeight="1" x14ac:dyDescent="0.35">
      <c r="A181" s="968">
        <v>46157</v>
      </c>
      <c r="B181" s="986" t="s">
        <v>866</v>
      </c>
      <c r="C181" s="925"/>
      <c r="D181" s="964" t="s">
        <v>90</v>
      </c>
      <c r="E181" s="964"/>
      <c r="F181" s="964"/>
      <c r="G181" s="964"/>
      <c r="H181" s="964" t="s">
        <v>867</v>
      </c>
      <c r="I181" s="965">
        <v>22300</v>
      </c>
      <c r="J181"/>
      <c r="K181"/>
      <c r="L181"/>
      <c r="M181"/>
      <c r="N181"/>
      <c r="O181"/>
      <c r="P181"/>
      <c r="Q181"/>
      <c r="R181"/>
      <c r="S181"/>
      <c r="T181"/>
      <c r="U181"/>
      <c r="V181"/>
      <c r="W181"/>
      <c r="X181"/>
      <c r="Y181"/>
      <c r="Z181"/>
      <c r="AA181"/>
      <c r="AB181"/>
    </row>
    <row r="182" spans="1:28" s="749" customFormat="1" ht="24.95" customHeight="1" x14ac:dyDescent="0.35">
      <c r="A182" s="968">
        <v>46177</v>
      </c>
      <c r="B182" s="986" t="s">
        <v>866</v>
      </c>
      <c r="C182" s="925"/>
      <c r="D182" s="964" t="s">
        <v>90</v>
      </c>
      <c r="E182" s="964"/>
      <c r="F182" s="964"/>
      <c r="G182" s="964"/>
      <c r="H182" s="964" t="s">
        <v>885</v>
      </c>
      <c r="I182" s="965">
        <v>135000</v>
      </c>
      <c r="J182"/>
      <c r="K182"/>
      <c r="L182"/>
      <c r="M182"/>
      <c r="N182"/>
      <c r="O182"/>
      <c r="P182"/>
      <c r="Q182"/>
      <c r="R182"/>
      <c r="S182"/>
      <c r="T182"/>
      <c r="U182"/>
      <c r="V182"/>
      <c r="W182"/>
      <c r="X182"/>
      <c r="Y182"/>
      <c r="Z182"/>
      <c r="AA182"/>
      <c r="AB182"/>
    </row>
    <row r="183" spans="1:28" s="749" customFormat="1" ht="24.95" customHeight="1" x14ac:dyDescent="0.35">
      <c r="A183" s="968"/>
      <c r="B183" s="986"/>
      <c r="C183" s="925"/>
      <c r="D183" s="964"/>
      <c r="E183" s="964"/>
      <c r="F183" s="964"/>
      <c r="G183" s="964"/>
      <c r="H183" s="964"/>
      <c r="I183" s="965"/>
      <c r="J183"/>
      <c r="K183"/>
      <c r="L183"/>
      <c r="M183"/>
      <c r="N183"/>
      <c r="O183"/>
      <c r="P183"/>
      <c r="Q183"/>
      <c r="R183"/>
      <c r="S183"/>
      <c r="T183"/>
      <c r="U183"/>
      <c r="V183"/>
      <c r="W183"/>
      <c r="X183"/>
      <c r="Y183"/>
      <c r="Z183"/>
      <c r="AA183"/>
      <c r="AB183"/>
    </row>
    <row r="184" spans="1:28" s="889" customFormat="1" ht="24.95" customHeight="1" x14ac:dyDescent="0.35">
      <c r="A184" s="939"/>
      <c r="B184" s="984" t="s">
        <v>7</v>
      </c>
      <c r="C184" s="700"/>
      <c r="D184" s="612" t="s">
        <v>140</v>
      </c>
      <c r="E184" s="612"/>
      <c r="F184" s="700"/>
      <c r="G184" s="700"/>
      <c r="H184" s="614"/>
      <c r="I184" s="985">
        <f>SUM(I7:I182)</f>
        <v>25017743.700000003</v>
      </c>
      <c r="J184"/>
      <c r="K184"/>
      <c r="L184"/>
      <c r="M184"/>
      <c r="N184"/>
      <c r="O184"/>
      <c r="P184"/>
      <c r="Q184"/>
      <c r="R184"/>
      <c r="S184"/>
      <c r="T184"/>
      <c r="U184"/>
      <c r="V184"/>
      <c r="W184"/>
      <c r="X184"/>
      <c r="Y184"/>
      <c r="Z184"/>
      <c r="AA184"/>
      <c r="AB184"/>
    </row>
    <row r="185" spans="1:28" ht="24.95" customHeight="1" x14ac:dyDescent="0.35">
      <c r="A185" s="940" t="s">
        <v>64</v>
      </c>
      <c r="G185" s="658" t="s">
        <v>64</v>
      </c>
    </row>
    <row r="186" spans="1:28" ht="24.95" customHeight="1" x14ac:dyDescent="0.35"/>
    <row r="187" spans="1:28" ht="24.95" customHeight="1" x14ac:dyDescent="0.35">
      <c r="F187" s="524" t="s">
        <v>486</v>
      </c>
    </row>
    <row r="188" spans="1:28" ht="24.95" customHeight="1" x14ac:dyDescent="0.35">
      <c r="G188" s="658" t="s">
        <v>64</v>
      </c>
    </row>
    <row r="189" spans="1:28" ht="23.25" customHeight="1" x14ac:dyDescent="0.35">
      <c r="D189" s="524"/>
      <c r="E189" s="524"/>
      <c r="H189" s="524"/>
      <c r="I189" s="524"/>
    </row>
    <row r="190" spans="1:28" ht="24.95" customHeight="1" x14ac:dyDescent="0.35"/>
    <row r="191" spans="1:28" ht="24.95" customHeight="1" x14ac:dyDescent="0.35"/>
    <row r="192" spans="1:28" ht="24.95" customHeight="1" x14ac:dyDescent="0.35"/>
    <row r="193" ht="24.95" customHeight="1" x14ac:dyDescent="0.35"/>
    <row r="194" ht="24.95" customHeight="1" x14ac:dyDescent="0.35"/>
    <row r="195" ht="24.95" customHeight="1" x14ac:dyDescent="0.35"/>
    <row r="196" ht="24.95" customHeight="1" x14ac:dyDescent="0.35"/>
    <row r="197" ht="24.95" customHeight="1" x14ac:dyDescent="0.35"/>
    <row r="198" ht="24.95" customHeight="1" x14ac:dyDescent="0.35"/>
    <row r="199" ht="24.95" customHeight="1" x14ac:dyDescent="0.35"/>
    <row r="200" ht="24.95" customHeight="1" x14ac:dyDescent="0.35"/>
    <row r="201" ht="24.95" customHeight="1" x14ac:dyDescent="0.35"/>
    <row r="202" ht="24.95" customHeight="1" x14ac:dyDescent="0.35"/>
  </sheetData>
  <pageMargins left="0.70866141732283472" right="0.70866141732283472" top="0.74803149606299213" bottom="0.74803149606299213" header="0.31496062992125984" footer="0.31496062992125984"/>
  <pageSetup paperSize="9" scale="55"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workbookViewId="0">
      <pane ySplit="6" topLeftCell="A129" activePane="bottomLeft" state="frozen"/>
      <selection pane="bottomLeft" activeCell="J134" sqref="J134"/>
    </sheetView>
  </sheetViews>
  <sheetFormatPr defaultColWidth="23.85546875" defaultRowHeight="23.25" x14ac:dyDescent="0.35"/>
  <cols>
    <col min="1" max="1" width="23.85546875" style="940"/>
    <col min="2" max="2" width="67.28515625" style="657" customWidth="1"/>
    <col min="3" max="3" width="19.42578125" style="524" customWidth="1"/>
    <col min="4" max="4" width="13" style="657" customWidth="1"/>
    <col min="5" max="5" width="10.42578125" style="657" customWidth="1"/>
    <col min="6" max="6" width="12.140625" style="524" customWidth="1"/>
    <col min="7" max="7" width="9.7109375" style="658" customWidth="1"/>
    <col min="8" max="8" width="51.42578125" style="659" customWidth="1"/>
    <col min="9" max="10" width="26" style="661" customWidth="1"/>
    <col min="11" max="11" width="23.85546875" style="336"/>
    <col min="29" max="16384" width="23.85546875" style="524"/>
  </cols>
  <sheetData>
    <row r="1" spans="1:28" ht="24.95" customHeight="1" x14ac:dyDescent="0.35">
      <c r="A1" s="935" t="s">
        <v>598</v>
      </c>
      <c r="B1" s="517"/>
      <c r="C1" s="518"/>
      <c r="D1" s="942"/>
      <c r="E1" s="942"/>
      <c r="F1" s="516"/>
      <c r="G1" s="516"/>
      <c r="H1" s="518"/>
      <c r="I1" s="520"/>
      <c r="J1" s="520"/>
    </row>
    <row r="2" spans="1:28" ht="24.95" customHeight="1" x14ac:dyDescent="0.35">
      <c r="A2" s="936" t="s">
        <v>9</v>
      </c>
      <c r="B2" s="528"/>
      <c r="C2" s="529"/>
      <c r="D2" s="943"/>
      <c r="E2" s="943"/>
      <c r="F2" s="527"/>
      <c r="G2" s="527"/>
      <c r="H2" s="529"/>
      <c r="I2" s="531"/>
      <c r="J2" s="531"/>
    </row>
    <row r="3" spans="1:28" ht="24.95" customHeight="1" x14ac:dyDescent="0.35">
      <c r="A3" s="936" t="s">
        <v>10</v>
      </c>
      <c r="B3" s="528"/>
      <c r="C3" s="529"/>
      <c r="D3" s="943"/>
      <c r="E3" s="943"/>
      <c r="F3" s="527"/>
      <c r="G3" s="527"/>
      <c r="H3" s="529"/>
      <c r="I3" s="535"/>
      <c r="J3" s="535"/>
    </row>
    <row r="4" spans="1:28" ht="24.95" customHeight="1" x14ac:dyDescent="0.35">
      <c r="A4" s="936" t="s">
        <v>875</v>
      </c>
      <c r="B4" s="528"/>
      <c r="C4" s="529"/>
      <c r="D4" s="943"/>
      <c r="E4" s="943"/>
      <c r="F4" s="527"/>
      <c r="G4" s="527"/>
      <c r="H4" s="529"/>
      <c r="I4" s="535"/>
      <c r="J4" s="535"/>
    </row>
    <row r="5" spans="1:28" ht="24.95" customHeight="1" x14ac:dyDescent="0.35">
      <c r="A5" s="938"/>
      <c r="B5" s="528"/>
      <c r="C5" s="527"/>
      <c r="D5" s="528"/>
      <c r="E5" s="528"/>
      <c r="F5" s="527"/>
      <c r="G5" s="527"/>
      <c r="H5" s="529"/>
      <c r="I5" s="541"/>
      <c r="J5" s="541"/>
    </row>
    <row r="6" spans="1:28" s="565" customFormat="1" ht="24.95" customHeight="1" x14ac:dyDescent="0.4">
      <c r="A6" s="937" t="s">
        <v>0</v>
      </c>
      <c r="B6" s="547" t="s">
        <v>1</v>
      </c>
      <c r="C6" s="546" t="s">
        <v>739</v>
      </c>
      <c r="D6" s="547" t="s">
        <v>89</v>
      </c>
      <c r="E6" s="545" t="s">
        <v>933</v>
      </c>
      <c r="F6" s="546" t="s">
        <v>934</v>
      </c>
      <c r="G6" s="546" t="s">
        <v>935</v>
      </c>
      <c r="H6" s="546" t="s">
        <v>4</v>
      </c>
      <c r="I6" s="550" t="s">
        <v>11</v>
      </c>
      <c r="J6" s="550" t="s">
        <v>11</v>
      </c>
      <c r="K6" s="1008" t="s">
        <v>901</v>
      </c>
      <c r="L6"/>
      <c r="M6"/>
      <c r="N6"/>
      <c r="O6"/>
      <c r="P6"/>
      <c r="Q6"/>
      <c r="R6"/>
      <c r="S6"/>
      <c r="T6"/>
      <c r="U6"/>
      <c r="V6"/>
      <c r="W6"/>
      <c r="X6"/>
      <c r="Y6"/>
      <c r="Z6"/>
      <c r="AA6"/>
      <c r="AB6"/>
    </row>
    <row r="7" spans="1:28" s="760" customFormat="1" ht="24.95" customHeight="1" x14ac:dyDescent="0.35">
      <c r="A7" s="967">
        <v>43878</v>
      </c>
      <c r="B7" s="930" t="s">
        <v>63</v>
      </c>
      <c r="C7" s="925"/>
      <c r="D7" s="925" t="s">
        <v>90</v>
      </c>
      <c r="E7" s="925"/>
      <c r="F7" s="925"/>
      <c r="G7" s="925"/>
      <c r="H7" s="925" t="s">
        <v>102</v>
      </c>
      <c r="I7" s="965">
        <v>33421.01</v>
      </c>
      <c r="J7" s="965">
        <v>33421.01</v>
      </c>
      <c r="K7" s="1009"/>
      <c r="L7"/>
      <c r="M7"/>
      <c r="N7"/>
      <c r="O7"/>
      <c r="P7"/>
      <c r="Q7"/>
      <c r="R7"/>
      <c r="S7"/>
      <c r="T7"/>
      <c r="U7"/>
      <c r="V7"/>
      <c r="W7"/>
      <c r="X7"/>
      <c r="Y7"/>
      <c r="Z7"/>
      <c r="AA7"/>
      <c r="AB7"/>
    </row>
    <row r="8" spans="1:28" s="771" customFormat="1" ht="24.95" customHeight="1" x14ac:dyDescent="0.35">
      <c r="A8" s="968">
        <v>44092</v>
      </c>
      <c r="B8" s="930" t="s">
        <v>647</v>
      </c>
      <c r="C8" s="925"/>
      <c r="D8" s="925" t="s">
        <v>92</v>
      </c>
      <c r="E8" s="925"/>
      <c r="F8" s="925"/>
      <c r="G8" s="964"/>
      <c r="H8" s="964" t="s">
        <v>648</v>
      </c>
      <c r="I8" s="966">
        <v>108000</v>
      </c>
      <c r="J8" s="966">
        <v>108000</v>
      </c>
      <c r="K8" s="1009"/>
      <c r="L8"/>
      <c r="M8"/>
      <c r="N8"/>
      <c r="O8"/>
      <c r="P8"/>
      <c r="Q8"/>
      <c r="R8"/>
      <c r="S8"/>
      <c r="T8"/>
      <c r="U8"/>
      <c r="V8"/>
      <c r="W8"/>
      <c r="X8"/>
      <c r="Y8"/>
      <c r="Z8"/>
      <c r="AA8"/>
      <c r="AB8"/>
    </row>
    <row r="9" spans="1:28" s="782" customFormat="1" ht="24.95" customHeight="1" x14ac:dyDescent="0.35">
      <c r="A9" s="968">
        <v>44352</v>
      </c>
      <c r="B9" s="930" t="s">
        <v>107</v>
      </c>
      <c r="C9" s="925"/>
      <c r="D9" s="925" t="s">
        <v>90</v>
      </c>
      <c r="E9" s="925"/>
      <c r="F9" s="964"/>
      <c r="G9" s="964">
        <v>1918</v>
      </c>
      <c r="H9" s="964">
        <v>4457</v>
      </c>
      <c r="I9" s="966">
        <v>36289.599999999999</v>
      </c>
      <c r="J9" s="966">
        <v>36289.599999999999</v>
      </c>
      <c r="K9" s="1009"/>
      <c r="L9"/>
      <c r="M9"/>
      <c r="N9"/>
      <c r="O9"/>
      <c r="P9"/>
      <c r="Q9"/>
      <c r="R9"/>
      <c r="S9"/>
      <c r="T9"/>
      <c r="U9"/>
      <c r="V9"/>
      <c r="W9"/>
      <c r="X9"/>
      <c r="Y9"/>
      <c r="Z9"/>
      <c r="AA9"/>
      <c r="AB9"/>
    </row>
    <row r="10" spans="1:28" s="782" customFormat="1" ht="24.95" customHeight="1" x14ac:dyDescent="0.35">
      <c r="A10" s="968">
        <v>44413</v>
      </c>
      <c r="B10" s="930" t="s">
        <v>107</v>
      </c>
      <c r="C10" s="925"/>
      <c r="D10" s="925" t="s">
        <v>90</v>
      </c>
      <c r="E10" s="925"/>
      <c r="F10" s="964"/>
      <c r="G10" s="964"/>
      <c r="H10" s="964">
        <v>4457</v>
      </c>
      <c r="I10" s="966">
        <v>176976.8</v>
      </c>
      <c r="J10" s="966">
        <v>176976.8</v>
      </c>
      <c r="K10" s="1009"/>
      <c r="L10"/>
      <c r="M10"/>
      <c r="N10"/>
      <c r="O10"/>
      <c r="P10"/>
      <c r="Q10"/>
      <c r="R10"/>
      <c r="S10"/>
      <c r="T10"/>
      <c r="U10"/>
      <c r="V10"/>
      <c r="W10"/>
      <c r="X10"/>
      <c r="Y10"/>
      <c r="Z10"/>
      <c r="AA10"/>
      <c r="AB10"/>
    </row>
    <row r="11" spans="1:28" s="782" customFormat="1" ht="24.95" customHeight="1" x14ac:dyDescent="0.35">
      <c r="A11" s="968">
        <v>44420</v>
      </c>
      <c r="B11" s="930" t="s">
        <v>108</v>
      </c>
      <c r="C11" s="925"/>
      <c r="D11" s="925" t="s">
        <v>90</v>
      </c>
      <c r="E11" s="925"/>
      <c r="F11" s="964"/>
      <c r="G11" s="964"/>
      <c r="H11" s="964" t="s">
        <v>120</v>
      </c>
      <c r="I11" s="965">
        <v>470000</v>
      </c>
      <c r="J11" s="965">
        <v>470000</v>
      </c>
      <c r="K11" s="1009"/>
      <c r="L11"/>
      <c r="M11"/>
      <c r="N11"/>
      <c r="O11"/>
      <c r="P11"/>
      <c r="Q11"/>
      <c r="R11"/>
      <c r="S11"/>
      <c r="T11"/>
      <c r="U11"/>
      <c r="V11"/>
      <c r="W11"/>
      <c r="X11"/>
      <c r="Y11"/>
      <c r="Z11"/>
      <c r="AA11"/>
      <c r="AB11"/>
    </row>
    <row r="12" spans="1:28" s="775" customFormat="1" ht="24.95" customHeight="1" x14ac:dyDescent="0.35">
      <c r="A12" s="968">
        <v>44480</v>
      </c>
      <c r="B12" s="930" t="s">
        <v>43</v>
      </c>
      <c r="C12" s="925"/>
      <c r="D12" s="964" t="s">
        <v>90</v>
      </c>
      <c r="E12" s="964"/>
      <c r="F12" s="964"/>
      <c r="G12" s="925">
        <v>2019</v>
      </c>
      <c r="H12" s="964" t="s">
        <v>132</v>
      </c>
      <c r="I12" s="965">
        <v>147281.20000000001</v>
      </c>
      <c r="J12" s="965">
        <v>147281.20000000001</v>
      </c>
      <c r="K12" s="1009"/>
      <c r="L12"/>
      <c r="M12"/>
      <c r="N12"/>
      <c r="O12"/>
      <c r="P12"/>
      <c r="Q12"/>
      <c r="R12"/>
      <c r="S12"/>
      <c r="T12"/>
      <c r="U12"/>
      <c r="V12"/>
      <c r="W12"/>
      <c r="X12"/>
      <c r="Y12"/>
      <c r="Z12"/>
      <c r="AA12"/>
      <c r="AB12"/>
    </row>
    <row r="13" spans="1:28" s="775" customFormat="1" ht="24.95" customHeight="1" x14ac:dyDescent="0.35">
      <c r="A13" s="968">
        <v>44824</v>
      </c>
      <c r="B13" s="930" t="s">
        <v>43</v>
      </c>
      <c r="C13" s="925"/>
      <c r="D13" s="964" t="s">
        <v>90</v>
      </c>
      <c r="E13" s="964"/>
      <c r="F13" s="964"/>
      <c r="G13" s="925">
        <v>2162</v>
      </c>
      <c r="H13" s="964">
        <v>5218</v>
      </c>
      <c r="I13" s="965">
        <v>54650</v>
      </c>
      <c r="J13" s="965">
        <v>54650</v>
      </c>
      <c r="K13" s="1009"/>
      <c r="L13"/>
      <c r="M13"/>
      <c r="N13"/>
      <c r="O13"/>
      <c r="P13"/>
      <c r="Q13"/>
      <c r="R13"/>
      <c r="S13"/>
      <c r="T13"/>
      <c r="U13"/>
      <c r="V13"/>
      <c r="W13"/>
      <c r="X13"/>
      <c r="Y13"/>
      <c r="Z13"/>
      <c r="AA13"/>
      <c r="AB13"/>
    </row>
    <row r="14" spans="1:28" s="775" customFormat="1" ht="24.95" customHeight="1" x14ac:dyDescent="0.35">
      <c r="A14" s="968">
        <v>44839</v>
      </c>
      <c r="B14" s="930" t="s">
        <v>43</v>
      </c>
      <c r="C14" s="925"/>
      <c r="D14" s="964" t="s">
        <v>90</v>
      </c>
      <c r="E14" s="964"/>
      <c r="F14" s="964"/>
      <c r="G14" s="925">
        <v>2140</v>
      </c>
      <c r="H14" s="964">
        <v>5248</v>
      </c>
      <c r="I14" s="965">
        <v>25000</v>
      </c>
      <c r="J14" s="965">
        <v>25000</v>
      </c>
      <c r="K14" s="1009"/>
      <c r="L14"/>
      <c r="M14"/>
      <c r="N14"/>
      <c r="O14"/>
      <c r="P14"/>
      <c r="Q14"/>
      <c r="R14"/>
      <c r="S14"/>
      <c r="T14"/>
      <c r="U14"/>
      <c r="V14"/>
      <c r="W14"/>
      <c r="X14"/>
      <c r="Y14"/>
      <c r="Z14"/>
      <c r="AA14"/>
      <c r="AB14"/>
    </row>
    <row r="15" spans="1:28" s="775" customFormat="1" ht="24.95" customHeight="1" x14ac:dyDescent="0.35">
      <c r="A15" s="968">
        <v>45458</v>
      </c>
      <c r="B15" s="930" t="s">
        <v>43</v>
      </c>
      <c r="C15" s="925"/>
      <c r="D15" s="964" t="s">
        <v>90</v>
      </c>
      <c r="E15" s="964"/>
      <c r="F15" s="964"/>
      <c r="G15" s="925">
        <v>2355</v>
      </c>
      <c r="H15" s="964" t="s">
        <v>290</v>
      </c>
      <c r="I15" s="965">
        <v>11059.82</v>
      </c>
      <c r="J15" s="965">
        <v>11059.82</v>
      </c>
      <c r="K15" s="1009"/>
      <c r="L15"/>
      <c r="M15"/>
      <c r="N15"/>
      <c r="O15"/>
      <c r="P15"/>
      <c r="Q15"/>
      <c r="R15"/>
      <c r="S15"/>
      <c r="T15"/>
      <c r="U15"/>
      <c r="V15"/>
      <c r="W15"/>
      <c r="X15"/>
      <c r="Y15"/>
      <c r="Z15"/>
      <c r="AA15"/>
      <c r="AB15"/>
    </row>
    <row r="16" spans="1:28" s="775" customFormat="1" ht="24.95" customHeight="1" x14ac:dyDescent="0.35">
      <c r="A16" s="968" t="s">
        <v>421</v>
      </c>
      <c r="B16" s="930" t="s">
        <v>43</v>
      </c>
      <c r="C16" s="925"/>
      <c r="D16" s="964" t="s">
        <v>90</v>
      </c>
      <c r="E16" s="964"/>
      <c r="F16" s="964"/>
      <c r="G16" s="925"/>
      <c r="H16" s="964">
        <v>5987</v>
      </c>
      <c r="I16" s="965" t="s">
        <v>419</v>
      </c>
      <c r="J16" s="965" t="s">
        <v>419</v>
      </c>
      <c r="K16" s="1009"/>
      <c r="L16"/>
      <c r="M16"/>
      <c r="N16"/>
      <c r="O16"/>
      <c r="P16"/>
      <c r="Q16"/>
      <c r="R16"/>
      <c r="S16"/>
      <c r="T16"/>
      <c r="U16"/>
      <c r="V16"/>
      <c r="W16"/>
      <c r="X16"/>
      <c r="Y16"/>
      <c r="Z16"/>
      <c r="AA16"/>
      <c r="AB16"/>
    </row>
    <row r="17" spans="1:28" s="775" customFormat="1" ht="24.95" customHeight="1" x14ac:dyDescent="0.35">
      <c r="A17" s="968">
        <v>46087</v>
      </c>
      <c r="B17" s="930" t="s">
        <v>43</v>
      </c>
      <c r="C17" s="925"/>
      <c r="D17" s="964" t="s">
        <v>90</v>
      </c>
      <c r="E17" s="964"/>
      <c r="F17" s="964"/>
      <c r="G17" s="925"/>
      <c r="H17" s="964" t="s">
        <v>817</v>
      </c>
      <c r="I17" s="965">
        <v>144000</v>
      </c>
      <c r="J17" s="965">
        <v>144000</v>
      </c>
      <c r="K17" s="1009"/>
      <c r="L17"/>
      <c r="M17"/>
      <c r="N17"/>
      <c r="O17"/>
      <c r="P17"/>
      <c r="Q17"/>
      <c r="R17"/>
      <c r="S17"/>
      <c r="T17"/>
      <c r="U17"/>
      <c r="V17"/>
      <c r="W17"/>
      <c r="X17"/>
      <c r="Y17"/>
      <c r="Z17"/>
      <c r="AA17"/>
      <c r="AB17"/>
    </row>
    <row r="18" spans="1:28" s="782" customFormat="1" ht="24.95" customHeight="1" x14ac:dyDescent="0.35">
      <c r="A18" s="968">
        <v>44589</v>
      </c>
      <c r="B18" s="930" t="s">
        <v>125</v>
      </c>
      <c r="C18" s="925"/>
      <c r="D18" s="925" t="s">
        <v>90</v>
      </c>
      <c r="E18" s="925"/>
      <c r="F18" s="964"/>
      <c r="G18" s="964"/>
      <c r="H18" s="964">
        <v>4880</v>
      </c>
      <c r="I18" s="965">
        <v>37000</v>
      </c>
      <c r="J18" s="965">
        <v>37000</v>
      </c>
      <c r="K18" s="1009"/>
      <c r="L18"/>
      <c r="M18"/>
      <c r="N18"/>
      <c r="O18"/>
      <c r="P18"/>
      <c r="Q18"/>
      <c r="R18"/>
      <c r="S18"/>
      <c r="T18"/>
      <c r="U18"/>
      <c r="V18"/>
      <c r="W18"/>
      <c r="X18"/>
      <c r="Y18"/>
      <c r="Z18"/>
      <c r="AA18"/>
      <c r="AB18"/>
    </row>
    <row r="19" spans="1:28" s="782" customFormat="1" ht="24.95" customHeight="1" x14ac:dyDescent="0.35">
      <c r="A19" s="968">
        <v>44607</v>
      </c>
      <c r="B19" s="930" t="s">
        <v>649</v>
      </c>
      <c r="C19" s="925"/>
      <c r="D19" s="925" t="s">
        <v>90</v>
      </c>
      <c r="E19" s="925">
        <v>736</v>
      </c>
      <c r="F19" s="964"/>
      <c r="G19" s="964"/>
      <c r="H19" s="964" t="s">
        <v>902</v>
      </c>
      <c r="I19" s="965">
        <v>16076.04</v>
      </c>
      <c r="J19" s="965">
        <v>16076.04</v>
      </c>
      <c r="K19" s="1009"/>
      <c r="L19"/>
      <c r="M19"/>
      <c r="N19"/>
      <c r="O19"/>
      <c r="P19"/>
      <c r="Q19"/>
      <c r="R19"/>
      <c r="S19"/>
      <c r="T19"/>
      <c r="U19"/>
      <c r="V19"/>
      <c r="W19"/>
      <c r="X19"/>
      <c r="Y19"/>
      <c r="Z19"/>
      <c r="AA19"/>
      <c r="AB19"/>
    </row>
    <row r="20" spans="1:28" s="749" customFormat="1" ht="24.95" customHeight="1" x14ac:dyDescent="0.35">
      <c r="A20" s="968">
        <v>44609</v>
      </c>
      <c r="B20" s="930" t="s">
        <v>649</v>
      </c>
      <c r="C20" s="925"/>
      <c r="D20" s="964" t="s">
        <v>90</v>
      </c>
      <c r="E20" s="964">
        <v>734</v>
      </c>
      <c r="F20" s="964"/>
      <c r="G20" s="964"/>
      <c r="H20" s="964" t="s">
        <v>118</v>
      </c>
      <c r="I20" s="965">
        <v>7186.99</v>
      </c>
      <c r="J20" s="965">
        <v>7186.99</v>
      </c>
      <c r="K20" s="1009"/>
      <c r="L20"/>
      <c r="M20"/>
      <c r="N20"/>
      <c r="O20"/>
      <c r="P20"/>
      <c r="Q20"/>
      <c r="R20"/>
      <c r="S20"/>
      <c r="T20"/>
      <c r="U20"/>
      <c r="V20"/>
      <c r="W20"/>
      <c r="X20"/>
      <c r="Y20"/>
      <c r="Z20"/>
      <c r="AA20"/>
      <c r="AB20"/>
    </row>
    <row r="21" spans="1:28" s="749" customFormat="1" ht="24.95" customHeight="1" x14ac:dyDescent="0.35">
      <c r="A21" s="968">
        <v>44714</v>
      </c>
      <c r="B21" s="930" t="s">
        <v>649</v>
      </c>
      <c r="C21" s="925"/>
      <c r="D21" s="964" t="s">
        <v>90</v>
      </c>
      <c r="E21" s="964"/>
      <c r="F21" s="964"/>
      <c r="G21" s="964">
        <v>2062</v>
      </c>
      <c r="H21" s="964" t="s">
        <v>118</v>
      </c>
      <c r="I21" s="965">
        <v>77456</v>
      </c>
      <c r="J21" s="965">
        <v>77456</v>
      </c>
      <c r="K21" s="1009"/>
      <c r="L21"/>
      <c r="M21"/>
      <c r="N21"/>
      <c r="O21"/>
      <c r="P21"/>
      <c r="Q21"/>
      <c r="R21"/>
      <c r="S21"/>
      <c r="T21"/>
      <c r="U21"/>
      <c r="V21"/>
      <c r="W21"/>
      <c r="X21"/>
      <c r="Y21"/>
      <c r="Z21"/>
      <c r="AA21"/>
      <c r="AB21"/>
    </row>
    <row r="22" spans="1:28" s="749" customFormat="1" ht="24.95" customHeight="1" x14ac:dyDescent="0.35">
      <c r="A22" s="968">
        <v>44734</v>
      </c>
      <c r="B22" s="930" t="s">
        <v>649</v>
      </c>
      <c r="C22" s="925"/>
      <c r="D22" s="964" t="s">
        <v>90</v>
      </c>
      <c r="E22" s="964">
        <v>743</v>
      </c>
      <c r="F22" s="964"/>
      <c r="G22" s="964"/>
      <c r="H22" s="964" t="s">
        <v>118</v>
      </c>
      <c r="I22" s="965">
        <v>72499.08</v>
      </c>
      <c r="J22" s="965">
        <v>72499.08</v>
      </c>
      <c r="K22" s="1009"/>
      <c r="L22"/>
      <c r="M22"/>
      <c r="N22"/>
      <c r="O22"/>
      <c r="P22"/>
      <c r="Q22"/>
      <c r="R22"/>
      <c r="S22"/>
      <c r="T22"/>
      <c r="U22"/>
      <c r="V22"/>
      <c r="W22"/>
      <c r="X22"/>
      <c r="Y22"/>
      <c r="Z22"/>
      <c r="AA22"/>
      <c r="AB22"/>
    </row>
    <row r="23" spans="1:28" s="749" customFormat="1" ht="24.95" customHeight="1" x14ac:dyDescent="0.35">
      <c r="A23" s="968">
        <v>44741</v>
      </c>
      <c r="B23" s="930" t="s">
        <v>649</v>
      </c>
      <c r="C23" s="925"/>
      <c r="D23" s="964" t="s">
        <v>90</v>
      </c>
      <c r="E23" s="964">
        <v>757</v>
      </c>
      <c r="F23" s="964"/>
      <c r="G23" s="964"/>
      <c r="H23" s="964">
        <v>5908</v>
      </c>
      <c r="I23" s="965">
        <v>510</v>
      </c>
      <c r="J23" s="965">
        <v>510</v>
      </c>
      <c r="K23" s="1009"/>
      <c r="L23"/>
      <c r="M23"/>
      <c r="N23"/>
      <c r="O23"/>
      <c r="P23"/>
      <c r="Q23"/>
      <c r="R23"/>
      <c r="S23"/>
      <c r="T23"/>
      <c r="U23"/>
      <c r="V23"/>
      <c r="W23"/>
      <c r="X23"/>
      <c r="Y23"/>
      <c r="Z23"/>
      <c r="AA23"/>
      <c r="AB23"/>
    </row>
    <row r="24" spans="1:28" s="749" customFormat="1" ht="24.95" customHeight="1" x14ac:dyDescent="0.35">
      <c r="A24" s="968">
        <v>44855</v>
      </c>
      <c r="B24" s="930" t="s">
        <v>649</v>
      </c>
      <c r="C24" s="925"/>
      <c r="D24" s="964" t="s">
        <v>90</v>
      </c>
      <c r="E24" s="964">
        <v>755</v>
      </c>
      <c r="F24" s="964"/>
      <c r="G24" s="964"/>
      <c r="H24" s="964">
        <v>5739</v>
      </c>
      <c r="I24" s="965">
        <v>6650</v>
      </c>
      <c r="J24" s="965">
        <v>6650</v>
      </c>
      <c r="K24" s="1009"/>
      <c r="L24"/>
      <c r="M24"/>
      <c r="N24"/>
      <c r="O24"/>
      <c r="P24"/>
      <c r="Q24"/>
      <c r="R24"/>
      <c r="S24"/>
      <c r="T24"/>
      <c r="U24"/>
      <c r="V24"/>
      <c r="W24"/>
      <c r="X24"/>
      <c r="Y24"/>
      <c r="Z24"/>
      <c r="AA24"/>
      <c r="AB24"/>
    </row>
    <row r="25" spans="1:28" s="749" customFormat="1" ht="24.95" customHeight="1" x14ac:dyDescent="0.35">
      <c r="A25" s="968">
        <v>44855</v>
      </c>
      <c r="B25" s="930" t="s">
        <v>649</v>
      </c>
      <c r="C25" s="925"/>
      <c r="D25" s="964" t="s">
        <v>90</v>
      </c>
      <c r="E25" s="964">
        <v>758</v>
      </c>
      <c r="F25" s="964"/>
      <c r="G25" s="964"/>
      <c r="H25" s="964" t="s">
        <v>118</v>
      </c>
      <c r="I25" s="965">
        <v>3000</v>
      </c>
      <c r="J25" s="965">
        <v>3000</v>
      </c>
      <c r="K25" s="1009"/>
      <c r="L25"/>
      <c r="M25"/>
      <c r="N25"/>
      <c r="O25"/>
      <c r="P25"/>
      <c r="Q25"/>
      <c r="R25"/>
      <c r="S25"/>
      <c r="T25"/>
      <c r="U25"/>
      <c r="V25"/>
      <c r="W25"/>
      <c r="X25"/>
      <c r="Y25"/>
      <c r="Z25"/>
      <c r="AA25"/>
      <c r="AB25"/>
    </row>
    <row r="26" spans="1:28" s="749" customFormat="1" ht="24.95" customHeight="1" x14ac:dyDescent="0.35">
      <c r="A26" s="968">
        <v>44916</v>
      </c>
      <c r="B26" s="930" t="s">
        <v>649</v>
      </c>
      <c r="C26" s="925"/>
      <c r="D26" s="964" t="s">
        <v>90</v>
      </c>
      <c r="E26" s="964"/>
      <c r="F26" s="964"/>
      <c r="G26" s="964">
        <v>2176</v>
      </c>
      <c r="H26" s="964" t="s">
        <v>118</v>
      </c>
      <c r="I26" s="965">
        <v>186146</v>
      </c>
      <c r="J26" s="965">
        <v>186146</v>
      </c>
      <c r="K26" s="1009"/>
      <c r="L26"/>
      <c r="M26"/>
      <c r="N26"/>
      <c r="O26"/>
      <c r="P26"/>
      <c r="Q26"/>
      <c r="R26"/>
      <c r="S26"/>
      <c r="T26"/>
      <c r="U26"/>
      <c r="V26"/>
      <c r="W26"/>
      <c r="X26"/>
      <c r="Y26"/>
      <c r="Z26"/>
      <c r="AA26"/>
      <c r="AB26"/>
    </row>
    <row r="27" spans="1:28" s="749" customFormat="1" ht="24.95" customHeight="1" x14ac:dyDescent="0.35">
      <c r="A27" s="968">
        <v>45343</v>
      </c>
      <c r="B27" s="930" t="s">
        <v>649</v>
      </c>
      <c r="C27" s="925"/>
      <c r="D27" s="964" t="s">
        <v>90</v>
      </c>
      <c r="E27" s="964">
        <v>826</v>
      </c>
      <c r="F27" s="964"/>
      <c r="G27" s="964"/>
      <c r="H27" s="964" t="s">
        <v>118</v>
      </c>
      <c r="I27" s="965">
        <v>22500</v>
      </c>
      <c r="J27" s="965">
        <v>22500</v>
      </c>
      <c r="K27" s="1009"/>
      <c r="L27"/>
      <c r="M27"/>
      <c r="N27"/>
      <c r="O27"/>
      <c r="P27"/>
      <c r="Q27"/>
      <c r="R27"/>
      <c r="S27"/>
      <c r="T27"/>
      <c r="U27"/>
      <c r="V27"/>
      <c r="W27"/>
      <c r="X27"/>
      <c r="Y27"/>
      <c r="Z27"/>
      <c r="AA27"/>
      <c r="AB27"/>
    </row>
    <row r="28" spans="1:28" s="782" customFormat="1" ht="27.75" customHeight="1" x14ac:dyDescent="0.35">
      <c r="A28" s="968">
        <v>44614</v>
      </c>
      <c r="B28" s="930" t="s">
        <v>650</v>
      </c>
      <c r="C28" s="925"/>
      <c r="D28" s="925" t="s">
        <v>92</v>
      </c>
      <c r="E28" s="925"/>
      <c r="F28" s="964"/>
      <c r="G28" s="964"/>
      <c r="H28" s="964" t="s">
        <v>376</v>
      </c>
      <c r="I28" s="965">
        <v>526625</v>
      </c>
      <c r="J28" s="965">
        <v>526625</v>
      </c>
      <c r="K28" s="1009"/>
      <c r="L28"/>
      <c r="M28"/>
      <c r="N28"/>
      <c r="O28"/>
      <c r="P28"/>
      <c r="Q28"/>
      <c r="R28"/>
      <c r="S28"/>
      <c r="T28"/>
      <c r="U28"/>
      <c r="V28"/>
      <c r="W28"/>
      <c r="X28"/>
      <c r="Y28"/>
      <c r="Z28"/>
      <c r="AA28"/>
      <c r="AB28"/>
    </row>
    <row r="29" spans="1:28" s="782" customFormat="1" ht="24.95" customHeight="1" x14ac:dyDescent="0.35">
      <c r="A29" s="968">
        <v>44631</v>
      </c>
      <c r="B29" s="930" t="s">
        <v>650</v>
      </c>
      <c r="C29" s="925"/>
      <c r="D29" s="925" t="s">
        <v>92</v>
      </c>
      <c r="E29" s="925"/>
      <c r="F29" s="964"/>
      <c r="G29" s="964"/>
      <c r="H29" s="964">
        <v>4943</v>
      </c>
      <c r="I29" s="965">
        <v>5975</v>
      </c>
      <c r="J29" s="965">
        <v>5975</v>
      </c>
      <c r="K29" s="1009"/>
      <c r="L29"/>
      <c r="M29"/>
      <c r="N29"/>
      <c r="O29"/>
      <c r="P29"/>
      <c r="Q29"/>
      <c r="R29"/>
      <c r="S29"/>
      <c r="T29"/>
      <c r="U29"/>
      <c r="V29"/>
      <c r="W29"/>
      <c r="X29"/>
      <c r="Y29"/>
      <c r="Z29"/>
      <c r="AA29"/>
      <c r="AB29"/>
    </row>
    <row r="30" spans="1:28" s="800" customFormat="1" ht="24.95" customHeight="1" x14ac:dyDescent="0.35">
      <c r="A30" s="968">
        <v>44638</v>
      </c>
      <c r="B30" s="930" t="s">
        <v>650</v>
      </c>
      <c r="C30" s="925"/>
      <c r="D30" s="925" t="s">
        <v>92</v>
      </c>
      <c r="E30" s="925"/>
      <c r="F30" s="964"/>
      <c r="G30" s="964"/>
      <c r="H30" s="964">
        <v>4953</v>
      </c>
      <c r="I30" s="965">
        <v>4950</v>
      </c>
      <c r="J30" s="965">
        <v>4950</v>
      </c>
      <c r="K30" s="1009"/>
      <c r="L30"/>
      <c r="M30"/>
      <c r="N30"/>
      <c r="O30"/>
      <c r="P30"/>
      <c r="Q30"/>
      <c r="R30"/>
      <c r="S30"/>
      <c r="T30"/>
      <c r="U30"/>
      <c r="V30"/>
      <c r="W30"/>
      <c r="X30"/>
      <c r="Y30"/>
      <c r="Z30"/>
      <c r="AA30"/>
      <c r="AB30"/>
    </row>
    <row r="31" spans="1:28" s="800" customFormat="1" ht="24.95" customHeight="1" x14ac:dyDescent="0.35">
      <c r="A31" s="968">
        <v>44711</v>
      </c>
      <c r="B31" s="930" t="s">
        <v>153</v>
      </c>
      <c r="C31" s="925"/>
      <c r="D31" s="925" t="s">
        <v>92</v>
      </c>
      <c r="E31" s="925"/>
      <c r="F31" s="964"/>
      <c r="G31" s="964"/>
      <c r="H31" s="964" t="s">
        <v>181</v>
      </c>
      <c r="I31" s="965">
        <v>164667</v>
      </c>
      <c r="J31" s="965">
        <v>164667</v>
      </c>
      <c r="K31" s="1009"/>
      <c r="L31"/>
      <c r="M31"/>
      <c r="N31"/>
      <c r="O31"/>
      <c r="P31"/>
      <c r="Q31"/>
      <c r="R31"/>
      <c r="S31"/>
      <c r="T31"/>
      <c r="U31"/>
      <c r="V31"/>
      <c r="W31"/>
      <c r="X31"/>
      <c r="Y31"/>
      <c r="Z31"/>
      <c r="AA31"/>
      <c r="AB31"/>
    </row>
    <row r="32" spans="1:28" s="800" customFormat="1" ht="24.95" customHeight="1" x14ac:dyDescent="0.35">
      <c r="A32" s="968">
        <v>44768</v>
      </c>
      <c r="B32" s="930" t="s">
        <v>651</v>
      </c>
      <c r="C32" s="925"/>
      <c r="D32" s="925" t="s">
        <v>90</v>
      </c>
      <c r="E32" s="925"/>
      <c r="F32" s="964"/>
      <c r="G32" s="964"/>
      <c r="H32" s="964" t="s">
        <v>151</v>
      </c>
      <c r="I32" s="965">
        <v>847950.4</v>
      </c>
      <c r="J32" s="965">
        <v>847950.4</v>
      </c>
      <c r="K32" s="1009"/>
      <c r="L32"/>
      <c r="M32"/>
      <c r="N32"/>
      <c r="O32"/>
      <c r="P32"/>
      <c r="Q32"/>
      <c r="R32"/>
      <c r="S32"/>
      <c r="T32"/>
      <c r="U32"/>
      <c r="V32"/>
      <c r="W32"/>
      <c r="X32"/>
      <c r="Y32"/>
      <c r="Z32"/>
      <c r="AA32"/>
      <c r="AB32"/>
    </row>
    <row r="33" spans="1:28" s="800" customFormat="1" ht="24.95" customHeight="1" x14ac:dyDescent="0.35">
      <c r="A33" s="968">
        <v>45946</v>
      </c>
      <c r="B33" s="930" t="s">
        <v>651</v>
      </c>
      <c r="C33" s="925"/>
      <c r="D33" s="925" t="s">
        <v>90</v>
      </c>
      <c r="E33" s="925"/>
      <c r="F33" s="964"/>
      <c r="G33" s="964"/>
      <c r="H33" s="964" t="s">
        <v>641</v>
      </c>
      <c r="I33" s="965" t="s">
        <v>419</v>
      </c>
      <c r="J33" s="965" t="s">
        <v>419</v>
      </c>
      <c r="K33" s="1009"/>
      <c r="L33"/>
      <c r="M33"/>
      <c r="N33"/>
      <c r="O33"/>
      <c r="P33"/>
      <c r="Q33"/>
      <c r="R33"/>
      <c r="S33"/>
      <c r="T33"/>
      <c r="U33"/>
      <c r="V33"/>
      <c r="W33"/>
      <c r="X33"/>
      <c r="Y33"/>
      <c r="Z33"/>
      <c r="AA33"/>
      <c r="AB33"/>
    </row>
    <row r="34" spans="1:28" s="800" customFormat="1" ht="24.95" customHeight="1" x14ac:dyDescent="0.35">
      <c r="A34" s="968">
        <v>44786</v>
      </c>
      <c r="B34" s="930" t="s">
        <v>652</v>
      </c>
      <c r="C34" s="925"/>
      <c r="D34" s="925" t="s">
        <v>94</v>
      </c>
      <c r="E34" s="925"/>
      <c r="F34" s="964"/>
      <c r="G34" s="964">
        <v>2136</v>
      </c>
      <c r="H34" s="964" t="s">
        <v>170</v>
      </c>
      <c r="I34" s="965">
        <v>193400</v>
      </c>
      <c r="J34" s="965">
        <v>193400</v>
      </c>
      <c r="K34" s="1009"/>
      <c r="L34"/>
      <c r="M34"/>
      <c r="N34"/>
      <c r="O34"/>
      <c r="P34"/>
      <c r="Q34"/>
      <c r="R34"/>
      <c r="S34"/>
      <c r="T34"/>
      <c r="U34"/>
      <c r="V34"/>
      <c r="W34"/>
      <c r="X34"/>
      <c r="Y34"/>
      <c r="Z34"/>
      <c r="AA34"/>
      <c r="AB34"/>
    </row>
    <row r="35" spans="1:28" s="800" customFormat="1" ht="24.95" customHeight="1" x14ac:dyDescent="0.35">
      <c r="A35" s="968">
        <v>44954</v>
      </c>
      <c r="B35" s="930" t="s">
        <v>480</v>
      </c>
      <c r="C35" s="925"/>
      <c r="D35" s="925" t="s">
        <v>92</v>
      </c>
      <c r="E35" s="925">
        <v>832</v>
      </c>
      <c r="F35" s="964"/>
      <c r="G35" s="964"/>
      <c r="H35" s="964">
        <v>5373</v>
      </c>
      <c r="I35" s="965">
        <v>666000</v>
      </c>
      <c r="J35" s="965">
        <v>666000</v>
      </c>
      <c r="K35" s="1009"/>
      <c r="L35"/>
      <c r="M35"/>
      <c r="N35"/>
      <c r="O35"/>
      <c r="P35"/>
      <c r="Q35"/>
      <c r="R35"/>
      <c r="S35"/>
      <c r="T35"/>
      <c r="U35"/>
      <c r="V35"/>
      <c r="W35"/>
      <c r="X35"/>
      <c r="Y35"/>
      <c r="Z35"/>
      <c r="AA35"/>
      <c r="AB35"/>
    </row>
    <row r="36" spans="1:28" s="800" customFormat="1" ht="24.95" customHeight="1" x14ac:dyDescent="0.35">
      <c r="A36" s="968">
        <v>44954</v>
      </c>
      <c r="B36" s="930" t="s">
        <v>480</v>
      </c>
      <c r="C36" s="925"/>
      <c r="D36" s="925" t="s">
        <v>92</v>
      </c>
      <c r="E36" s="925">
        <v>833</v>
      </c>
      <c r="F36" s="964"/>
      <c r="G36" s="964"/>
      <c r="H36" s="964">
        <v>5374</v>
      </c>
      <c r="I36" s="965">
        <v>657658.5</v>
      </c>
      <c r="J36" s="965">
        <v>657658.5</v>
      </c>
      <c r="K36" s="1009"/>
      <c r="L36"/>
      <c r="M36"/>
      <c r="N36"/>
      <c r="O36"/>
      <c r="P36"/>
      <c r="Q36"/>
      <c r="R36"/>
      <c r="S36"/>
      <c r="T36"/>
      <c r="U36"/>
      <c r="V36"/>
      <c r="W36"/>
      <c r="X36"/>
      <c r="Y36"/>
      <c r="Z36"/>
      <c r="AA36"/>
      <c r="AB36"/>
    </row>
    <row r="37" spans="1:28" s="800" customFormat="1" ht="24.95" customHeight="1" x14ac:dyDescent="0.35">
      <c r="A37" s="968">
        <v>45017</v>
      </c>
      <c r="B37" s="930" t="s">
        <v>480</v>
      </c>
      <c r="C37" s="925"/>
      <c r="D37" s="925" t="s">
        <v>92</v>
      </c>
      <c r="E37" s="925"/>
      <c r="F37" s="964"/>
      <c r="G37" s="964"/>
      <c r="H37" s="964">
        <v>5460</v>
      </c>
      <c r="I37" s="965">
        <v>413995.98</v>
      </c>
      <c r="J37" s="965">
        <v>413995.98</v>
      </c>
      <c r="K37" s="1009"/>
      <c r="L37"/>
      <c r="M37"/>
      <c r="N37"/>
      <c r="O37"/>
      <c r="P37"/>
      <c r="Q37"/>
      <c r="R37"/>
      <c r="S37"/>
      <c r="T37"/>
      <c r="U37"/>
      <c r="V37"/>
      <c r="W37"/>
      <c r="X37"/>
      <c r="Y37"/>
      <c r="Z37"/>
      <c r="AA37"/>
      <c r="AB37"/>
    </row>
    <row r="38" spans="1:28" s="800" customFormat="1" ht="24.95" customHeight="1" x14ac:dyDescent="0.35">
      <c r="A38" s="968">
        <v>45181</v>
      </c>
      <c r="B38" s="930" t="s">
        <v>480</v>
      </c>
      <c r="C38" s="925"/>
      <c r="D38" s="925" t="s">
        <v>92</v>
      </c>
      <c r="E38" s="925"/>
      <c r="F38" s="964" t="s">
        <v>654</v>
      </c>
      <c r="G38" s="964"/>
      <c r="H38" s="964">
        <v>5606</v>
      </c>
      <c r="I38" s="965">
        <v>676930.8</v>
      </c>
      <c r="J38" s="965">
        <v>676930.8</v>
      </c>
      <c r="K38" s="1009"/>
      <c r="L38"/>
      <c r="M38"/>
      <c r="N38"/>
      <c r="O38"/>
      <c r="P38"/>
      <c r="Q38"/>
      <c r="R38"/>
      <c r="S38"/>
      <c r="T38"/>
      <c r="U38"/>
      <c r="V38"/>
      <c r="W38"/>
      <c r="X38"/>
      <c r="Y38"/>
      <c r="Z38"/>
      <c r="AA38"/>
      <c r="AB38"/>
    </row>
    <row r="39" spans="1:28" s="800" customFormat="1" ht="24.95" customHeight="1" x14ac:dyDescent="0.35">
      <c r="A39" s="968">
        <v>45386</v>
      </c>
      <c r="B39" s="930" t="s">
        <v>480</v>
      </c>
      <c r="C39" s="925"/>
      <c r="D39" s="925" t="s">
        <v>90</v>
      </c>
      <c r="E39" s="925"/>
      <c r="F39" s="964"/>
      <c r="G39" s="964"/>
      <c r="H39" s="964">
        <v>5776</v>
      </c>
      <c r="I39" s="965">
        <v>455997.92</v>
      </c>
      <c r="J39" s="965">
        <v>455997.92</v>
      </c>
      <c r="K39" s="1009"/>
      <c r="L39"/>
      <c r="M39"/>
      <c r="N39"/>
      <c r="O39"/>
      <c r="P39"/>
      <c r="Q39"/>
      <c r="R39"/>
      <c r="S39"/>
      <c r="T39"/>
      <c r="U39"/>
      <c r="V39"/>
      <c r="W39"/>
      <c r="X39"/>
      <c r="Y39"/>
      <c r="Z39"/>
      <c r="AA39"/>
      <c r="AB39"/>
    </row>
    <row r="40" spans="1:28" s="800" customFormat="1" ht="24.95" customHeight="1" x14ac:dyDescent="0.35">
      <c r="A40" s="968">
        <v>45601</v>
      </c>
      <c r="B40" s="930" t="s">
        <v>480</v>
      </c>
      <c r="C40" s="925"/>
      <c r="D40" s="925" t="s">
        <v>90</v>
      </c>
      <c r="E40" s="925"/>
      <c r="F40" s="964"/>
      <c r="G40" s="964"/>
      <c r="H40" s="964">
        <v>5920</v>
      </c>
      <c r="I40" s="965">
        <v>310000</v>
      </c>
      <c r="J40" s="965">
        <v>310000</v>
      </c>
      <c r="K40" s="1009"/>
      <c r="L40"/>
      <c r="M40"/>
      <c r="N40"/>
      <c r="O40"/>
      <c r="P40"/>
      <c r="Q40"/>
      <c r="R40"/>
      <c r="S40"/>
      <c r="T40"/>
      <c r="U40"/>
      <c r="V40"/>
      <c r="W40"/>
      <c r="X40"/>
      <c r="Y40"/>
      <c r="Z40"/>
      <c r="AA40"/>
      <c r="AB40"/>
    </row>
    <row r="41" spans="1:28" s="800" customFormat="1" ht="24.95" customHeight="1" x14ac:dyDescent="0.35">
      <c r="A41" s="968">
        <v>45680</v>
      </c>
      <c r="B41" s="930" t="s">
        <v>480</v>
      </c>
      <c r="C41" s="925"/>
      <c r="D41" s="925" t="s">
        <v>90</v>
      </c>
      <c r="E41" s="925"/>
      <c r="F41" s="964"/>
      <c r="G41" s="964">
        <v>2343</v>
      </c>
      <c r="H41" s="964">
        <v>5979</v>
      </c>
      <c r="I41" s="965">
        <v>45000</v>
      </c>
      <c r="J41" s="965">
        <v>45000</v>
      </c>
      <c r="K41" s="1009"/>
      <c r="L41"/>
      <c r="M41"/>
      <c r="N41"/>
      <c r="O41"/>
      <c r="P41"/>
      <c r="Q41"/>
      <c r="R41"/>
      <c r="S41"/>
      <c r="T41"/>
      <c r="U41"/>
      <c r="V41"/>
      <c r="W41"/>
      <c r="X41"/>
      <c r="Y41"/>
      <c r="Z41"/>
      <c r="AA41"/>
      <c r="AB41"/>
    </row>
    <row r="42" spans="1:28" s="800" customFormat="1" ht="24.95" customHeight="1" x14ac:dyDescent="0.35">
      <c r="A42" s="968">
        <v>45731</v>
      </c>
      <c r="B42" s="930" t="s">
        <v>480</v>
      </c>
      <c r="C42" s="925"/>
      <c r="D42" s="925" t="s">
        <v>90</v>
      </c>
      <c r="E42" s="925"/>
      <c r="F42" s="964"/>
      <c r="G42" s="964"/>
      <c r="H42" s="964" t="s">
        <v>481</v>
      </c>
      <c r="I42" s="965" t="s">
        <v>419</v>
      </c>
      <c r="J42" s="965" t="s">
        <v>419</v>
      </c>
      <c r="K42" s="1009"/>
      <c r="L42"/>
      <c r="M42"/>
      <c r="N42"/>
      <c r="O42"/>
      <c r="P42"/>
      <c r="Q42"/>
      <c r="R42"/>
      <c r="S42"/>
      <c r="T42"/>
      <c r="U42"/>
      <c r="V42"/>
      <c r="W42"/>
      <c r="X42"/>
      <c r="Y42"/>
      <c r="Z42"/>
      <c r="AA42"/>
      <c r="AB42"/>
    </row>
    <row r="43" spans="1:28" s="800" customFormat="1" ht="24.95" customHeight="1" x14ac:dyDescent="0.35">
      <c r="A43" s="968">
        <v>2023</v>
      </c>
      <c r="B43" s="930" t="s">
        <v>191</v>
      </c>
      <c r="C43" s="925"/>
      <c r="D43" s="925" t="s">
        <v>92</v>
      </c>
      <c r="E43" s="925"/>
      <c r="F43" s="964"/>
      <c r="G43" s="964"/>
      <c r="H43" s="964" t="s">
        <v>118</v>
      </c>
      <c r="I43" s="965">
        <v>67000</v>
      </c>
      <c r="J43" s="965">
        <v>67000</v>
      </c>
      <c r="K43" s="1009"/>
      <c r="L43"/>
      <c r="M43"/>
      <c r="N43"/>
      <c r="O43"/>
      <c r="P43"/>
      <c r="Q43"/>
      <c r="R43"/>
      <c r="S43"/>
      <c r="T43"/>
      <c r="U43"/>
      <c r="V43"/>
      <c r="W43"/>
      <c r="X43"/>
      <c r="Y43"/>
      <c r="Z43"/>
      <c r="AA43"/>
      <c r="AB43"/>
    </row>
    <row r="44" spans="1:28" s="782" customFormat="1" ht="24.95" customHeight="1" x14ac:dyDescent="0.35">
      <c r="A44" s="968">
        <v>45147</v>
      </c>
      <c r="B44" s="930" t="s">
        <v>653</v>
      </c>
      <c r="C44" s="925"/>
      <c r="D44" s="925" t="s">
        <v>92</v>
      </c>
      <c r="E44" s="925"/>
      <c r="F44" s="964"/>
      <c r="G44" s="964"/>
      <c r="H44" s="964">
        <v>5568</v>
      </c>
      <c r="I44" s="965">
        <v>10000</v>
      </c>
      <c r="J44" s="965">
        <v>10000</v>
      </c>
      <c r="K44" s="1009"/>
      <c r="L44"/>
      <c r="M44"/>
      <c r="N44"/>
      <c r="O44"/>
      <c r="P44"/>
      <c r="Q44"/>
      <c r="R44"/>
      <c r="S44"/>
      <c r="T44"/>
      <c r="U44"/>
      <c r="V44"/>
      <c r="W44"/>
      <c r="X44"/>
      <c r="Y44"/>
      <c r="Z44"/>
      <c r="AA44"/>
      <c r="AB44"/>
    </row>
    <row r="45" spans="1:28" s="782" customFormat="1" ht="24.95" customHeight="1" x14ac:dyDescent="0.35">
      <c r="A45" s="968">
        <v>45195</v>
      </c>
      <c r="B45" s="930" t="s">
        <v>271</v>
      </c>
      <c r="C45" s="925"/>
      <c r="D45" s="925" t="s">
        <v>92</v>
      </c>
      <c r="E45" s="925"/>
      <c r="F45" s="964"/>
      <c r="G45" s="964"/>
      <c r="H45" s="964" t="s">
        <v>272</v>
      </c>
      <c r="I45" s="965">
        <v>2339.29</v>
      </c>
      <c r="J45" s="965">
        <v>2339.29</v>
      </c>
      <c r="K45" s="1009"/>
      <c r="L45"/>
      <c r="M45"/>
      <c r="N45"/>
      <c r="O45"/>
      <c r="P45"/>
      <c r="Q45"/>
      <c r="R45"/>
      <c r="S45"/>
      <c r="T45"/>
      <c r="U45"/>
      <c r="V45"/>
      <c r="W45"/>
      <c r="X45"/>
      <c r="Y45"/>
      <c r="Z45"/>
      <c r="AA45"/>
      <c r="AB45"/>
    </row>
    <row r="46" spans="1:28" s="782" customFormat="1" ht="24.95" customHeight="1" x14ac:dyDescent="0.35">
      <c r="A46" s="968">
        <v>45859</v>
      </c>
      <c r="B46" s="930" t="s">
        <v>271</v>
      </c>
      <c r="C46" s="925"/>
      <c r="D46" s="925" t="s">
        <v>282</v>
      </c>
      <c r="E46" s="925"/>
      <c r="F46" s="964"/>
      <c r="G46" s="964"/>
      <c r="H46" s="964" t="s">
        <v>572</v>
      </c>
      <c r="I46" s="965">
        <v>9850</v>
      </c>
      <c r="J46" s="965">
        <v>9850</v>
      </c>
      <c r="K46" s="1009"/>
      <c r="L46"/>
      <c r="M46"/>
      <c r="N46"/>
      <c r="O46"/>
      <c r="P46"/>
      <c r="Q46"/>
      <c r="R46"/>
      <c r="S46"/>
      <c r="T46"/>
      <c r="U46"/>
      <c r="V46"/>
      <c r="W46"/>
      <c r="X46"/>
      <c r="Y46"/>
      <c r="Z46"/>
      <c r="AA46"/>
      <c r="AB46"/>
    </row>
    <row r="47" spans="1:28" s="782" customFormat="1" ht="24.95" customHeight="1" x14ac:dyDescent="0.35">
      <c r="A47" s="968" t="s">
        <v>421</v>
      </c>
      <c r="B47" s="930" t="s">
        <v>417</v>
      </c>
      <c r="C47" s="925"/>
      <c r="D47" s="925" t="s">
        <v>90</v>
      </c>
      <c r="E47" s="925"/>
      <c r="F47" s="964"/>
      <c r="G47" s="964"/>
      <c r="H47" s="964" t="s">
        <v>456</v>
      </c>
      <c r="I47" s="965" t="s">
        <v>419</v>
      </c>
      <c r="J47" s="965" t="s">
        <v>419</v>
      </c>
      <c r="K47" s="1009"/>
      <c r="L47"/>
      <c r="M47"/>
      <c r="N47"/>
      <c r="O47"/>
      <c r="P47"/>
      <c r="Q47"/>
      <c r="R47"/>
      <c r="S47"/>
      <c r="T47"/>
      <c r="U47"/>
      <c r="V47"/>
      <c r="W47"/>
      <c r="X47"/>
      <c r="Y47"/>
      <c r="Z47"/>
      <c r="AA47"/>
      <c r="AB47"/>
    </row>
    <row r="48" spans="1:28" s="782" customFormat="1" ht="24.95" customHeight="1" x14ac:dyDescent="0.35">
      <c r="A48" s="968">
        <v>45897</v>
      </c>
      <c r="B48" s="930" t="s">
        <v>417</v>
      </c>
      <c r="C48" s="925"/>
      <c r="D48" s="925" t="s">
        <v>90</v>
      </c>
      <c r="E48" s="925"/>
      <c r="F48" s="964"/>
      <c r="G48" s="964"/>
      <c r="H48" s="964" t="s">
        <v>609</v>
      </c>
      <c r="I48" s="965" t="s">
        <v>419</v>
      </c>
      <c r="J48" s="965" t="s">
        <v>419</v>
      </c>
      <c r="K48" s="1009"/>
      <c r="L48"/>
      <c r="M48"/>
      <c r="N48"/>
      <c r="O48"/>
      <c r="P48"/>
      <c r="Q48"/>
      <c r="R48"/>
      <c r="S48"/>
      <c r="T48"/>
      <c r="U48"/>
      <c r="V48"/>
      <c r="W48"/>
      <c r="X48"/>
      <c r="Y48"/>
      <c r="Z48"/>
      <c r="AA48"/>
      <c r="AB48"/>
    </row>
    <row r="49" spans="1:28" s="782" customFormat="1" ht="24.95" customHeight="1" x14ac:dyDescent="0.35">
      <c r="A49" s="968">
        <v>45985</v>
      </c>
      <c r="B49" s="930" t="s">
        <v>417</v>
      </c>
      <c r="C49" s="925"/>
      <c r="D49" s="925" t="s">
        <v>90</v>
      </c>
      <c r="E49" s="925"/>
      <c r="F49" s="964"/>
      <c r="G49" s="964"/>
      <c r="H49" s="964" t="s">
        <v>688</v>
      </c>
      <c r="I49" s="965" t="s">
        <v>419</v>
      </c>
      <c r="J49" s="965" t="s">
        <v>419</v>
      </c>
      <c r="K49" s="1009"/>
      <c r="L49"/>
      <c r="M49"/>
      <c r="N49"/>
      <c r="O49"/>
      <c r="P49"/>
      <c r="Q49"/>
      <c r="R49"/>
      <c r="S49"/>
      <c r="T49"/>
      <c r="U49"/>
      <c r="V49"/>
      <c r="W49"/>
      <c r="X49"/>
      <c r="Y49"/>
      <c r="Z49"/>
      <c r="AA49"/>
      <c r="AB49"/>
    </row>
    <row r="50" spans="1:28" s="749" customFormat="1" ht="24.95" customHeight="1" x14ac:dyDescent="0.35">
      <c r="A50" s="968">
        <v>46041</v>
      </c>
      <c r="B50" s="930" t="s">
        <v>417</v>
      </c>
      <c r="C50" s="925"/>
      <c r="D50" s="964" t="s">
        <v>90</v>
      </c>
      <c r="E50" s="964"/>
      <c r="F50" s="964"/>
      <c r="G50" s="964"/>
      <c r="H50" s="964" t="s">
        <v>724</v>
      </c>
      <c r="I50" s="965" t="s">
        <v>419</v>
      </c>
      <c r="J50" s="965" t="s">
        <v>419</v>
      </c>
      <c r="K50" s="1009"/>
      <c r="L50"/>
      <c r="M50"/>
      <c r="N50"/>
      <c r="O50"/>
      <c r="P50"/>
      <c r="Q50"/>
      <c r="R50"/>
      <c r="S50"/>
      <c r="T50"/>
      <c r="U50"/>
      <c r="V50"/>
      <c r="W50"/>
      <c r="X50"/>
      <c r="Y50"/>
      <c r="Z50"/>
      <c r="AA50"/>
      <c r="AB50"/>
    </row>
    <row r="51" spans="1:28" s="782" customFormat="1" ht="24.95" customHeight="1" x14ac:dyDescent="0.35">
      <c r="A51" s="968">
        <v>45313</v>
      </c>
      <c r="B51" s="930" t="s">
        <v>230</v>
      </c>
      <c r="C51" s="925"/>
      <c r="D51" s="925" t="s">
        <v>92</v>
      </c>
      <c r="E51" s="925"/>
      <c r="F51" s="964"/>
      <c r="G51" s="964"/>
      <c r="H51" s="964">
        <v>5715</v>
      </c>
      <c r="I51" s="965">
        <v>78</v>
      </c>
      <c r="J51" s="965">
        <v>78</v>
      </c>
      <c r="K51" s="1009"/>
      <c r="L51"/>
      <c r="M51"/>
      <c r="N51"/>
      <c r="O51"/>
      <c r="P51"/>
      <c r="Q51"/>
      <c r="R51"/>
      <c r="S51"/>
      <c r="T51"/>
      <c r="U51"/>
      <c r="V51"/>
      <c r="W51"/>
      <c r="X51"/>
      <c r="Y51"/>
      <c r="Z51"/>
      <c r="AA51"/>
      <c r="AB51"/>
    </row>
    <row r="52" spans="1:28" s="782" customFormat="1" ht="24.95" customHeight="1" x14ac:dyDescent="0.35">
      <c r="A52" s="968">
        <v>45371</v>
      </c>
      <c r="B52" s="930" t="s">
        <v>655</v>
      </c>
      <c r="C52" s="925"/>
      <c r="D52" s="925" t="s">
        <v>221</v>
      </c>
      <c r="E52" s="925"/>
      <c r="F52" s="964"/>
      <c r="G52" s="964"/>
      <c r="H52" s="964">
        <v>5769</v>
      </c>
      <c r="I52" s="965">
        <v>250</v>
      </c>
      <c r="J52" s="965">
        <v>250</v>
      </c>
      <c r="K52" s="1009"/>
      <c r="L52"/>
      <c r="M52"/>
      <c r="N52"/>
      <c r="O52"/>
      <c r="P52"/>
      <c r="Q52"/>
      <c r="R52"/>
      <c r="S52"/>
      <c r="T52"/>
      <c r="U52"/>
      <c r="V52"/>
      <c r="W52"/>
      <c r="X52"/>
      <c r="Y52"/>
      <c r="Z52"/>
      <c r="AA52"/>
      <c r="AB52"/>
    </row>
    <row r="53" spans="1:28" s="782" customFormat="1" ht="24.95" customHeight="1" x14ac:dyDescent="0.35">
      <c r="A53" s="968">
        <v>45421</v>
      </c>
      <c r="B53" s="930" t="s">
        <v>545</v>
      </c>
      <c r="C53" s="925"/>
      <c r="D53" s="925" t="s">
        <v>90</v>
      </c>
      <c r="E53" s="925"/>
      <c r="F53" s="964"/>
      <c r="G53" s="964"/>
      <c r="H53" s="964">
        <v>5799</v>
      </c>
      <c r="I53" s="965">
        <v>101150</v>
      </c>
      <c r="J53" s="965">
        <v>101150</v>
      </c>
      <c r="K53" s="1009"/>
      <c r="L53"/>
      <c r="M53"/>
      <c r="N53"/>
      <c r="O53"/>
      <c r="P53"/>
      <c r="Q53"/>
      <c r="R53"/>
      <c r="S53"/>
      <c r="T53"/>
      <c r="U53"/>
      <c r="V53"/>
      <c r="W53"/>
      <c r="X53"/>
      <c r="Y53"/>
      <c r="Z53"/>
      <c r="AA53"/>
      <c r="AB53"/>
    </row>
    <row r="54" spans="1:28" s="782" customFormat="1" ht="24.95" customHeight="1" x14ac:dyDescent="0.35">
      <c r="A54" s="968">
        <v>45512</v>
      </c>
      <c r="B54" s="930" t="s">
        <v>545</v>
      </c>
      <c r="C54" s="925"/>
      <c r="D54" s="925" t="s">
        <v>90</v>
      </c>
      <c r="E54" s="925"/>
      <c r="F54" s="964"/>
      <c r="G54" s="964"/>
      <c r="H54" s="964">
        <v>5860</v>
      </c>
      <c r="I54" s="965">
        <v>194000</v>
      </c>
      <c r="J54" s="965">
        <v>194000</v>
      </c>
      <c r="K54" s="1009"/>
      <c r="L54"/>
      <c r="M54"/>
      <c r="N54"/>
      <c r="O54"/>
      <c r="P54"/>
      <c r="Q54"/>
      <c r="R54"/>
      <c r="S54"/>
      <c r="T54"/>
      <c r="U54"/>
      <c r="V54"/>
      <c r="W54"/>
      <c r="X54"/>
      <c r="Y54"/>
      <c r="Z54"/>
      <c r="AA54"/>
      <c r="AB54"/>
    </row>
    <row r="55" spans="1:28" s="813" customFormat="1" ht="24.95" customHeight="1" x14ac:dyDescent="0.35">
      <c r="A55" s="968">
        <v>45539</v>
      </c>
      <c r="B55" s="930" t="s">
        <v>545</v>
      </c>
      <c r="C55" s="925"/>
      <c r="D55" s="925" t="s">
        <v>90</v>
      </c>
      <c r="E55" s="925"/>
      <c r="F55" s="964"/>
      <c r="G55" s="964"/>
      <c r="H55" s="964">
        <v>5881</v>
      </c>
      <c r="I55" s="965" t="s">
        <v>419</v>
      </c>
      <c r="J55" s="965" t="s">
        <v>419</v>
      </c>
      <c r="K55" s="1009"/>
      <c r="L55"/>
      <c r="M55"/>
      <c r="N55"/>
      <c r="O55"/>
      <c r="P55"/>
      <c r="Q55"/>
      <c r="R55"/>
      <c r="S55"/>
      <c r="T55"/>
      <c r="U55"/>
      <c r="V55"/>
      <c r="W55"/>
      <c r="X55"/>
      <c r="Y55"/>
      <c r="Z55"/>
      <c r="AA55"/>
      <c r="AB55"/>
    </row>
    <row r="56" spans="1:28" s="813" customFormat="1" ht="24.95" customHeight="1" x14ac:dyDescent="0.35">
      <c r="A56" s="968" t="s">
        <v>658</v>
      </c>
      <c r="B56" s="930" t="s">
        <v>545</v>
      </c>
      <c r="C56" s="925"/>
      <c r="D56" s="925" t="s">
        <v>90</v>
      </c>
      <c r="E56" s="925"/>
      <c r="F56" s="964"/>
      <c r="G56" s="964"/>
      <c r="H56" s="964" t="s">
        <v>498</v>
      </c>
      <c r="I56" s="965">
        <v>167500</v>
      </c>
      <c r="J56" s="965">
        <v>167500</v>
      </c>
      <c r="K56" s="1009"/>
      <c r="L56"/>
      <c r="M56"/>
      <c r="N56"/>
      <c r="O56"/>
      <c r="P56"/>
      <c r="Q56"/>
      <c r="R56"/>
      <c r="S56"/>
      <c r="T56"/>
      <c r="U56"/>
      <c r="V56"/>
      <c r="W56"/>
      <c r="X56"/>
      <c r="Y56"/>
      <c r="Z56"/>
      <c r="AA56"/>
      <c r="AB56"/>
    </row>
    <row r="57" spans="1:28" s="813" customFormat="1" ht="24.95" customHeight="1" x14ac:dyDescent="0.35">
      <c r="A57" s="968" t="s">
        <v>421</v>
      </c>
      <c r="B57" s="930" t="s">
        <v>545</v>
      </c>
      <c r="C57" s="925"/>
      <c r="D57" s="925" t="s">
        <v>90</v>
      </c>
      <c r="E57" s="925"/>
      <c r="F57" s="964"/>
      <c r="G57" s="964"/>
      <c r="H57" s="964" t="s">
        <v>582</v>
      </c>
      <c r="I57" s="965">
        <v>948000</v>
      </c>
      <c r="J57" s="965">
        <v>948000</v>
      </c>
      <c r="K57" s="1009"/>
      <c r="L57"/>
      <c r="M57"/>
      <c r="N57"/>
      <c r="O57"/>
      <c r="P57"/>
      <c r="Q57"/>
      <c r="R57"/>
      <c r="S57"/>
      <c r="T57"/>
      <c r="U57"/>
      <c r="V57"/>
      <c r="W57"/>
      <c r="X57"/>
      <c r="Y57"/>
      <c r="Z57"/>
      <c r="AA57"/>
      <c r="AB57"/>
    </row>
    <row r="58" spans="1:28" s="813" customFormat="1" ht="24.95" customHeight="1" x14ac:dyDescent="0.35">
      <c r="A58" s="968" t="s">
        <v>421</v>
      </c>
      <c r="B58" s="930" t="s">
        <v>545</v>
      </c>
      <c r="C58" s="925"/>
      <c r="D58" s="925" t="s">
        <v>90</v>
      </c>
      <c r="E58" s="925"/>
      <c r="F58" s="964" t="s">
        <v>676</v>
      </c>
      <c r="G58" s="964"/>
      <c r="H58" s="964" t="s">
        <v>603</v>
      </c>
      <c r="I58" s="965">
        <v>685000</v>
      </c>
      <c r="J58" s="965">
        <v>685000</v>
      </c>
      <c r="K58" s="1009"/>
      <c r="L58"/>
      <c r="M58"/>
      <c r="N58"/>
      <c r="O58"/>
      <c r="P58"/>
      <c r="Q58"/>
      <c r="R58"/>
      <c r="S58"/>
      <c r="T58"/>
      <c r="U58"/>
      <c r="V58"/>
      <c r="W58"/>
      <c r="X58"/>
      <c r="Y58"/>
      <c r="Z58"/>
      <c r="AA58"/>
      <c r="AB58"/>
    </row>
    <row r="59" spans="1:28" s="813" customFormat="1" ht="24.95" customHeight="1" x14ac:dyDescent="0.35">
      <c r="A59" s="968">
        <v>45952</v>
      </c>
      <c r="B59" s="930" t="s">
        <v>545</v>
      </c>
      <c r="C59" s="925"/>
      <c r="D59" s="925" t="s">
        <v>90</v>
      </c>
      <c r="E59" s="925"/>
      <c r="F59" s="964"/>
      <c r="G59" s="964"/>
      <c r="H59" s="964" t="s">
        <v>645</v>
      </c>
      <c r="I59" s="965" t="s">
        <v>419</v>
      </c>
      <c r="J59" s="965" t="s">
        <v>419</v>
      </c>
      <c r="K59" s="1009"/>
      <c r="L59"/>
      <c r="M59"/>
      <c r="N59"/>
      <c r="O59"/>
      <c r="P59"/>
      <c r="Q59"/>
      <c r="R59"/>
      <c r="S59"/>
      <c r="T59"/>
      <c r="U59"/>
      <c r="V59"/>
      <c r="W59"/>
      <c r="X59"/>
      <c r="Y59"/>
      <c r="Z59"/>
      <c r="AA59"/>
      <c r="AB59"/>
    </row>
    <row r="60" spans="1:28" s="813" customFormat="1" ht="24.95" customHeight="1" x14ac:dyDescent="0.35">
      <c r="A60" s="968">
        <v>45985</v>
      </c>
      <c r="B60" s="930" t="s">
        <v>545</v>
      </c>
      <c r="C60" s="925"/>
      <c r="D60" s="925" t="s">
        <v>90</v>
      </c>
      <c r="E60" s="925"/>
      <c r="F60" s="964"/>
      <c r="G60" s="964"/>
      <c r="H60" s="964" t="s">
        <v>819</v>
      </c>
      <c r="I60" s="965" t="s">
        <v>419</v>
      </c>
      <c r="J60" s="965" t="s">
        <v>419</v>
      </c>
      <c r="K60" s="1009"/>
      <c r="L60"/>
      <c r="M60"/>
      <c r="N60"/>
      <c r="O60"/>
      <c r="P60"/>
      <c r="Q60"/>
      <c r="R60"/>
      <c r="S60"/>
      <c r="T60"/>
      <c r="U60"/>
      <c r="V60"/>
      <c r="W60"/>
      <c r="X60"/>
      <c r="Y60"/>
      <c r="Z60"/>
      <c r="AA60"/>
      <c r="AB60"/>
    </row>
    <row r="61" spans="1:28" s="813" customFormat="1" ht="24.95" customHeight="1" x14ac:dyDescent="0.35">
      <c r="A61" s="968">
        <v>45986</v>
      </c>
      <c r="B61" s="930" t="s">
        <v>545</v>
      </c>
      <c r="C61" s="925"/>
      <c r="D61" s="925" t="s">
        <v>90</v>
      </c>
      <c r="E61" s="925"/>
      <c r="F61" s="964"/>
      <c r="G61" s="964"/>
      <c r="H61" s="964" t="s">
        <v>689</v>
      </c>
      <c r="I61" s="965" t="s">
        <v>419</v>
      </c>
      <c r="J61" s="965" t="s">
        <v>419</v>
      </c>
      <c r="K61" s="1009"/>
      <c r="L61"/>
      <c r="M61"/>
      <c r="N61"/>
      <c r="O61"/>
      <c r="P61"/>
      <c r="Q61"/>
      <c r="R61"/>
      <c r="S61"/>
      <c r="T61"/>
      <c r="U61"/>
      <c r="V61"/>
      <c r="W61"/>
      <c r="X61"/>
      <c r="Y61"/>
      <c r="Z61"/>
      <c r="AA61"/>
      <c r="AB61"/>
    </row>
    <row r="62" spans="1:28" s="813" customFormat="1" ht="24.95" customHeight="1" x14ac:dyDescent="0.35">
      <c r="A62" s="968">
        <v>46042</v>
      </c>
      <c r="B62" s="930" t="s">
        <v>545</v>
      </c>
      <c r="C62" s="925"/>
      <c r="D62" s="925" t="s">
        <v>90</v>
      </c>
      <c r="E62" s="925"/>
      <c r="F62" s="964"/>
      <c r="G62" s="964"/>
      <c r="H62" s="964" t="s">
        <v>728</v>
      </c>
      <c r="I62" s="965" t="s">
        <v>419</v>
      </c>
      <c r="J62" s="965" t="s">
        <v>419</v>
      </c>
      <c r="K62" s="1009"/>
      <c r="L62"/>
      <c r="M62"/>
      <c r="N62"/>
      <c r="O62"/>
      <c r="P62"/>
      <c r="Q62"/>
      <c r="R62"/>
      <c r="S62"/>
      <c r="T62"/>
      <c r="U62"/>
      <c r="V62"/>
      <c r="W62"/>
      <c r="X62"/>
      <c r="Y62"/>
      <c r="Z62"/>
      <c r="AA62"/>
      <c r="AB62"/>
    </row>
    <row r="63" spans="1:28" s="813" customFormat="1" ht="24.95" customHeight="1" x14ac:dyDescent="0.35">
      <c r="A63" s="968">
        <v>46042</v>
      </c>
      <c r="B63" s="930" t="s">
        <v>545</v>
      </c>
      <c r="C63" s="925"/>
      <c r="D63" s="925" t="s">
        <v>90</v>
      </c>
      <c r="E63" s="925"/>
      <c r="F63" s="964"/>
      <c r="G63" s="964"/>
      <c r="H63" s="964" t="s">
        <v>729</v>
      </c>
      <c r="I63" s="965" t="s">
        <v>419</v>
      </c>
      <c r="J63" s="965" t="s">
        <v>419</v>
      </c>
      <c r="K63" s="1009"/>
      <c r="L63"/>
      <c r="M63"/>
      <c r="N63"/>
      <c r="O63"/>
      <c r="P63"/>
      <c r="Q63"/>
      <c r="R63"/>
      <c r="S63"/>
      <c r="T63"/>
      <c r="U63"/>
      <c r="V63"/>
      <c r="W63"/>
      <c r="X63"/>
      <c r="Y63"/>
      <c r="Z63"/>
      <c r="AA63"/>
      <c r="AB63"/>
    </row>
    <row r="64" spans="1:28" s="813" customFormat="1" ht="24.95" customHeight="1" x14ac:dyDescent="0.35">
      <c r="A64" s="968">
        <v>46057</v>
      </c>
      <c r="B64" s="930" t="s">
        <v>545</v>
      </c>
      <c r="C64" s="925"/>
      <c r="D64" s="925" t="s">
        <v>90</v>
      </c>
      <c r="E64" s="925"/>
      <c r="F64" s="964"/>
      <c r="G64" s="964"/>
      <c r="H64" s="964" t="s">
        <v>768</v>
      </c>
      <c r="I64" s="965">
        <v>1702500</v>
      </c>
      <c r="J64" s="965">
        <v>1702500</v>
      </c>
      <c r="K64" s="1009"/>
      <c r="L64"/>
      <c r="M64"/>
      <c r="N64"/>
      <c r="O64"/>
      <c r="P64"/>
      <c r="Q64"/>
      <c r="R64"/>
      <c r="S64"/>
      <c r="T64"/>
      <c r="U64"/>
      <c r="V64"/>
      <c r="W64"/>
      <c r="X64"/>
      <c r="Y64"/>
      <c r="Z64"/>
      <c r="AA64"/>
      <c r="AB64"/>
    </row>
    <row r="65" spans="1:28" s="813" customFormat="1" ht="24.95" customHeight="1" x14ac:dyDescent="0.35">
      <c r="A65" s="968"/>
      <c r="B65" s="930" t="s">
        <v>545</v>
      </c>
      <c r="C65" s="925"/>
      <c r="D65" s="925" t="s">
        <v>90</v>
      </c>
      <c r="E65" s="925"/>
      <c r="F65" s="964"/>
      <c r="G65" s="964"/>
      <c r="H65" s="964" t="s">
        <v>780</v>
      </c>
      <c r="I65" s="965" t="s">
        <v>419</v>
      </c>
      <c r="J65" s="965" t="s">
        <v>419</v>
      </c>
      <c r="K65" s="1009"/>
      <c r="L65"/>
      <c r="M65"/>
      <c r="N65"/>
      <c r="O65"/>
      <c r="P65"/>
      <c r="Q65"/>
      <c r="R65"/>
      <c r="S65"/>
      <c r="T65"/>
      <c r="U65"/>
      <c r="V65"/>
      <c r="W65"/>
      <c r="X65"/>
      <c r="Y65"/>
      <c r="Z65"/>
      <c r="AA65"/>
      <c r="AB65"/>
    </row>
    <row r="66" spans="1:28" s="813" customFormat="1" ht="24.95" customHeight="1" x14ac:dyDescent="0.35">
      <c r="A66" s="968"/>
      <c r="B66" s="930" t="s">
        <v>545</v>
      </c>
      <c r="C66" s="925"/>
      <c r="D66" s="925" t="s">
        <v>90</v>
      </c>
      <c r="E66" s="925"/>
      <c r="F66" s="964"/>
      <c r="G66" s="964"/>
      <c r="H66" s="964" t="s">
        <v>781</v>
      </c>
      <c r="I66" s="965" t="s">
        <v>419</v>
      </c>
      <c r="J66" s="965" t="s">
        <v>419</v>
      </c>
      <c r="K66" s="1009"/>
      <c r="L66"/>
      <c r="M66"/>
      <c r="N66"/>
      <c r="O66"/>
      <c r="P66"/>
      <c r="Q66"/>
      <c r="R66"/>
      <c r="S66"/>
      <c r="T66"/>
      <c r="U66"/>
      <c r="V66"/>
      <c r="W66"/>
      <c r="X66"/>
      <c r="Y66"/>
      <c r="Z66"/>
      <c r="AA66"/>
      <c r="AB66"/>
    </row>
    <row r="67" spans="1:28" s="813" customFormat="1" ht="24.95" customHeight="1" x14ac:dyDescent="0.35">
      <c r="A67" s="968">
        <v>46106</v>
      </c>
      <c r="B67" s="930" t="s">
        <v>545</v>
      </c>
      <c r="C67" s="925"/>
      <c r="D67" s="925" t="s">
        <v>90</v>
      </c>
      <c r="E67" s="925"/>
      <c r="F67" s="964"/>
      <c r="G67" s="964"/>
      <c r="H67" s="964" t="s">
        <v>836</v>
      </c>
      <c r="I67" s="965" t="s">
        <v>419</v>
      </c>
      <c r="J67" s="965" t="s">
        <v>419</v>
      </c>
      <c r="K67" s="1009"/>
      <c r="L67"/>
      <c r="M67"/>
      <c r="N67"/>
      <c r="O67"/>
      <c r="P67"/>
      <c r="Q67"/>
      <c r="R67"/>
      <c r="S67"/>
      <c r="T67"/>
      <c r="U67"/>
      <c r="V67"/>
      <c r="W67"/>
      <c r="X67"/>
      <c r="Y67"/>
      <c r="Z67"/>
      <c r="AA67"/>
      <c r="AB67"/>
    </row>
    <row r="68" spans="1:28" s="813" customFormat="1" ht="24.95" customHeight="1" x14ac:dyDescent="0.35">
      <c r="A68" s="968">
        <v>46106</v>
      </c>
      <c r="B68" s="930" t="s">
        <v>545</v>
      </c>
      <c r="C68" s="925"/>
      <c r="D68" s="925" t="s">
        <v>90</v>
      </c>
      <c r="E68" s="925"/>
      <c r="F68" s="964"/>
      <c r="G68" s="964"/>
      <c r="H68" s="964" t="s">
        <v>837</v>
      </c>
      <c r="I68" s="965" t="s">
        <v>419</v>
      </c>
      <c r="J68" s="965" t="s">
        <v>419</v>
      </c>
      <c r="K68" s="1009"/>
      <c r="L68"/>
      <c r="M68"/>
      <c r="N68"/>
      <c r="O68"/>
      <c r="P68"/>
      <c r="Q68"/>
      <c r="R68"/>
      <c r="S68"/>
      <c r="T68"/>
      <c r="U68"/>
      <c r="V68"/>
      <c r="W68"/>
      <c r="X68"/>
      <c r="Y68"/>
      <c r="Z68"/>
      <c r="AA68"/>
      <c r="AB68"/>
    </row>
    <row r="69" spans="1:28" s="813" customFormat="1" ht="24.95" customHeight="1" x14ac:dyDescent="0.35">
      <c r="A69" s="968">
        <v>46195</v>
      </c>
      <c r="B69" s="930" t="s">
        <v>545</v>
      </c>
      <c r="C69" s="925"/>
      <c r="D69" s="925" t="s">
        <v>90</v>
      </c>
      <c r="E69" s="925"/>
      <c r="F69" s="964"/>
      <c r="G69" s="964"/>
      <c r="H69" s="964" t="s">
        <v>904</v>
      </c>
      <c r="I69" s="965" t="s">
        <v>419</v>
      </c>
      <c r="J69" s="965" t="s">
        <v>419</v>
      </c>
      <c r="K69" s="1009"/>
      <c r="L69"/>
      <c r="M69"/>
      <c r="N69"/>
      <c r="O69"/>
      <c r="P69"/>
      <c r="Q69"/>
      <c r="R69"/>
      <c r="S69"/>
      <c r="T69"/>
      <c r="U69"/>
      <c r="V69"/>
      <c r="W69"/>
      <c r="X69"/>
      <c r="Y69"/>
      <c r="Z69"/>
      <c r="AA69"/>
      <c r="AB69"/>
    </row>
    <row r="70" spans="1:28" s="813" customFormat="1" ht="24.95" customHeight="1" x14ac:dyDescent="0.35">
      <c r="A70" s="968">
        <v>46195</v>
      </c>
      <c r="B70" s="930" t="s">
        <v>545</v>
      </c>
      <c r="C70" s="925"/>
      <c r="D70" s="925" t="s">
        <v>90</v>
      </c>
      <c r="E70" s="925"/>
      <c r="F70" s="964"/>
      <c r="G70" s="964"/>
      <c r="H70" s="964" t="s">
        <v>905</v>
      </c>
      <c r="I70" s="965" t="s">
        <v>419</v>
      </c>
      <c r="J70" s="965" t="s">
        <v>419</v>
      </c>
      <c r="K70" s="1009"/>
      <c r="L70"/>
      <c r="M70"/>
      <c r="N70"/>
      <c r="O70"/>
      <c r="P70"/>
      <c r="Q70"/>
      <c r="R70"/>
      <c r="S70"/>
      <c r="T70"/>
      <c r="U70"/>
      <c r="V70"/>
      <c r="W70"/>
      <c r="X70"/>
      <c r="Y70"/>
      <c r="Z70"/>
      <c r="AA70"/>
      <c r="AB70"/>
    </row>
    <row r="71" spans="1:28" s="813" customFormat="1" ht="24.95" customHeight="1" x14ac:dyDescent="0.35">
      <c r="A71" s="968">
        <v>46195</v>
      </c>
      <c r="B71" s="930" t="s">
        <v>545</v>
      </c>
      <c r="C71" s="925"/>
      <c r="D71" s="925" t="s">
        <v>90</v>
      </c>
      <c r="E71" s="925"/>
      <c r="F71" s="964"/>
      <c r="G71" s="964"/>
      <c r="H71" s="964" t="s">
        <v>906</v>
      </c>
      <c r="I71" s="965" t="s">
        <v>419</v>
      </c>
      <c r="J71" s="965" t="s">
        <v>419</v>
      </c>
      <c r="K71" s="1009"/>
      <c r="L71"/>
      <c r="M71"/>
      <c r="N71"/>
      <c r="O71"/>
      <c r="P71"/>
      <c r="Q71"/>
      <c r="R71"/>
      <c r="S71"/>
      <c r="T71"/>
      <c r="U71"/>
      <c r="V71"/>
      <c r="W71"/>
      <c r="X71"/>
      <c r="Y71"/>
      <c r="Z71"/>
      <c r="AA71"/>
      <c r="AB71"/>
    </row>
    <row r="72" spans="1:28" s="813" customFormat="1" ht="24.95" customHeight="1" x14ac:dyDescent="0.35">
      <c r="A72" s="968">
        <v>45630</v>
      </c>
      <c r="B72" s="930" t="s">
        <v>466</v>
      </c>
      <c r="C72" s="925"/>
      <c r="D72" s="925" t="s">
        <v>92</v>
      </c>
      <c r="E72" s="925"/>
      <c r="F72" s="964"/>
      <c r="G72" s="964"/>
      <c r="H72" s="964">
        <v>5939</v>
      </c>
      <c r="I72" s="965">
        <v>297900</v>
      </c>
      <c r="J72" s="965">
        <v>297900</v>
      </c>
      <c r="K72" s="1009"/>
      <c r="L72"/>
      <c r="M72"/>
      <c r="N72"/>
      <c r="O72"/>
      <c r="P72"/>
      <c r="Q72"/>
      <c r="R72"/>
      <c r="S72"/>
      <c r="T72"/>
      <c r="U72"/>
      <c r="V72"/>
      <c r="W72"/>
      <c r="X72"/>
      <c r="Y72"/>
      <c r="Z72"/>
      <c r="AA72"/>
      <c r="AB72"/>
    </row>
    <row r="73" spans="1:28" s="813" customFormat="1" ht="24.95" customHeight="1" x14ac:dyDescent="0.35">
      <c r="A73" s="968" t="s">
        <v>421</v>
      </c>
      <c r="B73" s="930" t="s">
        <v>270</v>
      </c>
      <c r="C73" s="925"/>
      <c r="D73" s="925" t="s">
        <v>90</v>
      </c>
      <c r="E73" s="925"/>
      <c r="F73" s="964"/>
      <c r="G73" s="964"/>
      <c r="H73" s="964">
        <v>5950</v>
      </c>
      <c r="I73" s="965" t="s">
        <v>419</v>
      </c>
      <c r="J73" s="965" t="s">
        <v>419</v>
      </c>
      <c r="K73" s="1009"/>
      <c r="L73"/>
      <c r="M73"/>
      <c r="N73"/>
      <c r="O73"/>
      <c r="P73"/>
      <c r="Q73"/>
      <c r="R73"/>
      <c r="S73"/>
      <c r="T73"/>
      <c r="U73"/>
      <c r="V73"/>
      <c r="W73"/>
      <c r="X73"/>
      <c r="Y73"/>
      <c r="Z73"/>
      <c r="AA73"/>
      <c r="AB73"/>
    </row>
    <row r="74" spans="1:28" s="813" customFormat="1" ht="24.95" customHeight="1" x14ac:dyDescent="0.35">
      <c r="A74" s="968">
        <v>45700</v>
      </c>
      <c r="B74" s="930" t="s">
        <v>270</v>
      </c>
      <c r="C74" s="925"/>
      <c r="D74" s="925" t="s">
        <v>90</v>
      </c>
      <c r="E74" s="925"/>
      <c r="F74" s="964"/>
      <c r="G74" s="964"/>
      <c r="H74" s="964">
        <v>5990</v>
      </c>
      <c r="I74" s="965">
        <v>1200</v>
      </c>
      <c r="J74" s="965">
        <v>1200</v>
      </c>
      <c r="K74" s="1009"/>
      <c r="L74"/>
      <c r="M74"/>
      <c r="N74"/>
      <c r="O74"/>
      <c r="P74"/>
      <c r="Q74"/>
      <c r="R74"/>
      <c r="S74"/>
      <c r="T74"/>
      <c r="U74"/>
      <c r="V74"/>
      <c r="W74"/>
      <c r="X74"/>
      <c r="Y74"/>
      <c r="Z74"/>
      <c r="AA74"/>
      <c r="AB74"/>
    </row>
    <row r="75" spans="1:28" s="813" customFormat="1" ht="24.95" customHeight="1" x14ac:dyDescent="0.35">
      <c r="A75" s="968">
        <v>45896</v>
      </c>
      <c r="B75" s="930" t="s">
        <v>270</v>
      </c>
      <c r="C75" s="925"/>
      <c r="D75" s="925" t="s">
        <v>90</v>
      </c>
      <c r="E75" s="925"/>
      <c r="F75" s="964"/>
      <c r="G75" s="964"/>
      <c r="H75" s="964" t="s">
        <v>601</v>
      </c>
      <c r="I75" s="965" t="s">
        <v>419</v>
      </c>
      <c r="J75" s="965" t="s">
        <v>419</v>
      </c>
      <c r="K75" s="1009"/>
      <c r="L75"/>
      <c r="M75"/>
      <c r="N75"/>
      <c r="O75"/>
      <c r="P75"/>
      <c r="Q75"/>
      <c r="R75"/>
      <c r="S75"/>
      <c r="T75"/>
      <c r="U75"/>
      <c r="V75"/>
      <c r="W75"/>
      <c r="X75"/>
      <c r="Y75"/>
      <c r="Z75"/>
      <c r="AA75"/>
      <c r="AB75"/>
    </row>
    <row r="76" spans="1:28" s="813" customFormat="1" ht="24.95" customHeight="1" x14ac:dyDescent="0.35">
      <c r="A76" s="968">
        <v>45946</v>
      </c>
      <c r="B76" s="930" t="s">
        <v>270</v>
      </c>
      <c r="C76" s="925"/>
      <c r="D76" s="925" t="s">
        <v>90</v>
      </c>
      <c r="E76" s="925"/>
      <c r="F76" s="964"/>
      <c r="G76" s="964"/>
      <c r="H76" s="964" t="s">
        <v>638</v>
      </c>
      <c r="I76" s="965">
        <v>100000</v>
      </c>
      <c r="J76" s="965">
        <v>100000</v>
      </c>
      <c r="K76" s="1009"/>
      <c r="L76"/>
      <c r="M76"/>
      <c r="N76"/>
      <c r="O76"/>
      <c r="P76"/>
      <c r="Q76"/>
      <c r="R76"/>
      <c r="S76"/>
      <c r="T76"/>
      <c r="U76"/>
      <c r="V76"/>
      <c r="W76"/>
      <c r="X76"/>
      <c r="Y76"/>
      <c r="Z76"/>
      <c r="AA76"/>
      <c r="AB76"/>
    </row>
    <row r="77" spans="1:28" s="813" customFormat="1" ht="24.95" customHeight="1" x14ac:dyDescent="0.35">
      <c r="A77" s="968">
        <v>45946</v>
      </c>
      <c r="B77" s="930" t="s">
        <v>270</v>
      </c>
      <c r="C77" s="925"/>
      <c r="D77" s="925" t="s">
        <v>90</v>
      </c>
      <c r="E77" s="925"/>
      <c r="F77" s="964"/>
      <c r="G77" s="964"/>
      <c r="H77" s="964" t="s">
        <v>639</v>
      </c>
      <c r="I77" s="965">
        <v>89000</v>
      </c>
      <c r="J77" s="965">
        <v>89000</v>
      </c>
      <c r="K77" s="1009"/>
      <c r="L77"/>
      <c r="M77"/>
      <c r="N77"/>
      <c r="O77"/>
      <c r="P77"/>
      <c r="Q77"/>
      <c r="R77"/>
      <c r="S77"/>
      <c r="T77"/>
      <c r="U77"/>
      <c r="V77"/>
      <c r="W77"/>
      <c r="X77"/>
      <c r="Y77"/>
      <c r="Z77"/>
      <c r="AA77"/>
      <c r="AB77"/>
    </row>
    <row r="78" spans="1:28" s="813" customFormat="1" ht="24.95" customHeight="1" x14ac:dyDescent="0.35">
      <c r="A78" s="968">
        <v>45946</v>
      </c>
      <c r="B78" s="930" t="s">
        <v>270</v>
      </c>
      <c r="C78" s="925"/>
      <c r="D78" s="925" t="s">
        <v>90</v>
      </c>
      <c r="E78" s="925"/>
      <c r="F78" s="964"/>
      <c r="G78" s="964"/>
      <c r="H78" s="964" t="s">
        <v>640</v>
      </c>
      <c r="I78" s="965">
        <v>105000</v>
      </c>
      <c r="J78" s="965">
        <v>105000</v>
      </c>
      <c r="K78" s="1009"/>
      <c r="L78"/>
      <c r="M78"/>
      <c r="N78"/>
      <c r="O78"/>
      <c r="P78"/>
      <c r="Q78"/>
      <c r="R78"/>
      <c r="S78"/>
      <c r="T78"/>
      <c r="U78"/>
      <c r="V78"/>
      <c r="W78"/>
      <c r="X78"/>
      <c r="Y78"/>
      <c r="Z78"/>
      <c r="AA78"/>
      <c r="AB78"/>
    </row>
    <row r="79" spans="1:28" s="813" customFormat="1" ht="24.95" customHeight="1" x14ac:dyDescent="0.35">
      <c r="A79" s="968">
        <v>45817</v>
      </c>
      <c r="B79" s="983" t="s">
        <v>560</v>
      </c>
      <c r="C79" s="925"/>
      <c r="D79" s="964" t="s">
        <v>90</v>
      </c>
      <c r="E79" s="964"/>
      <c r="F79" s="964"/>
      <c r="G79" s="964"/>
      <c r="H79" s="964" t="s">
        <v>556</v>
      </c>
      <c r="I79" s="965" t="s">
        <v>419</v>
      </c>
      <c r="J79" s="965" t="s">
        <v>419</v>
      </c>
      <c r="K79" s="1009"/>
      <c r="L79"/>
      <c r="M79"/>
      <c r="N79"/>
      <c r="O79"/>
      <c r="P79"/>
      <c r="Q79"/>
      <c r="R79"/>
      <c r="S79"/>
      <c r="T79"/>
      <c r="U79"/>
      <c r="V79"/>
      <c r="W79"/>
      <c r="X79"/>
      <c r="Y79"/>
      <c r="Z79"/>
      <c r="AA79"/>
      <c r="AB79"/>
    </row>
    <row r="80" spans="1:28" s="813" customFormat="1" ht="24.95" customHeight="1" x14ac:dyDescent="0.35">
      <c r="A80" s="968">
        <v>45854</v>
      </c>
      <c r="B80" s="983" t="s">
        <v>560</v>
      </c>
      <c r="C80" s="925"/>
      <c r="D80" s="964" t="s">
        <v>90</v>
      </c>
      <c r="E80" s="964"/>
      <c r="F80" s="964"/>
      <c r="G80" s="964"/>
      <c r="H80" s="964" t="s">
        <v>562</v>
      </c>
      <c r="I80" s="965" t="s">
        <v>419</v>
      </c>
      <c r="J80" s="965" t="s">
        <v>419</v>
      </c>
      <c r="K80" s="1009"/>
      <c r="L80"/>
      <c r="M80"/>
      <c r="N80"/>
      <c r="O80"/>
      <c r="P80"/>
      <c r="Q80"/>
      <c r="R80"/>
      <c r="S80"/>
      <c r="T80"/>
      <c r="U80"/>
      <c r="V80"/>
      <c r="W80"/>
      <c r="X80"/>
      <c r="Y80"/>
      <c r="Z80"/>
      <c r="AA80"/>
      <c r="AB80"/>
    </row>
    <row r="81" spans="1:28" s="813" customFormat="1" ht="24.95" customHeight="1" x14ac:dyDescent="0.35">
      <c r="A81" s="968">
        <v>45973</v>
      </c>
      <c r="B81" s="983" t="s">
        <v>560</v>
      </c>
      <c r="C81" s="925"/>
      <c r="D81" s="964" t="s">
        <v>90</v>
      </c>
      <c r="E81" s="964"/>
      <c r="F81" s="964"/>
      <c r="G81" s="964"/>
      <c r="H81" s="964" t="s">
        <v>801</v>
      </c>
      <c r="I81" s="965" t="s">
        <v>419</v>
      </c>
      <c r="J81" s="965" t="s">
        <v>419</v>
      </c>
      <c r="K81" s="1009"/>
      <c r="L81"/>
      <c r="M81"/>
      <c r="N81"/>
      <c r="O81"/>
      <c r="P81"/>
      <c r="Q81"/>
      <c r="R81"/>
      <c r="S81"/>
      <c r="T81"/>
      <c r="U81"/>
      <c r="V81"/>
      <c r="W81"/>
      <c r="X81"/>
      <c r="Y81"/>
      <c r="Z81"/>
      <c r="AA81"/>
      <c r="AB81"/>
    </row>
    <row r="82" spans="1:28" s="813" customFormat="1" ht="24.95" customHeight="1" x14ac:dyDescent="0.35">
      <c r="A82" s="968">
        <v>45993</v>
      </c>
      <c r="B82" s="983" t="s">
        <v>432</v>
      </c>
      <c r="C82" s="925"/>
      <c r="D82" s="964" t="s">
        <v>90</v>
      </c>
      <c r="E82" s="964"/>
      <c r="F82" s="964"/>
      <c r="G82" s="964"/>
      <c r="H82" s="964" t="s">
        <v>692</v>
      </c>
      <c r="I82" s="965" t="s">
        <v>419</v>
      </c>
      <c r="J82" s="965" t="s">
        <v>419</v>
      </c>
      <c r="K82" s="1009"/>
      <c r="L82"/>
      <c r="M82"/>
      <c r="N82"/>
      <c r="O82"/>
      <c r="P82"/>
      <c r="Q82"/>
      <c r="R82"/>
      <c r="S82"/>
      <c r="T82"/>
      <c r="U82"/>
      <c r="V82"/>
      <c r="W82"/>
      <c r="X82"/>
      <c r="Y82"/>
      <c r="Z82"/>
      <c r="AA82"/>
      <c r="AB82"/>
    </row>
    <row r="83" spans="1:28" s="813" customFormat="1" ht="24.95" customHeight="1" x14ac:dyDescent="0.35">
      <c r="A83" s="968">
        <v>46000</v>
      </c>
      <c r="B83" s="983" t="s">
        <v>432</v>
      </c>
      <c r="C83" s="925"/>
      <c r="D83" s="964" t="s">
        <v>90</v>
      </c>
      <c r="E83" s="964"/>
      <c r="F83" s="964"/>
      <c r="G83" s="964"/>
      <c r="H83" s="964" t="s">
        <v>702</v>
      </c>
      <c r="I83" s="965">
        <v>254250</v>
      </c>
      <c r="J83" s="965">
        <v>254250</v>
      </c>
      <c r="K83" s="1009" t="s">
        <v>478</v>
      </c>
      <c r="L83"/>
      <c r="M83"/>
      <c r="N83"/>
      <c r="O83"/>
      <c r="P83"/>
      <c r="Q83"/>
      <c r="R83"/>
      <c r="S83"/>
      <c r="T83"/>
      <c r="U83"/>
      <c r="V83"/>
      <c r="W83"/>
      <c r="X83"/>
      <c r="Y83"/>
      <c r="Z83"/>
      <c r="AA83"/>
      <c r="AB83"/>
    </row>
    <row r="84" spans="1:28" s="813" customFormat="1" ht="24.95" customHeight="1" x14ac:dyDescent="0.35">
      <c r="A84" s="968">
        <v>46032</v>
      </c>
      <c r="B84" s="983" t="s">
        <v>432</v>
      </c>
      <c r="C84" s="925"/>
      <c r="D84" s="964" t="s">
        <v>90</v>
      </c>
      <c r="E84" s="964"/>
      <c r="F84" s="964"/>
      <c r="G84" s="964"/>
      <c r="H84" s="964" t="s">
        <v>803</v>
      </c>
      <c r="I84" s="965">
        <v>415000</v>
      </c>
      <c r="J84" s="965">
        <v>415000</v>
      </c>
      <c r="K84" s="1009"/>
      <c r="L84"/>
      <c r="M84"/>
      <c r="N84"/>
      <c r="O84"/>
      <c r="P84"/>
      <c r="Q84"/>
      <c r="R84"/>
      <c r="S84"/>
      <c r="T84"/>
      <c r="U84"/>
      <c r="V84"/>
      <c r="W84"/>
      <c r="X84"/>
      <c r="Y84"/>
      <c r="Z84"/>
      <c r="AA84"/>
      <c r="AB84"/>
    </row>
    <row r="85" spans="1:28" s="813" customFormat="1" ht="24.95" customHeight="1" x14ac:dyDescent="0.35">
      <c r="A85" s="968">
        <v>46083</v>
      </c>
      <c r="B85" s="983" t="s">
        <v>560</v>
      </c>
      <c r="C85" s="925"/>
      <c r="D85" s="964" t="s">
        <v>90</v>
      </c>
      <c r="E85" s="964"/>
      <c r="F85" s="964"/>
      <c r="G85" s="964"/>
      <c r="H85" s="964" t="s">
        <v>802</v>
      </c>
      <c r="I85" s="965">
        <v>7500</v>
      </c>
      <c r="J85" s="965">
        <v>7500</v>
      </c>
      <c r="K85" s="1009"/>
      <c r="L85"/>
      <c r="M85"/>
      <c r="N85"/>
      <c r="O85"/>
      <c r="P85"/>
      <c r="Q85"/>
      <c r="R85"/>
      <c r="S85"/>
      <c r="T85"/>
      <c r="U85"/>
      <c r="V85"/>
      <c r="W85"/>
      <c r="X85"/>
      <c r="Y85"/>
      <c r="Z85"/>
      <c r="AA85"/>
      <c r="AB85"/>
    </row>
    <row r="86" spans="1:28" s="813" customFormat="1" ht="24.95" customHeight="1" x14ac:dyDescent="0.35">
      <c r="A86" s="968" t="s">
        <v>421</v>
      </c>
      <c r="B86" s="983" t="s">
        <v>432</v>
      </c>
      <c r="C86" s="925" t="s">
        <v>900</v>
      </c>
      <c r="D86" s="964" t="s">
        <v>90</v>
      </c>
      <c r="E86" s="964"/>
      <c r="F86" s="964"/>
      <c r="G86" s="964"/>
      <c r="H86" s="964" t="s">
        <v>835</v>
      </c>
      <c r="I86" s="965" t="s">
        <v>419</v>
      </c>
      <c r="J86" s="965" t="s">
        <v>419</v>
      </c>
      <c r="K86" s="1009"/>
      <c r="L86"/>
      <c r="M86"/>
      <c r="N86"/>
      <c r="O86"/>
      <c r="P86"/>
      <c r="Q86"/>
      <c r="R86"/>
      <c r="S86"/>
      <c r="T86"/>
      <c r="U86"/>
      <c r="V86"/>
      <c r="W86"/>
      <c r="X86"/>
      <c r="Y86"/>
      <c r="Z86"/>
      <c r="AA86"/>
      <c r="AB86"/>
    </row>
    <row r="87" spans="1:28" s="813" customFormat="1" ht="24.95" customHeight="1" x14ac:dyDescent="0.35">
      <c r="A87" s="968">
        <v>46118</v>
      </c>
      <c r="B87" s="983" t="s">
        <v>432</v>
      </c>
      <c r="C87" s="925"/>
      <c r="D87" s="964" t="s">
        <v>90</v>
      </c>
      <c r="E87" s="964"/>
      <c r="F87" s="964"/>
      <c r="G87" s="964"/>
      <c r="H87" s="964" t="s">
        <v>851</v>
      </c>
      <c r="I87" s="965">
        <v>105000</v>
      </c>
      <c r="J87" s="965">
        <v>105000</v>
      </c>
      <c r="K87" s="1009"/>
      <c r="L87"/>
      <c r="M87"/>
      <c r="N87"/>
      <c r="O87"/>
      <c r="P87"/>
      <c r="Q87"/>
      <c r="R87"/>
      <c r="S87"/>
      <c r="T87"/>
      <c r="U87"/>
      <c r="V87"/>
      <c r="W87"/>
      <c r="X87"/>
      <c r="Y87"/>
      <c r="Z87"/>
      <c r="AA87"/>
      <c r="AB87"/>
    </row>
    <row r="88" spans="1:28" s="813" customFormat="1" ht="24.95" customHeight="1" x14ac:dyDescent="0.35">
      <c r="A88" s="968">
        <v>46156</v>
      </c>
      <c r="B88" s="983" t="s">
        <v>432</v>
      </c>
      <c r="C88" s="925"/>
      <c r="D88" s="964" t="s">
        <v>90</v>
      </c>
      <c r="E88" s="964"/>
      <c r="F88" s="964"/>
      <c r="G88" s="964"/>
      <c r="H88" s="964" t="s">
        <v>925</v>
      </c>
      <c r="I88" s="965">
        <v>171995</v>
      </c>
      <c r="J88" s="965">
        <v>171995</v>
      </c>
      <c r="K88" s="1009"/>
      <c r="L88"/>
      <c r="M88"/>
      <c r="N88"/>
      <c r="O88"/>
      <c r="P88"/>
      <c r="Q88"/>
      <c r="R88"/>
      <c r="S88"/>
      <c r="T88"/>
      <c r="U88"/>
      <c r="V88"/>
      <c r="W88"/>
      <c r="X88"/>
      <c r="Y88"/>
      <c r="Z88"/>
      <c r="AA88"/>
      <c r="AB88"/>
    </row>
    <row r="89" spans="1:28" s="813" customFormat="1" ht="24.95" customHeight="1" x14ac:dyDescent="0.35">
      <c r="A89" s="968">
        <v>45708</v>
      </c>
      <c r="B89" s="930" t="s">
        <v>436</v>
      </c>
      <c r="C89" s="925"/>
      <c r="D89" s="964" t="s">
        <v>92</v>
      </c>
      <c r="E89" s="964"/>
      <c r="F89" s="964"/>
      <c r="G89" s="964"/>
      <c r="H89" s="964" t="s">
        <v>972</v>
      </c>
      <c r="I89" s="965">
        <v>125319</v>
      </c>
      <c r="J89" s="965">
        <v>125319</v>
      </c>
      <c r="K89" s="1009"/>
      <c r="L89"/>
      <c r="M89"/>
      <c r="N89"/>
      <c r="O89"/>
      <c r="P89"/>
      <c r="Q89"/>
      <c r="R89"/>
      <c r="S89"/>
      <c r="T89"/>
      <c r="U89"/>
      <c r="V89"/>
      <c r="W89"/>
      <c r="X89"/>
      <c r="Y89"/>
      <c r="Z89"/>
      <c r="AA89"/>
      <c r="AB89"/>
    </row>
    <row r="90" spans="1:28" s="813" customFormat="1" ht="24.95" customHeight="1" x14ac:dyDescent="0.35">
      <c r="A90" s="968">
        <v>46225</v>
      </c>
      <c r="B90" s="930" t="s">
        <v>436</v>
      </c>
      <c r="C90" s="925"/>
      <c r="D90" s="964" t="s">
        <v>92</v>
      </c>
      <c r="E90" s="964"/>
      <c r="F90" s="964"/>
      <c r="G90" s="964"/>
      <c r="H90" s="964" t="s">
        <v>952</v>
      </c>
      <c r="I90" s="965">
        <v>148535</v>
      </c>
      <c r="J90" s="965">
        <v>148535</v>
      </c>
      <c r="K90" s="1009"/>
      <c r="L90"/>
      <c r="M90"/>
      <c r="N90"/>
      <c r="O90"/>
      <c r="P90"/>
      <c r="Q90"/>
      <c r="R90"/>
      <c r="S90"/>
      <c r="T90"/>
      <c r="U90"/>
      <c r="V90"/>
      <c r="W90"/>
      <c r="X90"/>
      <c r="Y90"/>
      <c r="Z90"/>
      <c r="AA90"/>
      <c r="AB90"/>
    </row>
    <row r="91" spans="1:28" s="813" customFormat="1" ht="24.95" customHeight="1" x14ac:dyDescent="0.35">
      <c r="A91" s="968" t="s">
        <v>421</v>
      </c>
      <c r="B91" s="930" t="s">
        <v>434</v>
      </c>
      <c r="C91" s="925"/>
      <c r="D91" s="964" t="s">
        <v>90</v>
      </c>
      <c r="E91" s="964"/>
      <c r="F91" s="964"/>
      <c r="G91" s="964"/>
      <c r="H91" s="964" t="s">
        <v>665</v>
      </c>
      <c r="I91" s="965" t="s">
        <v>914</v>
      </c>
      <c r="J91" s="965" t="s">
        <v>914</v>
      </c>
      <c r="K91" s="1009" t="s">
        <v>913</v>
      </c>
      <c r="L91"/>
      <c r="M91"/>
      <c r="N91"/>
      <c r="O91"/>
      <c r="P91"/>
      <c r="Q91"/>
      <c r="R91"/>
      <c r="S91"/>
      <c r="T91"/>
      <c r="U91"/>
      <c r="V91"/>
      <c r="W91"/>
      <c r="X91"/>
      <c r="Y91"/>
      <c r="Z91"/>
      <c r="AA91"/>
      <c r="AB91"/>
    </row>
    <row r="92" spans="1:28" s="813" customFormat="1" ht="24.95" customHeight="1" x14ac:dyDescent="0.35">
      <c r="A92" s="968">
        <v>45723</v>
      </c>
      <c r="B92" s="930" t="s">
        <v>428</v>
      </c>
      <c r="C92" s="925"/>
      <c r="D92" s="964" t="s">
        <v>92</v>
      </c>
      <c r="E92" s="964"/>
      <c r="F92" s="964"/>
      <c r="G92" s="964"/>
      <c r="H92" s="964" t="s">
        <v>501</v>
      </c>
      <c r="I92" s="965">
        <v>8000</v>
      </c>
      <c r="J92" s="965">
        <v>8000</v>
      </c>
      <c r="K92" s="1009"/>
      <c r="L92"/>
      <c r="M92"/>
      <c r="N92"/>
      <c r="O92"/>
      <c r="P92"/>
      <c r="Q92"/>
      <c r="R92"/>
      <c r="S92"/>
      <c r="T92"/>
      <c r="U92"/>
      <c r="V92"/>
      <c r="W92"/>
      <c r="X92"/>
      <c r="Y92"/>
      <c r="Z92"/>
      <c r="AA92"/>
      <c r="AB92"/>
    </row>
    <row r="93" spans="1:28" s="813" customFormat="1" ht="24.95" customHeight="1" x14ac:dyDescent="0.35">
      <c r="A93" s="968">
        <v>46107</v>
      </c>
      <c r="B93" s="930" t="s">
        <v>428</v>
      </c>
      <c r="C93" s="925"/>
      <c r="D93" s="964" t="s">
        <v>92</v>
      </c>
      <c r="E93" s="964"/>
      <c r="F93" s="964"/>
      <c r="G93" s="964"/>
      <c r="H93" s="964" t="s">
        <v>846</v>
      </c>
      <c r="I93" s="965">
        <v>82930</v>
      </c>
      <c r="J93" s="965">
        <v>82930</v>
      </c>
      <c r="K93" s="1009"/>
      <c r="L93"/>
      <c r="M93"/>
      <c r="N93"/>
      <c r="O93"/>
      <c r="P93"/>
      <c r="Q93"/>
      <c r="R93"/>
      <c r="S93"/>
      <c r="T93"/>
      <c r="U93"/>
      <c r="V93"/>
      <c r="W93"/>
      <c r="X93"/>
      <c r="Y93"/>
      <c r="Z93"/>
      <c r="AA93"/>
      <c r="AB93"/>
    </row>
    <row r="94" spans="1:28" s="813" customFormat="1" ht="24.95" customHeight="1" x14ac:dyDescent="0.35">
      <c r="A94" s="968">
        <v>46156</v>
      </c>
      <c r="B94" s="930" t="s">
        <v>428</v>
      </c>
      <c r="C94" s="925"/>
      <c r="D94" s="964" t="s">
        <v>92</v>
      </c>
      <c r="E94" s="964"/>
      <c r="F94" s="964"/>
      <c r="G94" s="964"/>
      <c r="H94" s="964" t="s">
        <v>868</v>
      </c>
      <c r="I94" s="965" t="s">
        <v>419</v>
      </c>
      <c r="J94" s="965" t="s">
        <v>419</v>
      </c>
      <c r="K94" s="1009"/>
      <c r="L94"/>
      <c r="M94"/>
      <c r="N94"/>
      <c r="O94"/>
      <c r="P94"/>
      <c r="Q94"/>
      <c r="R94"/>
      <c r="S94"/>
      <c r="T94"/>
      <c r="U94"/>
      <c r="V94"/>
      <c r="W94"/>
      <c r="X94"/>
      <c r="Y94"/>
      <c r="Z94"/>
      <c r="AA94"/>
      <c r="AB94"/>
    </row>
    <row r="95" spans="1:28" s="749" customFormat="1" ht="24.95" customHeight="1" x14ac:dyDescent="0.35">
      <c r="A95" s="968" t="s">
        <v>421</v>
      </c>
      <c r="B95" s="930" t="s">
        <v>446</v>
      </c>
      <c r="C95" s="925" t="s">
        <v>740</v>
      </c>
      <c r="D95" s="964" t="s">
        <v>90</v>
      </c>
      <c r="E95" s="964"/>
      <c r="F95" s="964"/>
      <c r="G95" s="964"/>
      <c r="H95" s="964" t="s">
        <v>896</v>
      </c>
      <c r="I95" s="965">
        <v>1090000</v>
      </c>
      <c r="J95" s="965">
        <v>1090000</v>
      </c>
      <c r="K95" s="1009"/>
      <c r="L95"/>
      <c r="M95"/>
      <c r="N95"/>
      <c r="O95"/>
      <c r="P95"/>
      <c r="Q95"/>
      <c r="R95"/>
      <c r="S95"/>
      <c r="T95"/>
      <c r="U95"/>
      <c r="V95"/>
      <c r="W95"/>
      <c r="X95"/>
      <c r="Y95"/>
      <c r="Z95"/>
      <c r="AA95"/>
      <c r="AB95"/>
    </row>
    <row r="96" spans="1:28" s="749" customFormat="1" ht="24.95" customHeight="1" x14ac:dyDescent="0.35">
      <c r="A96" s="968" t="s">
        <v>421</v>
      </c>
      <c r="B96" s="930" t="s">
        <v>299</v>
      </c>
      <c r="C96" s="925"/>
      <c r="D96" s="925" t="s">
        <v>92</v>
      </c>
      <c r="E96" s="925"/>
      <c r="F96" s="964"/>
      <c r="G96" s="964"/>
      <c r="H96" s="964" t="s">
        <v>506</v>
      </c>
      <c r="I96" s="965">
        <v>77261.850000000006</v>
      </c>
      <c r="J96" s="965">
        <v>77261.850000000006</v>
      </c>
      <c r="K96" s="1009"/>
      <c r="L96"/>
      <c r="M96"/>
      <c r="N96"/>
      <c r="O96"/>
      <c r="P96"/>
      <c r="Q96"/>
      <c r="R96"/>
      <c r="S96"/>
      <c r="T96"/>
      <c r="U96"/>
      <c r="V96"/>
      <c r="W96"/>
      <c r="X96"/>
      <c r="Y96"/>
      <c r="Z96"/>
      <c r="AA96"/>
      <c r="AB96"/>
    </row>
    <row r="97" spans="1:28" s="749" customFormat="1" ht="24.95" customHeight="1" x14ac:dyDescent="0.35">
      <c r="A97" s="968" t="s">
        <v>421</v>
      </c>
      <c r="B97" s="930" t="s">
        <v>299</v>
      </c>
      <c r="C97" s="925"/>
      <c r="D97" s="925" t="s">
        <v>92</v>
      </c>
      <c r="E97" s="925"/>
      <c r="F97" s="964"/>
      <c r="G97" s="964"/>
      <c r="H97" s="964" t="s">
        <v>525</v>
      </c>
      <c r="I97" s="965">
        <v>86950</v>
      </c>
      <c r="J97" s="965">
        <v>86950</v>
      </c>
      <c r="K97" s="1009"/>
      <c r="L97"/>
      <c r="M97"/>
      <c r="N97"/>
      <c r="O97"/>
      <c r="P97"/>
      <c r="Q97"/>
      <c r="R97"/>
      <c r="S97"/>
      <c r="T97"/>
      <c r="U97"/>
      <c r="V97"/>
      <c r="W97"/>
      <c r="X97"/>
      <c r="Y97"/>
      <c r="Z97"/>
      <c r="AA97"/>
      <c r="AB97"/>
    </row>
    <row r="98" spans="1:28" s="782" customFormat="1" ht="24.95" customHeight="1" x14ac:dyDescent="0.35">
      <c r="A98" s="968">
        <v>45790</v>
      </c>
      <c r="B98" s="930" t="s">
        <v>660</v>
      </c>
      <c r="C98" s="925"/>
      <c r="D98" s="925" t="s">
        <v>90</v>
      </c>
      <c r="E98" s="925"/>
      <c r="F98" s="964"/>
      <c r="G98" s="964"/>
      <c r="H98" s="964" t="s">
        <v>520</v>
      </c>
      <c r="I98" s="965">
        <v>487467.5</v>
      </c>
      <c r="J98" s="965">
        <v>487467.5</v>
      </c>
      <c r="K98" s="1009"/>
      <c r="L98"/>
      <c r="M98"/>
      <c r="N98"/>
      <c r="O98"/>
      <c r="P98"/>
      <c r="Q98"/>
      <c r="R98"/>
      <c r="S98"/>
      <c r="T98"/>
      <c r="U98"/>
      <c r="V98"/>
      <c r="W98"/>
      <c r="X98"/>
      <c r="Y98"/>
      <c r="Z98"/>
      <c r="AA98"/>
      <c r="AB98"/>
    </row>
    <row r="99" spans="1:28" s="782" customFormat="1" ht="24.95" customHeight="1" x14ac:dyDescent="0.35">
      <c r="A99" s="968">
        <v>45973</v>
      </c>
      <c r="B99" s="930" t="s">
        <v>660</v>
      </c>
      <c r="C99" s="925"/>
      <c r="D99" s="925" t="s">
        <v>90</v>
      </c>
      <c r="E99" s="925"/>
      <c r="F99" s="964"/>
      <c r="G99" s="964"/>
      <c r="H99" s="964" t="s">
        <v>677</v>
      </c>
      <c r="I99" s="965">
        <v>39180</v>
      </c>
      <c r="J99" s="965">
        <v>39180</v>
      </c>
      <c r="K99" s="1009"/>
      <c r="L99"/>
      <c r="M99"/>
      <c r="N99"/>
      <c r="O99"/>
      <c r="P99"/>
      <c r="Q99"/>
      <c r="R99"/>
      <c r="S99"/>
      <c r="T99"/>
      <c r="U99"/>
      <c r="V99"/>
      <c r="W99"/>
      <c r="X99"/>
      <c r="Y99"/>
      <c r="Z99"/>
      <c r="AA99"/>
      <c r="AB99"/>
    </row>
    <row r="100" spans="1:28" s="782" customFormat="1" ht="24.95" customHeight="1" x14ac:dyDescent="0.35">
      <c r="A100" s="968" t="s">
        <v>557</v>
      </c>
      <c r="B100" s="930" t="s">
        <v>662</v>
      </c>
      <c r="C100" s="925"/>
      <c r="D100" s="964" t="s">
        <v>92</v>
      </c>
      <c r="E100" s="964"/>
      <c r="F100" s="964"/>
      <c r="G100" s="964"/>
      <c r="H100" s="964" t="s">
        <v>564</v>
      </c>
      <c r="I100" s="965">
        <v>115000</v>
      </c>
      <c r="J100" s="965">
        <v>115000</v>
      </c>
      <c r="K100" s="1009"/>
      <c r="L100"/>
      <c r="M100"/>
      <c r="N100"/>
      <c r="O100"/>
      <c r="P100"/>
      <c r="Q100"/>
      <c r="R100"/>
      <c r="S100"/>
      <c r="T100"/>
      <c r="U100"/>
      <c r="V100"/>
      <c r="W100"/>
      <c r="X100"/>
      <c r="Y100"/>
      <c r="Z100"/>
      <c r="AA100"/>
      <c r="AB100"/>
    </row>
    <row r="101" spans="1:28" s="782" customFormat="1" ht="24.95" customHeight="1" x14ac:dyDescent="0.35">
      <c r="A101" s="968" t="s">
        <v>421</v>
      </c>
      <c r="B101" s="930" t="s">
        <v>662</v>
      </c>
      <c r="C101" s="925"/>
      <c r="D101" s="964" t="s">
        <v>92</v>
      </c>
      <c r="E101" s="964"/>
      <c r="F101" s="964"/>
      <c r="G101" s="964"/>
      <c r="H101" s="964" t="s">
        <v>565</v>
      </c>
      <c r="I101" s="965">
        <v>25895</v>
      </c>
      <c r="J101" s="965">
        <v>25895</v>
      </c>
      <c r="K101" s="1009"/>
      <c r="L101"/>
      <c r="M101"/>
      <c r="N101"/>
      <c r="O101"/>
      <c r="P101"/>
      <c r="Q101"/>
      <c r="R101"/>
      <c r="S101"/>
      <c r="T101"/>
      <c r="U101"/>
      <c r="V101"/>
      <c r="W101"/>
      <c r="X101"/>
      <c r="Y101"/>
      <c r="Z101"/>
      <c r="AA101"/>
      <c r="AB101"/>
    </row>
    <row r="102" spans="1:28" s="782" customFormat="1" ht="24.95" customHeight="1" x14ac:dyDescent="0.35">
      <c r="A102" s="968" t="s">
        <v>421</v>
      </c>
      <c r="B102" s="930" t="s">
        <v>663</v>
      </c>
      <c r="C102" s="925"/>
      <c r="D102" s="964" t="s">
        <v>90</v>
      </c>
      <c r="E102" s="964"/>
      <c r="F102" s="964"/>
      <c r="G102" s="964"/>
      <c r="H102" s="964" t="s">
        <v>571</v>
      </c>
      <c r="I102" s="965">
        <v>45000</v>
      </c>
      <c r="J102" s="965">
        <v>45000</v>
      </c>
      <c r="K102" s="1009"/>
      <c r="L102"/>
      <c r="M102"/>
      <c r="N102"/>
      <c r="O102"/>
      <c r="P102"/>
      <c r="Q102"/>
      <c r="R102"/>
      <c r="S102"/>
      <c r="T102"/>
      <c r="U102"/>
      <c r="V102"/>
      <c r="W102"/>
      <c r="X102"/>
      <c r="Y102"/>
      <c r="Z102"/>
      <c r="AA102"/>
      <c r="AB102"/>
    </row>
    <row r="103" spans="1:28" s="941" customFormat="1" ht="24.95" customHeight="1" x14ac:dyDescent="0.35">
      <c r="A103" s="968">
        <v>45874</v>
      </c>
      <c r="B103" s="930" t="s">
        <v>664</v>
      </c>
      <c r="C103" s="925"/>
      <c r="D103" s="964" t="s">
        <v>92</v>
      </c>
      <c r="E103" s="964"/>
      <c r="F103" s="964"/>
      <c r="G103" s="964"/>
      <c r="H103" s="964" t="s">
        <v>585</v>
      </c>
      <c r="I103" s="965">
        <v>105000</v>
      </c>
      <c r="J103" s="965">
        <v>105000</v>
      </c>
      <c r="K103" s="1009"/>
      <c r="L103"/>
      <c r="M103"/>
      <c r="N103"/>
      <c r="O103"/>
      <c r="P103"/>
      <c r="Q103"/>
      <c r="R103"/>
      <c r="S103"/>
      <c r="T103"/>
      <c r="U103"/>
      <c r="V103"/>
      <c r="W103"/>
      <c r="X103"/>
      <c r="Y103"/>
      <c r="Z103"/>
      <c r="AA103"/>
      <c r="AB103"/>
    </row>
    <row r="104" spans="1:28" s="749" customFormat="1" ht="24.95" customHeight="1" x14ac:dyDescent="0.35">
      <c r="A104" s="968">
        <v>46008</v>
      </c>
      <c r="B104" s="930" t="s">
        <v>281</v>
      </c>
      <c r="C104" s="925"/>
      <c r="D104" s="964" t="s">
        <v>282</v>
      </c>
      <c r="E104" s="964"/>
      <c r="F104" s="964"/>
      <c r="G104" s="964"/>
      <c r="H104" s="964" t="s">
        <v>707</v>
      </c>
      <c r="I104" s="965" t="s">
        <v>419</v>
      </c>
      <c r="J104" s="965" t="s">
        <v>419</v>
      </c>
      <c r="K104" s="1009"/>
      <c r="L104"/>
      <c r="M104"/>
      <c r="N104"/>
      <c r="O104"/>
      <c r="P104"/>
      <c r="Q104"/>
      <c r="R104"/>
      <c r="S104"/>
      <c r="T104"/>
      <c r="U104"/>
      <c r="V104"/>
      <c r="W104"/>
      <c r="X104"/>
      <c r="Y104"/>
      <c r="Z104"/>
      <c r="AA104"/>
      <c r="AB104"/>
    </row>
    <row r="105" spans="1:28" s="749" customFormat="1" ht="24.95" customHeight="1" x14ac:dyDescent="0.35">
      <c r="A105" s="968">
        <v>45772</v>
      </c>
      <c r="B105" s="930" t="s">
        <v>596</v>
      </c>
      <c r="C105" s="925"/>
      <c r="D105" s="964" t="s">
        <v>92</v>
      </c>
      <c r="E105" s="964"/>
      <c r="F105" s="964"/>
      <c r="G105" s="964"/>
      <c r="H105" s="964" t="s">
        <v>597</v>
      </c>
      <c r="I105" s="965">
        <v>142240</v>
      </c>
      <c r="J105" s="965">
        <v>142240</v>
      </c>
      <c r="K105" s="1009"/>
      <c r="L105"/>
      <c r="M105"/>
      <c r="N105"/>
      <c r="O105"/>
      <c r="P105"/>
      <c r="Q105"/>
      <c r="R105"/>
      <c r="S105"/>
      <c r="T105"/>
      <c r="U105"/>
      <c r="V105"/>
      <c r="W105"/>
      <c r="X105"/>
      <c r="Y105"/>
      <c r="Z105"/>
      <c r="AA105"/>
      <c r="AB105"/>
    </row>
    <row r="106" spans="1:28" s="782" customFormat="1" ht="24.95" customHeight="1" x14ac:dyDescent="0.35">
      <c r="A106" s="968">
        <v>45897</v>
      </c>
      <c r="B106" s="930" t="s">
        <v>666</v>
      </c>
      <c r="C106" s="925"/>
      <c r="D106" s="964" t="s">
        <v>92</v>
      </c>
      <c r="E106" s="964"/>
      <c r="F106" s="964"/>
      <c r="G106" s="964"/>
      <c r="H106" s="964" t="s">
        <v>602</v>
      </c>
      <c r="I106" s="965">
        <v>3500</v>
      </c>
      <c r="J106" s="965">
        <v>3500</v>
      </c>
      <c r="K106" s="1009"/>
      <c r="L106"/>
      <c r="M106"/>
      <c r="N106"/>
      <c r="O106"/>
      <c r="P106"/>
      <c r="Q106"/>
      <c r="R106"/>
      <c r="S106"/>
      <c r="T106"/>
      <c r="U106"/>
      <c r="V106"/>
      <c r="W106"/>
      <c r="X106"/>
      <c r="Y106"/>
      <c r="Z106"/>
      <c r="AA106"/>
      <c r="AB106"/>
    </row>
    <row r="107" spans="1:28" s="782" customFormat="1" ht="24.95" customHeight="1" x14ac:dyDescent="0.35">
      <c r="A107" s="968">
        <v>45908</v>
      </c>
      <c r="B107" s="930" t="s">
        <v>614</v>
      </c>
      <c r="C107" s="925"/>
      <c r="D107" s="964" t="s">
        <v>92</v>
      </c>
      <c r="E107" s="964"/>
      <c r="F107" s="964"/>
      <c r="G107" s="964"/>
      <c r="H107" s="964" t="s">
        <v>615</v>
      </c>
      <c r="I107" s="965" t="s">
        <v>419</v>
      </c>
      <c r="J107" s="965" t="s">
        <v>419</v>
      </c>
      <c r="K107" s="1009"/>
      <c r="L107"/>
      <c r="M107"/>
      <c r="N107"/>
      <c r="O107"/>
      <c r="P107"/>
      <c r="Q107"/>
      <c r="R107"/>
      <c r="S107"/>
      <c r="T107"/>
      <c r="U107"/>
      <c r="V107"/>
      <c r="W107"/>
      <c r="X107"/>
      <c r="Y107"/>
      <c r="Z107"/>
      <c r="AA107"/>
      <c r="AB107"/>
    </row>
    <row r="108" spans="1:28" s="782" customFormat="1" ht="24.95" customHeight="1" x14ac:dyDescent="0.35">
      <c r="A108" s="968">
        <v>45923</v>
      </c>
      <c r="B108" s="930" t="s">
        <v>614</v>
      </c>
      <c r="C108" s="925"/>
      <c r="D108" s="964" t="s">
        <v>92</v>
      </c>
      <c r="E108" s="964"/>
      <c r="F108" s="964"/>
      <c r="G108" s="964"/>
      <c r="H108" s="964" t="s">
        <v>626</v>
      </c>
      <c r="I108" s="965" t="s">
        <v>419</v>
      </c>
      <c r="J108" s="965" t="s">
        <v>419</v>
      </c>
      <c r="K108" s="1009"/>
      <c r="L108"/>
      <c r="M108"/>
      <c r="N108"/>
      <c r="O108"/>
      <c r="P108"/>
      <c r="Q108"/>
      <c r="R108"/>
      <c r="S108"/>
      <c r="T108"/>
      <c r="U108"/>
      <c r="V108"/>
      <c r="W108"/>
      <c r="X108"/>
      <c r="Y108"/>
      <c r="Z108"/>
      <c r="AA108"/>
      <c r="AB108"/>
    </row>
    <row r="109" spans="1:28" s="782" customFormat="1" ht="24.95" customHeight="1" x14ac:dyDescent="0.35">
      <c r="A109" s="968"/>
      <c r="B109" s="930" t="s">
        <v>614</v>
      </c>
      <c r="C109" s="925"/>
      <c r="D109" s="964" t="s">
        <v>92</v>
      </c>
      <c r="E109" s="964"/>
      <c r="F109" s="964"/>
      <c r="G109" s="964"/>
      <c r="H109" s="964" t="s">
        <v>918</v>
      </c>
      <c r="I109" s="965" t="s">
        <v>419</v>
      </c>
      <c r="J109" s="965" t="s">
        <v>419</v>
      </c>
      <c r="K109" s="1009"/>
      <c r="L109"/>
      <c r="M109"/>
      <c r="N109"/>
      <c r="O109"/>
      <c r="P109"/>
      <c r="Q109"/>
      <c r="R109"/>
      <c r="S109"/>
      <c r="T109"/>
      <c r="U109"/>
      <c r="V109"/>
      <c r="W109"/>
      <c r="X109"/>
      <c r="Y109"/>
      <c r="Z109"/>
      <c r="AA109"/>
      <c r="AB109"/>
    </row>
    <row r="110" spans="1:28" s="782" customFormat="1" ht="24.95" customHeight="1" x14ac:dyDescent="0.35">
      <c r="A110" s="968"/>
      <c r="B110" s="930" t="s">
        <v>614</v>
      </c>
      <c r="C110" s="925"/>
      <c r="D110" s="964" t="s">
        <v>92</v>
      </c>
      <c r="E110" s="964"/>
      <c r="F110" s="964"/>
      <c r="G110" s="964"/>
      <c r="H110" s="964" t="s">
        <v>919</v>
      </c>
      <c r="I110" s="965" t="s">
        <v>419</v>
      </c>
      <c r="J110" s="965" t="s">
        <v>419</v>
      </c>
      <c r="K110" s="1009"/>
      <c r="L110"/>
      <c r="M110"/>
      <c r="N110"/>
      <c r="O110"/>
      <c r="P110"/>
      <c r="Q110"/>
      <c r="R110"/>
      <c r="S110"/>
      <c r="T110"/>
      <c r="U110"/>
      <c r="V110"/>
      <c r="W110"/>
      <c r="X110"/>
      <c r="Y110"/>
      <c r="Z110"/>
      <c r="AA110"/>
      <c r="AB110"/>
    </row>
    <row r="111" spans="1:28" s="782" customFormat="1" ht="24.95" customHeight="1" x14ac:dyDescent="0.35">
      <c r="A111" s="968"/>
      <c r="B111" s="930" t="s">
        <v>920</v>
      </c>
      <c r="C111" s="925"/>
      <c r="D111" s="964" t="s">
        <v>92</v>
      </c>
      <c r="E111" s="964"/>
      <c r="F111" s="964"/>
      <c r="G111" s="964"/>
      <c r="H111" s="964" t="s">
        <v>921</v>
      </c>
      <c r="I111" s="965" t="s">
        <v>419</v>
      </c>
      <c r="J111" s="965" t="s">
        <v>419</v>
      </c>
      <c r="K111" s="1009"/>
      <c r="L111"/>
      <c r="M111"/>
      <c r="N111"/>
      <c r="O111"/>
      <c r="P111"/>
      <c r="Q111"/>
      <c r="R111"/>
      <c r="S111"/>
      <c r="T111"/>
      <c r="U111"/>
      <c r="V111"/>
      <c r="W111"/>
      <c r="X111"/>
      <c r="Y111"/>
      <c r="Z111"/>
      <c r="AA111"/>
      <c r="AB111"/>
    </row>
    <row r="112" spans="1:28" s="782" customFormat="1" ht="24.95" customHeight="1" x14ac:dyDescent="0.35">
      <c r="A112" s="968">
        <v>45909</v>
      </c>
      <c r="B112" s="930" t="s">
        <v>617</v>
      </c>
      <c r="C112" s="925"/>
      <c r="D112" s="964" t="s">
        <v>92</v>
      </c>
      <c r="E112" s="964"/>
      <c r="F112" s="964"/>
      <c r="G112" s="964"/>
      <c r="H112" s="964" t="s">
        <v>618</v>
      </c>
      <c r="I112" s="965">
        <v>43995</v>
      </c>
      <c r="J112" s="965">
        <v>43995</v>
      </c>
      <c r="K112" s="1009"/>
      <c r="L112"/>
      <c r="M112"/>
      <c r="N112"/>
      <c r="O112"/>
      <c r="P112"/>
      <c r="Q112"/>
      <c r="R112"/>
      <c r="S112"/>
      <c r="T112"/>
      <c r="U112"/>
      <c r="V112"/>
      <c r="W112"/>
      <c r="X112"/>
      <c r="Y112"/>
      <c r="Z112"/>
      <c r="AA112"/>
      <c r="AB112"/>
    </row>
    <row r="113" spans="1:28" s="782" customFormat="1" ht="24.95" customHeight="1" x14ac:dyDescent="0.35">
      <c r="A113" s="968">
        <v>45911</v>
      </c>
      <c r="B113" s="930" t="s">
        <v>617</v>
      </c>
      <c r="C113" s="925"/>
      <c r="D113" s="964" t="s">
        <v>92</v>
      </c>
      <c r="E113" s="964"/>
      <c r="F113" s="964"/>
      <c r="G113" s="964"/>
      <c r="H113" s="964" t="s">
        <v>624</v>
      </c>
      <c r="I113" s="965">
        <v>5400</v>
      </c>
      <c r="J113" s="965">
        <v>5400</v>
      </c>
      <c r="K113" s="1009"/>
      <c r="L113"/>
      <c r="M113"/>
      <c r="N113"/>
      <c r="O113"/>
      <c r="P113"/>
      <c r="Q113"/>
      <c r="R113"/>
      <c r="S113"/>
      <c r="T113"/>
      <c r="U113"/>
      <c r="V113"/>
      <c r="W113"/>
      <c r="X113"/>
      <c r="Y113"/>
      <c r="Z113"/>
      <c r="AA113"/>
      <c r="AB113"/>
    </row>
    <row r="114" spans="1:28" s="941" customFormat="1" ht="24.95" customHeight="1" x14ac:dyDescent="0.35">
      <c r="A114" s="968">
        <v>45912</v>
      </c>
      <c r="B114" s="930" t="s">
        <v>617</v>
      </c>
      <c r="C114" s="925"/>
      <c r="D114" s="964" t="s">
        <v>92</v>
      </c>
      <c r="E114" s="964"/>
      <c r="F114" s="964"/>
      <c r="G114" s="964"/>
      <c r="H114" s="964" t="s">
        <v>625</v>
      </c>
      <c r="I114" s="965">
        <v>5400</v>
      </c>
      <c r="J114" s="965">
        <v>5400</v>
      </c>
      <c r="K114" s="1009"/>
      <c r="L114"/>
      <c r="M114"/>
      <c r="N114"/>
      <c r="O114"/>
      <c r="P114"/>
      <c r="Q114"/>
      <c r="R114"/>
      <c r="S114"/>
      <c r="T114"/>
      <c r="U114"/>
      <c r="V114"/>
      <c r="W114"/>
      <c r="X114"/>
      <c r="Y114"/>
      <c r="Z114"/>
      <c r="AA114"/>
      <c r="AB114"/>
    </row>
    <row r="115" spans="1:28" s="749" customFormat="1" ht="24.95" customHeight="1" x14ac:dyDescent="0.35">
      <c r="A115" s="968">
        <v>45929</v>
      </c>
      <c r="B115" s="930" t="s">
        <v>617</v>
      </c>
      <c r="C115" s="925"/>
      <c r="D115" s="964" t="s">
        <v>92</v>
      </c>
      <c r="E115" s="964"/>
      <c r="F115" s="964"/>
      <c r="G115" s="964"/>
      <c r="H115" s="964" t="s">
        <v>667</v>
      </c>
      <c r="I115" s="965">
        <v>180000</v>
      </c>
      <c r="J115" s="965">
        <v>180000</v>
      </c>
      <c r="K115" s="1009"/>
      <c r="L115"/>
      <c r="M115"/>
      <c r="N115"/>
      <c r="O115"/>
      <c r="P115"/>
      <c r="Q115"/>
      <c r="R115"/>
      <c r="S115"/>
      <c r="T115"/>
      <c r="U115"/>
      <c r="V115"/>
      <c r="W115"/>
      <c r="X115"/>
      <c r="Y115"/>
      <c r="Z115"/>
      <c r="AA115"/>
      <c r="AB115"/>
    </row>
    <row r="116" spans="1:28" s="749" customFormat="1" ht="24.95" customHeight="1" x14ac:dyDescent="0.35">
      <c r="A116" s="968">
        <v>46000</v>
      </c>
      <c r="B116" s="930" t="s">
        <v>617</v>
      </c>
      <c r="C116" s="925"/>
      <c r="D116" s="964" t="s">
        <v>92</v>
      </c>
      <c r="E116" s="964"/>
      <c r="F116" s="964"/>
      <c r="G116" s="964"/>
      <c r="H116" s="964" t="s">
        <v>698</v>
      </c>
      <c r="I116" s="965">
        <v>92000</v>
      </c>
      <c r="J116" s="965">
        <v>92000</v>
      </c>
      <c r="K116" s="1009"/>
      <c r="L116"/>
      <c r="M116"/>
      <c r="N116"/>
      <c r="O116"/>
      <c r="P116"/>
      <c r="Q116"/>
      <c r="R116"/>
      <c r="S116"/>
      <c r="T116"/>
      <c r="U116"/>
      <c r="V116"/>
      <c r="W116"/>
      <c r="X116"/>
      <c r="Y116"/>
      <c r="Z116"/>
      <c r="AA116"/>
      <c r="AB116"/>
    </row>
    <row r="117" spans="1:28" s="749" customFormat="1" ht="24.95" customHeight="1" x14ac:dyDescent="0.35">
      <c r="A117" s="968">
        <v>45663</v>
      </c>
      <c r="B117" s="930" t="s">
        <v>717</v>
      </c>
      <c r="C117" s="925"/>
      <c r="D117" s="964" t="s">
        <v>92</v>
      </c>
      <c r="E117" s="964"/>
      <c r="F117" s="964"/>
      <c r="G117" s="964"/>
      <c r="H117" s="964" t="s">
        <v>718</v>
      </c>
      <c r="I117" s="965">
        <v>2885</v>
      </c>
      <c r="J117" s="965">
        <v>2885</v>
      </c>
      <c r="K117" s="1009"/>
      <c r="L117"/>
      <c r="M117"/>
      <c r="N117"/>
      <c r="O117"/>
      <c r="P117"/>
      <c r="Q117"/>
      <c r="R117"/>
      <c r="S117"/>
      <c r="T117"/>
      <c r="U117"/>
      <c r="V117"/>
      <c r="W117"/>
      <c r="X117"/>
      <c r="Y117"/>
      <c r="Z117"/>
      <c r="AA117"/>
      <c r="AB117"/>
    </row>
    <row r="118" spans="1:28" s="749" customFormat="1" ht="24.95" customHeight="1" x14ac:dyDescent="0.35">
      <c r="A118" s="968" t="s">
        <v>421</v>
      </c>
      <c r="B118" s="930" t="s">
        <v>617</v>
      </c>
      <c r="C118" s="925"/>
      <c r="D118" s="964" t="s">
        <v>92</v>
      </c>
      <c r="E118" s="964"/>
      <c r="F118" s="964"/>
      <c r="G118" s="964"/>
      <c r="H118" s="964" t="s">
        <v>824</v>
      </c>
      <c r="I118" s="965">
        <v>31540</v>
      </c>
      <c r="J118" s="965">
        <v>31540</v>
      </c>
      <c r="K118" s="1009"/>
      <c r="L118"/>
      <c r="M118"/>
      <c r="N118"/>
      <c r="O118"/>
      <c r="P118"/>
      <c r="Q118"/>
      <c r="R118"/>
      <c r="S118"/>
      <c r="T118"/>
      <c r="U118"/>
      <c r="V118"/>
      <c r="W118"/>
      <c r="X118"/>
      <c r="Y118"/>
      <c r="Z118"/>
      <c r="AA118"/>
      <c r="AB118"/>
    </row>
    <row r="119" spans="1:28" s="749" customFormat="1" ht="24.95" customHeight="1" x14ac:dyDescent="0.35">
      <c r="A119" s="968" t="s">
        <v>421</v>
      </c>
      <c r="B119" s="930" t="s">
        <v>617</v>
      </c>
      <c r="C119" s="925"/>
      <c r="D119" s="964" t="s">
        <v>92</v>
      </c>
      <c r="E119" s="964"/>
      <c r="F119" s="964"/>
      <c r="G119" s="964"/>
      <c r="H119" s="964" t="s">
        <v>825</v>
      </c>
      <c r="I119" s="965">
        <v>80900</v>
      </c>
      <c r="J119" s="965">
        <v>80900</v>
      </c>
      <c r="K119" s="1009"/>
      <c r="L119"/>
      <c r="M119"/>
      <c r="N119"/>
      <c r="O119"/>
      <c r="P119"/>
      <c r="Q119"/>
      <c r="R119"/>
      <c r="S119"/>
      <c r="T119"/>
      <c r="U119"/>
      <c r="V119"/>
      <c r="W119"/>
      <c r="X119"/>
      <c r="Y119"/>
      <c r="Z119"/>
      <c r="AA119"/>
      <c r="AB119"/>
    </row>
    <row r="120" spans="1:28" s="749" customFormat="1" ht="24.95" customHeight="1" x14ac:dyDescent="0.35">
      <c r="A120" s="968">
        <v>45964</v>
      </c>
      <c r="B120" s="930" t="s">
        <v>669</v>
      </c>
      <c r="C120" s="925"/>
      <c r="D120" s="964" t="s">
        <v>282</v>
      </c>
      <c r="E120" s="964"/>
      <c r="F120" s="964"/>
      <c r="G120" s="964"/>
      <c r="H120" s="964" t="s">
        <v>670</v>
      </c>
      <c r="I120" s="965">
        <v>81575</v>
      </c>
      <c r="J120" s="965">
        <v>81575</v>
      </c>
      <c r="K120" s="1009"/>
      <c r="L120"/>
      <c r="M120"/>
      <c r="N120"/>
      <c r="O120"/>
      <c r="P120"/>
      <c r="Q120"/>
      <c r="R120"/>
      <c r="S120"/>
      <c r="T120"/>
      <c r="U120"/>
      <c r="V120"/>
      <c r="W120"/>
      <c r="X120"/>
      <c r="Y120"/>
      <c r="Z120"/>
      <c r="AA120"/>
      <c r="AB120"/>
    </row>
    <row r="121" spans="1:28" s="749" customFormat="1" ht="24.95" customHeight="1" x14ac:dyDescent="0.35">
      <c r="A121" s="968">
        <v>45978</v>
      </c>
      <c r="B121" s="930" t="s">
        <v>669</v>
      </c>
      <c r="C121" s="925"/>
      <c r="D121" s="964" t="s">
        <v>282</v>
      </c>
      <c r="E121" s="964"/>
      <c r="F121" s="964"/>
      <c r="G121" s="964"/>
      <c r="H121" s="964" t="s">
        <v>493</v>
      </c>
      <c r="I121" s="965">
        <v>134000</v>
      </c>
      <c r="J121" s="965">
        <v>134000</v>
      </c>
      <c r="K121" s="1009"/>
      <c r="L121"/>
      <c r="M121"/>
      <c r="N121"/>
      <c r="O121"/>
      <c r="P121"/>
      <c r="Q121"/>
      <c r="R121"/>
      <c r="S121"/>
      <c r="T121"/>
      <c r="U121"/>
      <c r="V121"/>
      <c r="W121"/>
      <c r="X121"/>
      <c r="Y121"/>
      <c r="Z121"/>
      <c r="AA121"/>
      <c r="AB121"/>
    </row>
    <row r="122" spans="1:28" s="749" customFormat="1" ht="24.95" customHeight="1" x14ac:dyDescent="0.35">
      <c r="A122" s="968">
        <v>45964</v>
      </c>
      <c r="B122" s="930" t="s">
        <v>669</v>
      </c>
      <c r="C122" s="925"/>
      <c r="D122" s="964" t="s">
        <v>282</v>
      </c>
      <c r="E122" s="964"/>
      <c r="F122" s="964"/>
      <c r="G122" s="964"/>
      <c r="H122" s="964" t="s">
        <v>850</v>
      </c>
      <c r="I122" s="965">
        <v>216575</v>
      </c>
      <c r="J122" s="965">
        <v>216575</v>
      </c>
      <c r="K122" s="1009"/>
      <c r="L122"/>
      <c r="M122"/>
      <c r="N122"/>
      <c r="O122"/>
      <c r="P122"/>
      <c r="Q122"/>
      <c r="R122"/>
      <c r="S122"/>
      <c r="T122"/>
      <c r="U122"/>
      <c r="V122"/>
      <c r="W122"/>
      <c r="X122"/>
      <c r="Y122"/>
      <c r="Z122"/>
      <c r="AA122"/>
      <c r="AB122"/>
    </row>
    <row r="123" spans="1:28" s="749" customFormat="1" ht="24.95" customHeight="1" x14ac:dyDescent="0.35">
      <c r="A123" s="968">
        <v>46150</v>
      </c>
      <c r="B123" s="930" t="s">
        <v>669</v>
      </c>
      <c r="C123" s="925"/>
      <c r="D123" s="964" t="s">
        <v>282</v>
      </c>
      <c r="E123" s="964"/>
      <c r="F123" s="964"/>
      <c r="G123" s="964"/>
      <c r="H123" s="964" t="s">
        <v>861</v>
      </c>
      <c r="I123" s="965" t="s">
        <v>419</v>
      </c>
      <c r="J123" s="965" t="s">
        <v>419</v>
      </c>
      <c r="K123" s="1009"/>
      <c r="L123"/>
      <c r="M123"/>
      <c r="N123"/>
      <c r="O123"/>
      <c r="P123"/>
      <c r="Q123"/>
      <c r="R123"/>
      <c r="S123"/>
      <c r="T123"/>
      <c r="U123"/>
      <c r="V123"/>
      <c r="W123"/>
      <c r="X123"/>
      <c r="Y123"/>
      <c r="Z123"/>
      <c r="AA123"/>
      <c r="AB123"/>
    </row>
    <row r="124" spans="1:28" s="749" customFormat="1" ht="24.95" customHeight="1" x14ac:dyDescent="0.35">
      <c r="A124" s="968">
        <v>45981</v>
      </c>
      <c r="B124" s="930" t="s">
        <v>683</v>
      </c>
      <c r="C124" s="925"/>
      <c r="D124" s="964" t="s">
        <v>92</v>
      </c>
      <c r="E124" s="964"/>
      <c r="F124" s="964"/>
      <c r="G124" s="964"/>
      <c r="H124" s="964" t="s">
        <v>684</v>
      </c>
      <c r="I124" s="965">
        <v>72550</v>
      </c>
      <c r="J124" s="965">
        <v>72550</v>
      </c>
      <c r="K124" s="1009"/>
      <c r="L124"/>
      <c r="M124"/>
      <c r="N124"/>
      <c r="O124"/>
      <c r="P124"/>
      <c r="Q124"/>
      <c r="R124"/>
      <c r="S124"/>
      <c r="T124"/>
      <c r="U124"/>
      <c r="V124"/>
      <c r="W124"/>
      <c r="X124"/>
      <c r="Y124"/>
      <c r="Z124"/>
      <c r="AA124"/>
      <c r="AB124"/>
    </row>
    <row r="125" spans="1:28" s="749" customFormat="1" ht="24.95" customHeight="1" x14ac:dyDescent="0.35">
      <c r="A125" s="968">
        <v>46006</v>
      </c>
      <c r="B125" s="930" t="s">
        <v>683</v>
      </c>
      <c r="C125" s="925"/>
      <c r="D125" s="964" t="s">
        <v>92</v>
      </c>
      <c r="E125" s="964"/>
      <c r="F125" s="964"/>
      <c r="G125" s="964"/>
      <c r="H125" s="964" t="s">
        <v>709</v>
      </c>
      <c r="I125" s="965">
        <v>72550</v>
      </c>
      <c r="J125" s="965">
        <v>72550</v>
      </c>
      <c r="K125" s="1009"/>
      <c r="L125"/>
      <c r="M125"/>
      <c r="N125"/>
      <c r="O125"/>
      <c r="P125"/>
      <c r="Q125"/>
      <c r="R125"/>
      <c r="S125"/>
      <c r="T125"/>
      <c r="U125"/>
      <c r="V125"/>
      <c r="W125"/>
      <c r="X125"/>
      <c r="Y125"/>
      <c r="Z125"/>
      <c r="AA125"/>
      <c r="AB125"/>
    </row>
    <row r="126" spans="1:28" s="749" customFormat="1" ht="24.95" customHeight="1" x14ac:dyDescent="0.35">
      <c r="A126" s="968">
        <v>46133</v>
      </c>
      <c r="B126" s="930" t="s">
        <v>683</v>
      </c>
      <c r="C126" s="925"/>
      <c r="D126" s="964" t="s">
        <v>92</v>
      </c>
      <c r="E126" s="964"/>
      <c r="F126" s="964"/>
      <c r="G126" s="964"/>
      <c r="H126" s="964" t="s">
        <v>855</v>
      </c>
      <c r="I126" s="965">
        <v>105000</v>
      </c>
      <c r="J126" s="965">
        <v>105000</v>
      </c>
      <c r="K126" s="1009"/>
      <c r="L126"/>
      <c r="M126"/>
      <c r="N126"/>
      <c r="O126"/>
      <c r="P126"/>
      <c r="Q126"/>
      <c r="R126"/>
      <c r="S126"/>
      <c r="T126"/>
      <c r="U126"/>
      <c r="V126"/>
      <c r="W126"/>
      <c r="X126"/>
      <c r="Y126"/>
      <c r="Z126"/>
      <c r="AA126"/>
      <c r="AB126"/>
    </row>
    <row r="127" spans="1:28" s="749" customFormat="1" ht="24.95" customHeight="1" x14ac:dyDescent="0.35">
      <c r="A127" s="968">
        <v>45985</v>
      </c>
      <c r="B127" s="930" t="s">
        <v>681</v>
      </c>
      <c r="C127" s="925"/>
      <c r="D127" s="964" t="s">
        <v>92</v>
      </c>
      <c r="E127" s="964"/>
      <c r="F127" s="964"/>
      <c r="G127" s="964"/>
      <c r="H127" s="964" t="s">
        <v>682</v>
      </c>
      <c r="I127" s="965">
        <v>1850000</v>
      </c>
      <c r="J127" s="965">
        <v>1850000</v>
      </c>
      <c r="K127" s="1009"/>
      <c r="L127"/>
      <c r="M127"/>
      <c r="N127"/>
      <c r="O127"/>
      <c r="P127"/>
      <c r="Q127"/>
      <c r="R127"/>
      <c r="S127"/>
      <c r="T127"/>
      <c r="U127"/>
      <c r="V127"/>
      <c r="W127"/>
      <c r="X127"/>
      <c r="Y127"/>
      <c r="Z127"/>
      <c r="AA127"/>
      <c r="AB127"/>
    </row>
    <row r="128" spans="1:28" s="749" customFormat="1" ht="24.95" customHeight="1" x14ac:dyDescent="0.35">
      <c r="A128" s="968">
        <v>45986</v>
      </c>
      <c r="B128" s="930" t="s">
        <v>686</v>
      </c>
      <c r="C128" s="925"/>
      <c r="D128" s="964" t="s">
        <v>90</v>
      </c>
      <c r="E128" s="964"/>
      <c r="F128" s="964" t="s">
        <v>732</v>
      </c>
      <c r="G128" s="964"/>
      <c r="H128" s="964" t="s">
        <v>758</v>
      </c>
      <c r="I128" s="965">
        <v>2429160.35</v>
      </c>
      <c r="J128" s="965">
        <v>1480176.42</v>
      </c>
      <c r="K128" s="1009" t="s">
        <v>478</v>
      </c>
      <c r="L128"/>
      <c r="M128"/>
      <c r="N128"/>
      <c r="O128"/>
      <c r="P128"/>
      <c r="Q128"/>
      <c r="R128"/>
      <c r="S128"/>
      <c r="T128"/>
      <c r="U128"/>
      <c r="V128"/>
      <c r="W128"/>
      <c r="X128"/>
      <c r="Y128"/>
      <c r="Z128"/>
      <c r="AA128"/>
      <c r="AB128"/>
    </row>
    <row r="129" spans="1:28" s="749" customFormat="1" ht="24.95" customHeight="1" x14ac:dyDescent="0.35">
      <c r="A129" s="968">
        <v>45965</v>
      </c>
      <c r="B129" s="930" t="s">
        <v>695</v>
      </c>
      <c r="C129" s="925"/>
      <c r="D129" s="964" t="s">
        <v>90</v>
      </c>
      <c r="E129" s="964"/>
      <c r="F129" s="964"/>
      <c r="G129" s="964"/>
      <c r="H129" s="964" t="s">
        <v>696</v>
      </c>
      <c r="I129" s="965" t="s">
        <v>419</v>
      </c>
      <c r="J129" s="965" t="s">
        <v>419</v>
      </c>
      <c r="K129" s="1009"/>
      <c r="L129"/>
      <c r="M129"/>
      <c r="N129"/>
      <c r="O129"/>
      <c r="P129"/>
      <c r="Q129"/>
      <c r="R129"/>
      <c r="S129"/>
      <c r="T129"/>
      <c r="U129"/>
      <c r="V129"/>
      <c r="W129"/>
      <c r="X129"/>
      <c r="Y129"/>
      <c r="Z129"/>
      <c r="AA129"/>
      <c r="AB129"/>
    </row>
    <row r="130" spans="1:28" s="749" customFormat="1" ht="24.95" customHeight="1" x14ac:dyDescent="0.35">
      <c r="A130" s="968">
        <v>45995</v>
      </c>
      <c r="B130" s="930" t="s">
        <v>699</v>
      </c>
      <c r="C130" s="925"/>
      <c r="D130" s="964" t="s">
        <v>90</v>
      </c>
      <c r="E130" s="964"/>
      <c r="F130" s="964" t="s">
        <v>895</v>
      </c>
      <c r="G130" s="964"/>
      <c r="H130" s="964" t="s">
        <v>700</v>
      </c>
      <c r="I130" s="965">
        <v>98000</v>
      </c>
      <c r="J130" s="965">
        <v>98000</v>
      </c>
      <c r="K130" s="1009"/>
      <c r="L130"/>
      <c r="M130"/>
      <c r="N130"/>
      <c r="O130"/>
      <c r="P130"/>
      <c r="Q130"/>
      <c r="R130"/>
      <c r="S130"/>
      <c r="T130"/>
      <c r="U130"/>
      <c r="V130"/>
      <c r="W130"/>
      <c r="X130"/>
      <c r="Y130"/>
      <c r="Z130"/>
      <c r="AA130"/>
      <c r="AB130"/>
    </row>
    <row r="131" spans="1:28" s="749" customFormat="1" ht="24.95" customHeight="1" x14ac:dyDescent="0.35">
      <c r="A131" s="968">
        <v>46032</v>
      </c>
      <c r="B131" s="930" t="s">
        <v>699</v>
      </c>
      <c r="C131" s="925"/>
      <c r="D131" s="964" t="s">
        <v>90</v>
      </c>
      <c r="E131" s="964"/>
      <c r="F131" s="964" t="s">
        <v>903</v>
      </c>
      <c r="G131" s="964"/>
      <c r="H131" s="964" t="s">
        <v>723</v>
      </c>
      <c r="I131" s="965">
        <v>337980</v>
      </c>
      <c r="J131" s="965">
        <v>337980</v>
      </c>
      <c r="K131" s="1009"/>
      <c r="L131"/>
      <c r="M131"/>
      <c r="N131"/>
      <c r="O131"/>
      <c r="P131"/>
      <c r="Q131"/>
      <c r="R131"/>
      <c r="S131"/>
      <c r="T131"/>
      <c r="U131"/>
      <c r="V131"/>
      <c r="W131"/>
      <c r="X131"/>
      <c r="Y131"/>
      <c r="Z131"/>
      <c r="AA131"/>
      <c r="AB131"/>
    </row>
    <row r="132" spans="1:28" s="749" customFormat="1" ht="24.95" customHeight="1" x14ac:dyDescent="0.35">
      <c r="A132" s="968">
        <v>46206</v>
      </c>
      <c r="B132" s="930" t="s">
        <v>699</v>
      </c>
      <c r="C132" s="925"/>
      <c r="D132" s="964" t="s">
        <v>90</v>
      </c>
      <c r="E132" s="964"/>
      <c r="F132" s="964"/>
      <c r="G132" s="964"/>
      <c r="H132" s="964" t="s">
        <v>928</v>
      </c>
      <c r="I132" s="965" t="s">
        <v>419</v>
      </c>
      <c r="J132" s="965" t="s">
        <v>419</v>
      </c>
      <c r="K132" s="1009"/>
      <c r="L132"/>
      <c r="M132"/>
      <c r="N132"/>
      <c r="O132"/>
      <c r="P132"/>
      <c r="Q132"/>
      <c r="R132"/>
      <c r="S132"/>
      <c r="T132"/>
      <c r="U132"/>
      <c r="V132"/>
      <c r="W132"/>
      <c r="X132"/>
      <c r="Y132"/>
      <c r="Z132"/>
      <c r="AA132"/>
      <c r="AB132"/>
    </row>
    <row r="133" spans="1:28" s="749" customFormat="1" ht="24.95" customHeight="1" x14ac:dyDescent="0.35">
      <c r="A133" s="968">
        <v>46232</v>
      </c>
      <c r="B133" s="930" t="s">
        <v>699</v>
      </c>
      <c r="C133" s="925"/>
      <c r="D133" s="964" t="s">
        <v>90</v>
      </c>
      <c r="E133" s="964"/>
      <c r="F133" s="964"/>
      <c r="G133" s="964"/>
      <c r="H133" s="964" t="s">
        <v>975</v>
      </c>
      <c r="I133" s="965" t="s">
        <v>419</v>
      </c>
      <c r="J133" s="965" t="s">
        <v>419</v>
      </c>
      <c r="K133" s="1009"/>
      <c r="L133"/>
      <c r="M133"/>
      <c r="N133"/>
      <c r="O133"/>
      <c r="P133"/>
      <c r="Q133"/>
      <c r="R133"/>
      <c r="S133"/>
      <c r="T133"/>
      <c r="U133"/>
      <c r="V133"/>
      <c r="W133"/>
      <c r="X133"/>
      <c r="Y133"/>
      <c r="Z133"/>
      <c r="AA133"/>
      <c r="AB133"/>
    </row>
    <row r="134" spans="1:28" s="749" customFormat="1" ht="24.95" customHeight="1" x14ac:dyDescent="0.35">
      <c r="A134" s="968" t="s">
        <v>705</v>
      </c>
      <c r="B134" s="930" t="s">
        <v>485</v>
      </c>
      <c r="C134" s="925"/>
      <c r="D134" s="964" t="s">
        <v>282</v>
      </c>
      <c r="E134" s="964"/>
      <c r="F134" s="964" t="s">
        <v>734</v>
      </c>
      <c r="G134" s="964"/>
      <c r="H134" s="964" t="s">
        <v>706</v>
      </c>
      <c r="I134" s="965">
        <v>18800</v>
      </c>
      <c r="J134" s="965">
        <v>18800</v>
      </c>
      <c r="K134" s="1009"/>
      <c r="L134"/>
      <c r="M134"/>
      <c r="N134"/>
      <c r="O134"/>
      <c r="P134"/>
      <c r="Q134"/>
      <c r="R134"/>
      <c r="S134"/>
      <c r="T134"/>
      <c r="U134"/>
      <c r="V134"/>
      <c r="W134"/>
      <c r="X134"/>
      <c r="Y134"/>
      <c r="Z134"/>
      <c r="AA134"/>
      <c r="AB134"/>
    </row>
    <row r="135" spans="1:28" s="749" customFormat="1" ht="24.95" customHeight="1" x14ac:dyDescent="0.35">
      <c r="A135" s="968">
        <v>46008</v>
      </c>
      <c r="B135" s="930" t="s">
        <v>485</v>
      </c>
      <c r="C135" s="925"/>
      <c r="D135" s="964" t="s">
        <v>282</v>
      </c>
      <c r="E135" s="964"/>
      <c r="F135" s="964" t="s">
        <v>735</v>
      </c>
      <c r="G135" s="964"/>
      <c r="H135" s="964" t="s">
        <v>710</v>
      </c>
      <c r="I135" s="965">
        <v>23868</v>
      </c>
      <c r="J135" s="965">
        <v>23868</v>
      </c>
      <c r="K135" s="1009"/>
      <c r="L135"/>
      <c r="M135"/>
      <c r="N135"/>
      <c r="O135"/>
      <c r="P135"/>
      <c r="Q135"/>
      <c r="R135"/>
      <c r="S135"/>
      <c r="T135"/>
      <c r="U135"/>
      <c r="V135"/>
      <c r="W135"/>
      <c r="X135"/>
      <c r="Y135"/>
      <c r="Z135"/>
      <c r="AA135"/>
      <c r="AB135"/>
    </row>
    <row r="136" spans="1:28" s="749" customFormat="1" ht="24.95" customHeight="1" x14ac:dyDescent="0.35">
      <c r="A136" s="968">
        <v>45662</v>
      </c>
      <c r="B136" s="930" t="s">
        <v>683</v>
      </c>
      <c r="C136" s="925"/>
      <c r="D136" s="964" t="s">
        <v>92</v>
      </c>
      <c r="E136" s="964"/>
      <c r="F136" s="964"/>
      <c r="G136" s="964"/>
      <c r="H136" s="964" t="s">
        <v>719</v>
      </c>
      <c r="I136" s="965">
        <v>3500</v>
      </c>
      <c r="J136" s="965">
        <v>3500</v>
      </c>
      <c r="K136" s="1009"/>
      <c r="L136"/>
      <c r="M136"/>
      <c r="N136"/>
      <c r="O136"/>
      <c r="P136"/>
      <c r="Q136"/>
      <c r="R136"/>
      <c r="S136"/>
      <c r="T136"/>
      <c r="U136"/>
      <c r="V136"/>
      <c r="W136"/>
      <c r="X136"/>
      <c r="Y136"/>
      <c r="Z136"/>
      <c r="AA136"/>
      <c r="AB136"/>
    </row>
    <row r="137" spans="1:28" s="749" customFormat="1" ht="24.95" customHeight="1" x14ac:dyDescent="0.35">
      <c r="A137" s="968">
        <v>45662</v>
      </c>
      <c r="B137" s="930" t="s">
        <v>683</v>
      </c>
      <c r="C137" s="925"/>
      <c r="D137" s="964" t="s">
        <v>92</v>
      </c>
      <c r="E137" s="964"/>
      <c r="F137" s="964"/>
      <c r="G137" s="964"/>
      <c r="H137" s="964" t="s">
        <v>720</v>
      </c>
      <c r="I137" s="965">
        <v>3500</v>
      </c>
      <c r="J137" s="965">
        <v>3500</v>
      </c>
      <c r="K137" s="1009"/>
      <c r="L137"/>
      <c r="M137"/>
      <c r="N137"/>
      <c r="O137"/>
      <c r="P137"/>
      <c r="Q137"/>
      <c r="R137"/>
      <c r="S137"/>
      <c r="T137"/>
      <c r="U137"/>
      <c r="V137"/>
      <c r="W137"/>
      <c r="X137"/>
      <c r="Y137"/>
      <c r="Z137"/>
      <c r="AA137"/>
      <c r="AB137"/>
    </row>
    <row r="138" spans="1:28" s="749" customFormat="1" ht="24.95" customHeight="1" x14ac:dyDescent="0.35">
      <c r="A138" s="968">
        <v>46042</v>
      </c>
      <c r="B138" s="930" t="s">
        <v>730</v>
      </c>
      <c r="C138" s="925"/>
      <c r="D138" s="964" t="s">
        <v>90</v>
      </c>
      <c r="E138" s="964"/>
      <c r="F138" s="964"/>
      <c r="G138" s="964"/>
      <c r="H138" s="964" t="s">
        <v>731</v>
      </c>
      <c r="I138" s="965" t="s">
        <v>419</v>
      </c>
      <c r="J138" s="965" t="s">
        <v>419</v>
      </c>
      <c r="K138" s="1009"/>
      <c r="L138"/>
      <c r="M138"/>
      <c r="N138"/>
      <c r="O138"/>
      <c r="P138"/>
      <c r="Q138"/>
      <c r="R138"/>
      <c r="S138"/>
      <c r="T138"/>
      <c r="U138"/>
      <c r="V138"/>
      <c r="W138"/>
      <c r="X138"/>
      <c r="Y138"/>
      <c r="Z138"/>
      <c r="AA138"/>
      <c r="AB138"/>
    </row>
    <row r="139" spans="1:28" s="749" customFormat="1" ht="24.95" customHeight="1" x14ac:dyDescent="0.35">
      <c r="A139" s="968">
        <v>46048</v>
      </c>
      <c r="B139" s="930" t="s">
        <v>155</v>
      </c>
      <c r="C139" s="925"/>
      <c r="D139" s="964" t="s">
        <v>94</v>
      </c>
      <c r="E139" s="964"/>
      <c r="F139" s="964"/>
      <c r="G139" s="964"/>
      <c r="H139" s="964" t="s">
        <v>818</v>
      </c>
      <c r="I139" s="965">
        <v>1425260</v>
      </c>
      <c r="J139" s="965">
        <v>1425260</v>
      </c>
      <c r="K139" s="1009"/>
      <c r="L139"/>
      <c r="M139"/>
      <c r="N139"/>
      <c r="O139"/>
      <c r="P139"/>
      <c r="Q139"/>
      <c r="R139"/>
      <c r="S139"/>
      <c r="T139"/>
      <c r="U139"/>
      <c r="V139"/>
      <c r="W139"/>
      <c r="X139"/>
      <c r="Y139"/>
      <c r="Z139"/>
      <c r="AA139"/>
      <c r="AB139"/>
    </row>
    <row r="140" spans="1:28" s="749" customFormat="1" ht="24.95" customHeight="1" x14ac:dyDescent="0.35">
      <c r="A140" s="968">
        <v>46051</v>
      </c>
      <c r="B140" s="930" t="s">
        <v>741</v>
      </c>
      <c r="C140" s="925"/>
      <c r="D140" s="964" t="s">
        <v>92</v>
      </c>
      <c r="E140" s="964"/>
      <c r="F140" s="964"/>
      <c r="G140" s="964"/>
      <c r="H140" s="964" t="s">
        <v>742</v>
      </c>
      <c r="I140" s="965">
        <v>99500</v>
      </c>
      <c r="J140" s="965">
        <v>99500</v>
      </c>
      <c r="K140" s="1009"/>
      <c r="L140"/>
      <c r="M140"/>
      <c r="N140"/>
      <c r="O140"/>
      <c r="P140"/>
      <c r="Q140"/>
      <c r="R140"/>
      <c r="S140"/>
      <c r="T140"/>
      <c r="U140"/>
      <c r="V140"/>
      <c r="W140"/>
      <c r="X140"/>
      <c r="Y140"/>
      <c r="Z140"/>
      <c r="AA140"/>
      <c r="AB140"/>
    </row>
    <row r="141" spans="1:28" s="749" customFormat="1" ht="24.95" customHeight="1" x14ac:dyDescent="0.35">
      <c r="A141" s="968">
        <v>46051</v>
      </c>
      <c r="B141" s="930" t="s">
        <v>741</v>
      </c>
      <c r="C141" s="925"/>
      <c r="D141" s="964" t="s">
        <v>92</v>
      </c>
      <c r="E141" s="964"/>
      <c r="F141" s="964"/>
      <c r="G141" s="964"/>
      <c r="H141" s="964" t="s">
        <v>743</v>
      </c>
      <c r="I141" s="965">
        <v>80000</v>
      </c>
      <c r="J141" s="965">
        <v>80000</v>
      </c>
      <c r="K141" s="1009"/>
      <c r="L141"/>
      <c r="M141"/>
      <c r="N141"/>
      <c r="O141"/>
      <c r="P141"/>
      <c r="Q141"/>
      <c r="R141"/>
      <c r="S141"/>
      <c r="T141"/>
      <c r="U141"/>
      <c r="V141"/>
      <c r="W141"/>
      <c r="X141"/>
      <c r="Y141"/>
      <c r="Z141"/>
      <c r="AA141"/>
      <c r="AB141"/>
    </row>
    <row r="142" spans="1:28" s="749" customFormat="1" ht="24.95" customHeight="1" x14ac:dyDescent="0.35">
      <c r="A142" s="968">
        <v>46057</v>
      </c>
      <c r="B142" s="930" t="s">
        <v>761</v>
      </c>
      <c r="C142" s="925"/>
      <c r="D142" s="964" t="s">
        <v>282</v>
      </c>
      <c r="E142" s="964"/>
      <c r="F142" s="964"/>
      <c r="G142" s="964"/>
      <c r="H142" s="964" t="s">
        <v>762</v>
      </c>
      <c r="I142" s="965">
        <v>8800</v>
      </c>
      <c r="J142" s="965">
        <v>8800</v>
      </c>
      <c r="K142" s="1009"/>
      <c r="L142"/>
      <c r="M142"/>
      <c r="N142"/>
      <c r="O142"/>
      <c r="P142"/>
      <c r="Q142"/>
      <c r="R142"/>
      <c r="S142"/>
      <c r="T142"/>
      <c r="U142"/>
      <c r="V142"/>
      <c r="W142"/>
      <c r="X142"/>
      <c r="Y142"/>
      <c r="Z142"/>
      <c r="AA142"/>
      <c r="AB142"/>
    </row>
    <row r="143" spans="1:28" s="749" customFormat="1" ht="24.95" customHeight="1" x14ac:dyDescent="0.35">
      <c r="A143" s="968" t="s">
        <v>421</v>
      </c>
      <c r="B143" s="930" t="s">
        <v>763</v>
      </c>
      <c r="C143" s="925"/>
      <c r="D143" s="964" t="s">
        <v>92</v>
      </c>
      <c r="E143" s="964"/>
      <c r="F143" s="964"/>
      <c r="G143" s="964"/>
      <c r="H143" s="964" t="s">
        <v>764</v>
      </c>
      <c r="I143" s="965" t="s">
        <v>419</v>
      </c>
      <c r="J143" s="965" t="s">
        <v>419</v>
      </c>
      <c r="K143" s="1009"/>
      <c r="L143"/>
      <c r="M143"/>
      <c r="N143"/>
      <c r="O143"/>
      <c r="P143"/>
      <c r="Q143"/>
      <c r="R143"/>
      <c r="S143"/>
      <c r="T143"/>
      <c r="U143"/>
      <c r="V143"/>
      <c r="W143"/>
      <c r="X143"/>
      <c r="Y143"/>
      <c r="Z143"/>
      <c r="AA143"/>
      <c r="AB143"/>
    </row>
    <row r="144" spans="1:28" s="749" customFormat="1" ht="24.95" customHeight="1" x14ac:dyDescent="0.35">
      <c r="A144" s="968">
        <v>46057</v>
      </c>
      <c r="B144" s="930" t="s">
        <v>765</v>
      </c>
      <c r="C144" s="925"/>
      <c r="D144" s="964" t="s">
        <v>92</v>
      </c>
      <c r="E144" s="964"/>
      <c r="F144" s="964"/>
      <c r="G144" s="964"/>
      <c r="H144" s="964" t="s">
        <v>766</v>
      </c>
      <c r="I144" s="965" t="s">
        <v>419</v>
      </c>
      <c r="J144" s="965" t="s">
        <v>419</v>
      </c>
      <c r="K144" s="1009"/>
      <c r="L144"/>
      <c r="M144"/>
      <c r="N144"/>
      <c r="O144"/>
      <c r="P144"/>
      <c r="Q144"/>
      <c r="R144"/>
      <c r="S144"/>
      <c r="T144"/>
      <c r="U144"/>
      <c r="V144"/>
      <c r="W144"/>
      <c r="X144"/>
      <c r="Y144"/>
      <c r="Z144"/>
      <c r="AA144"/>
      <c r="AB144"/>
    </row>
    <row r="145" spans="1:28" s="749" customFormat="1" ht="24.95" customHeight="1" x14ac:dyDescent="0.35">
      <c r="A145" s="968">
        <v>46057</v>
      </c>
      <c r="B145" s="930" t="s">
        <v>765</v>
      </c>
      <c r="C145" s="925"/>
      <c r="D145" s="964" t="s">
        <v>92</v>
      </c>
      <c r="E145" s="964"/>
      <c r="F145" s="964"/>
      <c r="G145" s="964"/>
      <c r="H145" s="964" t="s">
        <v>767</v>
      </c>
      <c r="I145" s="965" t="s">
        <v>419</v>
      </c>
      <c r="J145" s="965" t="s">
        <v>419</v>
      </c>
      <c r="K145" s="1009"/>
      <c r="L145"/>
      <c r="M145"/>
      <c r="N145"/>
      <c r="O145"/>
      <c r="P145"/>
      <c r="Q145"/>
      <c r="R145"/>
      <c r="S145"/>
      <c r="T145"/>
      <c r="U145"/>
      <c r="V145"/>
      <c r="W145"/>
      <c r="X145"/>
      <c r="Y145"/>
      <c r="Z145"/>
      <c r="AA145"/>
      <c r="AB145"/>
    </row>
    <row r="146" spans="1:28" s="749" customFormat="1" ht="24.95" customHeight="1" x14ac:dyDescent="0.35">
      <c r="A146" s="968">
        <v>46057</v>
      </c>
      <c r="B146" s="930" t="s">
        <v>770</v>
      </c>
      <c r="C146" s="925"/>
      <c r="D146" s="964" t="s">
        <v>92</v>
      </c>
      <c r="E146" s="964"/>
      <c r="F146" s="964"/>
      <c r="G146" s="964"/>
      <c r="H146" s="964" t="s">
        <v>771</v>
      </c>
      <c r="I146" s="965">
        <v>17500</v>
      </c>
      <c r="J146" s="965">
        <v>17500</v>
      </c>
      <c r="K146" s="1009" t="s">
        <v>478</v>
      </c>
      <c r="L146"/>
      <c r="M146"/>
      <c r="N146"/>
      <c r="O146"/>
      <c r="P146"/>
      <c r="Q146"/>
      <c r="R146"/>
      <c r="S146"/>
      <c r="T146"/>
      <c r="U146"/>
      <c r="V146"/>
      <c r="W146"/>
      <c r="X146"/>
      <c r="Y146"/>
      <c r="Z146"/>
      <c r="AA146"/>
      <c r="AB146"/>
    </row>
    <row r="147" spans="1:28" s="749" customFormat="1" ht="24.95" customHeight="1" x14ac:dyDescent="0.35">
      <c r="A147" s="968"/>
      <c r="B147" s="930" t="s">
        <v>772</v>
      </c>
      <c r="C147" s="925"/>
      <c r="D147" s="964" t="s">
        <v>92</v>
      </c>
      <c r="E147" s="964"/>
      <c r="F147" s="964"/>
      <c r="G147" s="964"/>
      <c r="H147" s="964" t="s">
        <v>773</v>
      </c>
      <c r="I147" s="965">
        <v>39895</v>
      </c>
      <c r="J147" s="965">
        <v>39895</v>
      </c>
      <c r="K147" s="1009"/>
      <c r="L147"/>
      <c r="M147"/>
      <c r="N147"/>
      <c r="O147"/>
      <c r="P147"/>
      <c r="Q147"/>
      <c r="R147"/>
      <c r="S147"/>
      <c r="T147"/>
      <c r="U147"/>
      <c r="V147"/>
      <c r="W147"/>
      <c r="X147"/>
      <c r="Y147"/>
      <c r="Z147"/>
      <c r="AA147"/>
      <c r="AB147"/>
    </row>
    <row r="148" spans="1:28" s="749" customFormat="1" ht="24.95" customHeight="1" x14ac:dyDescent="0.35">
      <c r="A148" s="968">
        <v>46071</v>
      </c>
      <c r="B148" s="930" t="s">
        <v>772</v>
      </c>
      <c r="C148" s="925"/>
      <c r="D148" s="964" t="s">
        <v>92</v>
      </c>
      <c r="E148" s="964"/>
      <c r="F148" s="964"/>
      <c r="G148" s="964"/>
      <c r="H148" s="964" t="s">
        <v>787</v>
      </c>
      <c r="I148" s="965">
        <v>25036</v>
      </c>
      <c r="J148" s="965">
        <v>25036</v>
      </c>
      <c r="K148" s="1009"/>
      <c r="L148"/>
      <c r="M148"/>
      <c r="N148"/>
      <c r="O148"/>
      <c r="P148"/>
      <c r="Q148"/>
      <c r="R148"/>
      <c r="S148"/>
      <c r="T148"/>
      <c r="U148"/>
      <c r="V148"/>
      <c r="W148"/>
      <c r="X148"/>
      <c r="Y148"/>
      <c r="Z148"/>
      <c r="AA148"/>
      <c r="AB148"/>
    </row>
    <row r="149" spans="1:28" s="749" customFormat="1" ht="24.95" customHeight="1" x14ac:dyDescent="0.35">
      <c r="A149" s="968">
        <v>46119</v>
      </c>
      <c r="B149" s="930" t="s">
        <v>772</v>
      </c>
      <c r="C149" s="925"/>
      <c r="D149" s="964" t="s">
        <v>92</v>
      </c>
      <c r="E149" s="964"/>
      <c r="F149" s="964"/>
      <c r="G149" s="964"/>
      <c r="H149" s="964" t="s">
        <v>856</v>
      </c>
      <c r="I149" s="965">
        <v>23194</v>
      </c>
      <c r="J149" s="965">
        <v>23194</v>
      </c>
      <c r="K149" s="1009"/>
      <c r="L149"/>
      <c r="M149"/>
      <c r="N149"/>
      <c r="O149"/>
      <c r="P149"/>
      <c r="Q149"/>
      <c r="R149"/>
      <c r="S149"/>
      <c r="T149"/>
      <c r="U149"/>
      <c r="V149"/>
      <c r="W149"/>
      <c r="X149"/>
      <c r="Y149"/>
      <c r="Z149"/>
      <c r="AA149"/>
      <c r="AB149"/>
    </row>
    <row r="150" spans="1:28" s="749" customFormat="1" ht="24.95" customHeight="1" x14ac:dyDescent="0.35">
      <c r="A150" s="968">
        <v>46140</v>
      </c>
      <c r="B150" s="930" t="s">
        <v>772</v>
      </c>
      <c r="C150" s="925"/>
      <c r="D150" s="964" t="s">
        <v>92</v>
      </c>
      <c r="E150" s="964"/>
      <c r="F150" s="964"/>
      <c r="G150" s="964"/>
      <c r="H150" s="964" t="s">
        <v>857</v>
      </c>
      <c r="I150" s="965">
        <v>70381.600000000006</v>
      </c>
      <c r="J150" s="965">
        <v>70381.600000000006</v>
      </c>
      <c r="K150" s="1009"/>
      <c r="L150"/>
      <c r="M150"/>
      <c r="N150"/>
      <c r="O150"/>
      <c r="P150"/>
      <c r="Q150"/>
      <c r="R150"/>
      <c r="S150"/>
      <c r="T150"/>
      <c r="U150"/>
      <c r="V150"/>
      <c r="W150"/>
      <c r="X150"/>
      <c r="Y150"/>
      <c r="Z150"/>
      <c r="AA150"/>
      <c r="AB150"/>
    </row>
    <row r="151" spans="1:28" s="749" customFormat="1" ht="24.95" customHeight="1" x14ac:dyDescent="0.35">
      <c r="A151" s="968">
        <v>46168</v>
      </c>
      <c r="B151" s="930" t="s">
        <v>772</v>
      </c>
      <c r="C151" s="925"/>
      <c r="D151" s="964" t="s">
        <v>92</v>
      </c>
      <c r="E151" s="964"/>
      <c r="F151" s="964"/>
      <c r="G151" s="964"/>
      <c r="H151" s="964" t="s">
        <v>883</v>
      </c>
      <c r="I151" s="965">
        <v>20472.55</v>
      </c>
      <c r="J151" s="965">
        <v>20472.55</v>
      </c>
      <c r="K151" s="1009"/>
      <c r="L151"/>
      <c r="M151"/>
      <c r="N151"/>
      <c r="O151"/>
      <c r="P151"/>
      <c r="Q151"/>
      <c r="R151"/>
      <c r="S151"/>
      <c r="T151"/>
      <c r="U151"/>
      <c r="V151"/>
      <c r="W151"/>
      <c r="X151"/>
      <c r="Y151"/>
      <c r="Z151"/>
      <c r="AA151"/>
      <c r="AB151"/>
    </row>
    <row r="152" spans="1:28" s="749" customFormat="1" ht="24.95" customHeight="1" x14ac:dyDescent="0.35">
      <c r="A152" s="968">
        <v>46168</v>
      </c>
      <c r="B152" s="930" t="s">
        <v>772</v>
      </c>
      <c r="C152" s="925"/>
      <c r="D152" s="964" t="s">
        <v>92</v>
      </c>
      <c r="E152" s="964"/>
      <c r="F152" s="964"/>
      <c r="G152" s="964"/>
      <c r="H152" s="964" t="s">
        <v>884</v>
      </c>
      <c r="I152" s="965">
        <v>19454.650000000001</v>
      </c>
      <c r="J152" s="965">
        <v>19454.650000000001</v>
      </c>
      <c r="K152" s="1009"/>
      <c r="L152"/>
      <c r="M152"/>
      <c r="N152"/>
      <c r="O152"/>
      <c r="P152"/>
      <c r="Q152"/>
      <c r="R152"/>
      <c r="S152"/>
      <c r="T152"/>
      <c r="U152"/>
      <c r="V152"/>
      <c r="W152"/>
      <c r="X152"/>
      <c r="Y152"/>
      <c r="Z152"/>
      <c r="AA152"/>
      <c r="AB152"/>
    </row>
    <row r="153" spans="1:28" s="749" customFormat="1" ht="24.95" customHeight="1" x14ac:dyDescent="0.35">
      <c r="A153" s="968">
        <v>46059</v>
      </c>
      <c r="B153" s="930" t="s">
        <v>775</v>
      </c>
      <c r="C153" s="925"/>
      <c r="D153" s="964" t="s">
        <v>92</v>
      </c>
      <c r="E153" s="964"/>
      <c r="F153" s="964"/>
      <c r="G153" s="964"/>
      <c r="H153" s="964" t="s">
        <v>776</v>
      </c>
      <c r="I153" s="965" t="s">
        <v>419</v>
      </c>
      <c r="J153" s="965" t="s">
        <v>419</v>
      </c>
      <c r="K153" s="1009"/>
      <c r="L153"/>
      <c r="M153"/>
      <c r="N153"/>
      <c r="O153"/>
      <c r="P153"/>
      <c r="Q153"/>
      <c r="R153"/>
      <c r="S153"/>
      <c r="T153"/>
      <c r="U153"/>
      <c r="V153"/>
      <c r="W153"/>
      <c r="X153"/>
      <c r="Y153"/>
      <c r="Z153"/>
      <c r="AA153"/>
      <c r="AB153"/>
    </row>
    <row r="154" spans="1:28" s="749" customFormat="1" ht="24.95" customHeight="1" x14ac:dyDescent="0.35">
      <c r="A154" s="968"/>
      <c r="B154" s="930" t="s">
        <v>777</v>
      </c>
      <c r="C154" s="925"/>
      <c r="D154" s="964" t="s">
        <v>92</v>
      </c>
      <c r="E154" s="964"/>
      <c r="F154" s="964"/>
      <c r="G154" s="964"/>
      <c r="H154" s="964" t="s">
        <v>778</v>
      </c>
      <c r="I154" s="965" t="s">
        <v>419</v>
      </c>
      <c r="J154" s="965" t="s">
        <v>419</v>
      </c>
      <c r="K154" s="1009"/>
      <c r="L154"/>
      <c r="M154"/>
      <c r="N154"/>
      <c r="O154"/>
      <c r="P154"/>
      <c r="Q154"/>
      <c r="R154"/>
      <c r="S154"/>
      <c r="T154"/>
      <c r="U154"/>
      <c r="V154"/>
      <c r="W154"/>
      <c r="X154"/>
      <c r="Y154"/>
      <c r="Z154"/>
      <c r="AA154"/>
      <c r="AB154"/>
    </row>
    <row r="155" spans="1:28" s="749" customFormat="1" ht="24.95" customHeight="1" x14ac:dyDescent="0.35">
      <c r="A155" s="968">
        <v>46063</v>
      </c>
      <c r="B155" s="930" t="s">
        <v>777</v>
      </c>
      <c r="C155" s="925"/>
      <c r="D155" s="964" t="s">
        <v>92</v>
      </c>
      <c r="E155" s="964"/>
      <c r="F155" s="964"/>
      <c r="G155" s="964"/>
      <c r="H155" s="964" t="s">
        <v>779</v>
      </c>
      <c r="I155" s="965" t="s">
        <v>419</v>
      </c>
      <c r="J155" s="965" t="s">
        <v>419</v>
      </c>
      <c r="K155" s="1009"/>
      <c r="L155"/>
      <c r="M155"/>
      <c r="N155"/>
      <c r="O155"/>
      <c r="P155"/>
      <c r="Q155"/>
      <c r="R155"/>
      <c r="S155"/>
      <c r="T155"/>
      <c r="U155"/>
      <c r="V155"/>
      <c r="W155"/>
      <c r="X155"/>
      <c r="Y155"/>
      <c r="Z155"/>
      <c r="AA155"/>
      <c r="AB155"/>
    </row>
    <row r="156" spans="1:28" s="749" customFormat="1" ht="24.95" customHeight="1" x14ac:dyDescent="0.35">
      <c r="A156" s="968">
        <v>46063</v>
      </c>
      <c r="B156" s="930" t="s">
        <v>777</v>
      </c>
      <c r="C156" s="925"/>
      <c r="D156" s="964" t="s">
        <v>92</v>
      </c>
      <c r="E156" s="964"/>
      <c r="F156" s="964"/>
      <c r="G156" s="964"/>
      <c r="H156" s="964" t="s">
        <v>843</v>
      </c>
      <c r="I156" s="965" t="s">
        <v>419</v>
      </c>
      <c r="J156" s="965" t="s">
        <v>419</v>
      </c>
      <c r="K156" s="1009"/>
      <c r="L156"/>
      <c r="M156"/>
      <c r="N156"/>
      <c r="O156"/>
      <c r="P156"/>
      <c r="Q156"/>
      <c r="R156"/>
      <c r="S156"/>
      <c r="T156"/>
      <c r="U156"/>
      <c r="V156"/>
      <c r="W156"/>
      <c r="X156"/>
      <c r="Y156"/>
      <c r="Z156"/>
      <c r="AA156"/>
      <c r="AB156"/>
    </row>
    <row r="157" spans="1:28" s="749" customFormat="1" ht="24.95" customHeight="1" x14ac:dyDescent="0.35">
      <c r="A157" s="968">
        <v>46160</v>
      </c>
      <c r="B157" s="930" t="s">
        <v>777</v>
      </c>
      <c r="C157" s="925"/>
      <c r="D157" s="964" t="s">
        <v>92</v>
      </c>
      <c r="E157" s="964"/>
      <c r="F157" s="964"/>
      <c r="G157" s="964"/>
      <c r="H157" s="964" t="s">
        <v>864</v>
      </c>
      <c r="I157" s="965">
        <v>6400</v>
      </c>
      <c r="J157" s="965">
        <v>6400</v>
      </c>
      <c r="K157" s="1009"/>
      <c r="L157"/>
      <c r="M157"/>
      <c r="N157"/>
      <c r="O157"/>
      <c r="P157"/>
      <c r="Q157"/>
      <c r="R157"/>
      <c r="S157"/>
      <c r="T157"/>
      <c r="U157"/>
      <c r="V157"/>
      <c r="W157"/>
      <c r="X157"/>
      <c r="Y157"/>
      <c r="Z157"/>
      <c r="AA157"/>
      <c r="AB157"/>
    </row>
    <row r="158" spans="1:28" s="1005" customFormat="1" ht="24.95" customHeight="1" x14ac:dyDescent="0.25">
      <c r="A158" s="1000"/>
      <c r="B158" s="1007" t="s">
        <v>782</v>
      </c>
      <c r="C158" s="1002"/>
      <c r="D158" s="1003" t="s">
        <v>92</v>
      </c>
      <c r="E158" s="1003"/>
      <c r="F158" s="1003" t="s">
        <v>795</v>
      </c>
      <c r="G158" s="1003"/>
      <c r="H158" s="1003" t="s">
        <v>783</v>
      </c>
      <c r="I158" s="1004">
        <v>71420</v>
      </c>
      <c r="J158" s="1004"/>
      <c r="K158" s="1002" t="s">
        <v>908</v>
      </c>
      <c r="L158" s="1006"/>
      <c r="M158" s="1006"/>
      <c r="N158" s="1006"/>
      <c r="O158" s="1006"/>
      <c r="P158" s="1006"/>
      <c r="Q158" s="1006"/>
      <c r="R158" s="1006"/>
      <c r="S158" s="1006"/>
      <c r="T158" s="1006"/>
      <c r="U158" s="1006"/>
      <c r="V158" s="1006"/>
      <c r="W158" s="1006"/>
      <c r="X158" s="1006"/>
      <c r="Y158" s="1006"/>
      <c r="Z158" s="1006"/>
      <c r="AA158" s="1006"/>
      <c r="AB158" s="1006"/>
    </row>
    <row r="159" spans="1:28" s="749" customFormat="1" ht="24.95" customHeight="1" x14ac:dyDescent="0.35">
      <c r="A159" s="968">
        <v>46069</v>
      </c>
      <c r="B159" s="986" t="s">
        <v>785</v>
      </c>
      <c r="C159" s="925"/>
      <c r="D159" s="964" t="s">
        <v>92</v>
      </c>
      <c r="E159" s="964"/>
      <c r="F159" s="964"/>
      <c r="G159" s="964"/>
      <c r="H159" s="964" t="s">
        <v>788</v>
      </c>
      <c r="I159" s="965">
        <v>1800</v>
      </c>
      <c r="J159" s="965">
        <v>1800</v>
      </c>
      <c r="K159" s="1009"/>
      <c r="L159"/>
      <c r="M159"/>
      <c r="N159"/>
      <c r="O159"/>
      <c r="P159"/>
      <c r="Q159"/>
      <c r="R159"/>
      <c r="S159"/>
      <c r="T159"/>
      <c r="U159"/>
      <c r="V159"/>
      <c r="W159"/>
      <c r="X159"/>
      <c r="Y159"/>
      <c r="Z159"/>
      <c r="AA159"/>
      <c r="AB159"/>
    </row>
    <row r="160" spans="1:28" s="749" customFormat="1" ht="24.95" customHeight="1" x14ac:dyDescent="0.35">
      <c r="A160" s="968"/>
      <c r="B160" s="986" t="s">
        <v>822</v>
      </c>
      <c r="C160" s="925"/>
      <c r="D160" s="964" t="s">
        <v>92</v>
      </c>
      <c r="E160" s="964"/>
      <c r="F160" s="964"/>
      <c r="G160" s="964"/>
      <c r="H160" s="964" t="s">
        <v>823</v>
      </c>
      <c r="I160" s="965">
        <v>8815</v>
      </c>
      <c r="J160" s="965">
        <v>8815</v>
      </c>
      <c r="K160" s="1009"/>
      <c r="L160"/>
      <c r="M160"/>
      <c r="N160"/>
      <c r="O160"/>
      <c r="P160"/>
      <c r="Q160"/>
      <c r="R160"/>
      <c r="S160"/>
      <c r="T160"/>
      <c r="U160"/>
      <c r="V160"/>
      <c r="W160"/>
      <c r="X160"/>
      <c r="Y160"/>
      <c r="Z160"/>
      <c r="AA160"/>
      <c r="AB160"/>
    </row>
    <row r="161" spans="1:28" s="749" customFormat="1" ht="24.95" customHeight="1" x14ac:dyDescent="0.35">
      <c r="A161" s="968"/>
      <c r="B161" s="986" t="s">
        <v>785</v>
      </c>
      <c r="C161" s="925"/>
      <c r="D161" s="964" t="s">
        <v>92</v>
      </c>
      <c r="E161" s="964"/>
      <c r="F161" s="964"/>
      <c r="G161" s="964"/>
      <c r="H161" s="964" t="s">
        <v>826</v>
      </c>
      <c r="I161" s="965">
        <v>20560</v>
      </c>
      <c r="J161" s="965">
        <v>20560</v>
      </c>
      <c r="K161" s="1009" t="s">
        <v>912</v>
      </c>
      <c r="L161"/>
      <c r="M161"/>
      <c r="N161"/>
      <c r="O161"/>
      <c r="P161"/>
      <c r="Q161"/>
      <c r="R161"/>
      <c r="S161"/>
      <c r="T161"/>
      <c r="U161"/>
      <c r="V161"/>
      <c r="W161"/>
      <c r="X161"/>
      <c r="Y161"/>
      <c r="Z161"/>
      <c r="AA161"/>
      <c r="AB161"/>
    </row>
    <row r="162" spans="1:28" s="749" customFormat="1" ht="24.95" customHeight="1" x14ac:dyDescent="0.35">
      <c r="A162" s="968"/>
      <c r="B162" s="986" t="s">
        <v>785</v>
      </c>
      <c r="C162" s="925"/>
      <c r="D162" s="964" t="s">
        <v>92</v>
      </c>
      <c r="E162" s="964"/>
      <c r="F162" s="964"/>
      <c r="G162" s="964"/>
      <c r="H162" s="964" t="s">
        <v>827</v>
      </c>
      <c r="I162" s="965">
        <v>4340</v>
      </c>
      <c r="J162" s="965">
        <v>4340</v>
      </c>
      <c r="K162" s="1009" t="s">
        <v>912</v>
      </c>
      <c r="L162"/>
      <c r="M162"/>
      <c r="N162"/>
      <c r="O162"/>
      <c r="P162"/>
      <c r="Q162"/>
      <c r="R162"/>
      <c r="S162"/>
      <c r="T162"/>
      <c r="U162"/>
      <c r="V162"/>
      <c r="W162"/>
      <c r="X162"/>
      <c r="Y162"/>
      <c r="Z162"/>
      <c r="AA162"/>
      <c r="AB162"/>
    </row>
    <row r="163" spans="1:28" s="749" customFormat="1" ht="24.95" customHeight="1" x14ac:dyDescent="0.35">
      <c r="A163" s="968"/>
      <c r="B163" s="986" t="s">
        <v>785</v>
      </c>
      <c r="C163" s="925"/>
      <c r="D163" s="964" t="s">
        <v>92</v>
      </c>
      <c r="E163" s="964"/>
      <c r="F163" s="964"/>
      <c r="G163" s="964"/>
      <c r="H163" s="964" t="s">
        <v>899</v>
      </c>
      <c r="I163" s="965">
        <v>2689</v>
      </c>
      <c r="J163" s="965">
        <v>2689</v>
      </c>
      <c r="K163" s="1009"/>
      <c r="L163"/>
      <c r="M163"/>
      <c r="N163"/>
      <c r="O163"/>
      <c r="P163"/>
      <c r="Q163"/>
      <c r="R163"/>
      <c r="S163"/>
      <c r="T163"/>
      <c r="U163"/>
      <c r="V163"/>
      <c r="W163"/>
      <c r="X163"/>
      <c r="Y163"/>
      <c r="Z163"/>
      <c r="AA163"/>
      <c r="AB163"/>
    </row>
    <row r="164" spans="1:28" s="749" customFormat="1" ht="24.95" customHeight="1" x14ac:dyDescent="0.35">
      <c r="A164" s="968">
        <v>46205</v>
      </c>
      <c r="B164" s="986" t="s">
        <v>785</v>
      </c>
      <c r="C164" s="925"/>
      <c r="D164" s="964" t="s">
        <v>92</v>
      </c>
      <c r="E164" s="964"/>
      <c r="F164" s="964"/>
      <c r="G164" s="964"/>
      <c r="H164" s="964" t="s">
        <v>916</v>
      </c>
      <c r="I164" s="965">
        <v>7560</v>
      </c>
      <c r="J164" s="965">
        <v>7560</v>
      </c>
      <c r="K164" s="1009"/>
      <c r="L164"/>
      <c r="M164"/>
      <c r="N164"/>
      <c r="O164"/>
      <c r="P164"/>
      <c r="Q164"/>
      <c r="R164"/>
      <c r="S164"/>
      <c r="T164"/>
      <c r="U164"/>
      <c r="V164"/>
      <c r="W164"/>
      <c r="X164"/>
      <c r="Y164"/>
      <c r="Z164"/>
      <c r="AA164"/>
      <c r="AB164"/>
    </row>
    <row r="165" spans="1:28" s="749" customFormat="1" ht="24.95" customHeight="1" x14ac:dyDescent="0.35">
      <c r="A165" s="968">
        <v>46209</v>
      </c>
      <c r="B165" s="986" t="s">
        <v>785</v>
      </c>
      <c r="C165" s="925"/>
      <c r="D165" s="964" t="s">
        <v>92</v>
      </c>
      <c r="E165" s="964"/>
      <c r="F165" s="964"/>
      <c r="G165" s="964"/>
      <c r="H165" s="964" t="s">
        <v>929</v>
      </c>
      <c r="I165" s="965">
        <v>8230</v>
      </c>
      <c r="J165" s="965">
        <v>8230</v>
      </c>
      <c r="K165" s="1009"/>
      <c r="L165"/>
      <c r="M165"/>
      <c r="N165"/>
      <c r="O165"/>
      <c r="P165"/>
      <c r="Q165"/>
      <c r="R165"/>
      <c r="S165"/>
      <c r="T165"/>
      <c r="U165"/>
      <c r="V165"/>
      <c r="W165"/>
      <c r="X165"/>
      <c r="Y165"/>
      <c r="Z165"/>
      <c r="AA165"/>
      <c r="AB165"/>
    </row>
    <row r="166" spans="1:28" s="749" customFormat="1" ht="24.95" customHeight="1" x14ac:dyDescent="0.35">
      <c r="A166" s="968">
        <v>46071</v>
      </c>
      <c r="B166" s="986" t="s">
        <v>789</v>
      </c>
      <c r="C166" s="925"/>
      <c r="D166" s="964" t="s">
        <v>92</v>
      </c>
      <c r="E166" s="964"/>
      <c r="F166" s="964"/>
      <c r="G166" s="964"/>
      <c r="H166" s="964" t="s">
        <v>790</v>
      </c>
      <c r="I166" s="965">
        <v>254750</v>
      </c>
      <c r="J166" s="965">
        <v>254750</v>
      </c>
      <c r="K166" s="1009"/>
      <c r="L166"/>
      <c r="M166"/>
      <c r="N166"/>
      <c r="O166"/>
      <c r="P166"/>
      <c r="Q166"/>
      <c r="R166"/>
      <c r="S166"/>
      <c r="T166"/>
      <c r="U166"/>
      <c r="V166"/>
      <c r="W166"/>
      <c r="X166"/>
      <c r="Y166"/>
      <c r="Z166"/>
      <c r="AA166"/>
      <c r="AB166"/>
    </row>
    <row r="167" spans="1:28" s="749" customFormat="1" ht="24.95" customHeight="1" x14ac:dyDescent="0.35">
      <c r="A167" s="968"/>
      <c r="B167" s="986" t="s">
        <v>798</v>
      </c>
      <c r="C167" s="925"/>
      <c r="D167" s="964" t="s">
        <v>92</v>
      </c>
      <c r="E167" s="964"/>
      <c r="F167" s="964"/>
      <c r="G167" s="964"/>
      <c r="H167" s="964" t="s">
        <v>799</v>
      </c>
      <c r="I167" s="965" t="s">
        <v>419</v>
      </c>
      <c r="J167" s="965" t="s">
        <v>419</v>
      </c>
      <c r="K167" s="1009"/>
      <c r="L167"/>
      <c r="M167"/>
      <c r="N167"/>
      <c r="O167"/>
      <c r="P167"/>
      <c r="Q167"/>
      <c r="R167"/>
      <c r="S167"/>
      <c r="T167"/>
      <c r="U167"/>
      <c r="V167"/>
      <c r="W167"/>
      <c r="X167"/>
      <c r="Y167"/>
      <c r="Z167"/>
      <c r="AA167"/>
      <c r="AB167"/>
    </row>
    <row r="168" spans="1:28" s="749" customFormat="1" ht="24.95" customHeight="1" x14ac:dyDescent="0.35">
      <c r="A168" s="968">
        <v>46084</v>
      </c>
      <c r="B168" s="986" t="s">
        <v>430</v>
      </c>
      <c r="C168" s="925"/>
      <c r="D168" s="964" t="s">
        <v>92</v>
      </c>
      <c r="E168" s="964"/>
      <c r="F168" s="964"/>
      <c r="G168" s="964"/>
      <c r="H168" s="964" t="s">
        <v>807</v>
      </c>
      <c r="I168" s="965">
        <v>79500</v>
      </c>
      <c r="J168" s="965">
        <v>79500</v>
      </c>
      <c r="K168" s="1009"/>
      <c r="L168"/>
      <c r="M168"/>
      <c r="N168"/>
      <c r="O168"/>
      <c r="P168"/>
      <c r="Q168"/>
      <c r="R168"/>
      <c r="S168"/>
      <c r="T168"/>
      <c r="U168"/>
      <c r="V168"/>
      <c r="W168"/>
      <c r="X168"/>
      <c r="Y168"/>
      <c r="Z168"/>
      <c r="AA168"/>
      <c r="AB168"/>
    </row>
    <row r="169" spans="1:28" s="749" customFormat="1" ht="24.95" customHeight="1" x14ac:dyDescent="0.35">
      <c r="A169" s="968">
        <v>46083</v>
      </c>
      <c r="B169" s="986" t="s">
        <v>808</v>
      </c>
      <c r="C169" s="925"/>
      <c r="D169" s="964" t="s">
        <v>92</v>
      </c>
      <c r="E169" s="964"/>
      <c r="F169" s="964"/>
      <c r="G169" s="964"/>
      <c r="H169" s="964" t="s">
        <v>809</v>
      </c>
      <c r="I169" s="965">
        <v>30500</v>
      </c>
      <c r="J169" s="965">
        <v>30500</v>
      </c>
      <c r="K169" s="1009" t="s">
        <v>478</v>
      </c>
      <c r="L169"/>
      <c r="M169"/>
      <c r="N169"/>
      <c r="O169"/>
      <c r="P169"/>
      <c r="Q169"/>
      <c r="R169"/>
      <c r="S169"/>
      <c r="T169"/>
      <c r="U169"/>
      <c r="V169"/>
      <c r="W169"/>
      <c r="X169"/>
      <c r="Y169"/>
      <c r="Z169"/>
      <c r="AA169"/>
      <c r="AB169"/>
    </row>
    <row r="170" spans="1:28" s="749" customFormat="1" ht="24.95" customHeight="1" x14ac:dyDescent="0.35">
      <c r="A170" s="968">
        <v>46087</v>
      </c>
      <c r="B170" s="986" t="s">
        <v>808</v>
      </c>
      <c r="C170" s="925"/>
      <c r="D170" s="964" t="s">
        <v>92</v>
      </c>
      <c r="E170" s="964"/>
      <c r="F170" s="964"/>
      <c r="G170" s="964"/>
      <c r="H170" s="964" t="s">
        <v>863</v>
      </c>
      <c r="I170" s="965">
        <v>19500</v>
      </c>
      <c r="J170" s="965">
        <v>19500</v>
      </c>
      <c r="K170" s="1009" t="s">
        <v>478</v>
      </c>
      <c r="L170"/>
      <c r="M170"/>
      <c r="N170"/>
      <c r="O170"/>
      <c r="P170"/>
      <c r="Q170"/>
      <c r="R170"/>
      <c r="S170"/>
      <c r="T170"/>
      <c r="U170"/>
      <c r="V170"/>
      <c r="W170"/>
      <c r="X170"/>
      <c r="Y170"/>
      <c r="Z170"/>
      <c r="AA170"/>
      <c r="AB170"/>
    </row>
    <row r="171" spans="1:28" s="749" customFormat="1" ht="24.95" customHeight="1" x14ac:dyDescent="0.35">
      <c r="A171" s="968">
        <v>46233</v>
      </c>
      <c r="B171" s="986" t="s">
        <v>808</v>
      </c>
      <c r="C171" s="925"/>
      <c r="D171" s="964" t="s">
        <v>92</v>
      </c>
      <c r="E171" s="964"/>
      <c r="F171" s="964"/>
      <c r="G171" s="964"/>
      <c r="H171" s="964" t="s">
        <v>971</v>
      </c>
      <c r="I171" s="965">
        <v>3500</v>
      </c>
      <c r="J171" s="965">
        <v>3500</v>
      </c>
      <c r="K171" s="1009"/>
      <c r="L171"/>
      <c r="M171"/>
      <c r="N171"/>
      <c r="O171"/>
      <c r="P171"/>
      <c r="Q171"/>
      <c r="R171"/>
      <c r="S171"/>
      <c r="T171"/>
      <c r="U171"/>
      <c r="V171"/>
      <c r="W171"/>
      <c r="X171"/>
      <c r="Y171"/>
      <c r="Z171"/>
      <c r="AA171"/>
      <c r="AB171"/>
    </row>
    <row r="172" spans="1:28" s="749" customFormat="1" ht="24.95" customHeight="1" x14ac:dyDescent="0.35">
      <c r="A172" s="968">
        <v>46093</v>
      </c>
      <c r="B172" s="986" t="s">
        <v>828</v>
      </c>
      <c r="C172" s="925"/>
      <c r="D172" s="964" t="s">
        <v>92</v>
      </c>
      <c r="E172" s="964"/>
      <c r="F172" s="964"/>
      <c r="G172" s="964"/>
      <c r="H172" s="964" t="s">
        <v>829</v>
      </c>
      <c r="I172" s="965">
        <v>2750</v>
      </c>
      <c r="J172" s="965">
        <v>2750</v>
      </c>
      <c r="K172" s="1009"/>
      <c r="L172"/>
      <c r="M172"/>
      <c r="N172"/>
      <c r="O172"/>
      <c r="P172"/>
      <c r="Q172"/>
      <c r="R172"/>
      <c r="S172"/>
      <c r="T172"/>
      <c r="U172"/>
      <c r="V172"/>
      <c r="W172"/>
      <c r="X172"/>
      <c r="Y172"/>
      <c r="Z172"/>
      <c r="AA172"/>
      <c r="AB172"/>
    </row>
    <row r="173" spans="1:28" s="749" customFormat="1" ht="24.95" customHeight="1" x14ac:dyDescent="0.35">
      <c r="A173" s="968">
        <v>46107</v>
      </c>
      <c r="B173" s="986" t="s">
        <v>838</v>
      </c>
      <c r="C173" s="925"/>
      <c r="D173" s="964" t="s">
        <v>92</v>
      </c>
      <c r="E173" s="964"/>
      <c r="F173" s="964"/>
      <c r="G173" s="964"/>
      <c r="H173" s="964" t="s">
        <v>839</v>
      </c>
      <c r="I173" s="965" t="s">
        <v>419</v>
      </c>
      <c r="J173" s="965" t="s">
        <v>419</v>
      </c>
      <c r="K173" s="1009"/>
      <c r="L173"/>
      <c r="M173"/>
      <c r="N173"/>
      <c r="O173"/>
      <c r="P173"/>
      <c r="Q173"/>
      <c r="R173"/>
      <c r="S173"/>
      <c r="T173"/>
      <c r="U173"/>
      <c r="V173"/>
      <c r="W173"/>
      <c r="X173"/>
      <c r="Y173"/>
      <c r="Z173"/>
      <c r="AA173"/>
      <c r="AB173"/>
    </row>
    <row r="174" spans="1:28" s="749" customFormat="1" ht="24.95" customHeight="1" x14ac:dyDescent="0.35">
      <c r="A174" s="968">
        <v>46111</v>
      </c>
      <c r="B174" s="986" t="s">
        <v>844</v>
      </c>
      <c r="C174" s="925"/>
      <c r="D174" s="964" t="s">
        <v>92</v>
      </c>
      <c r="E174" s="964"/>
      <c r="F174" s="964"/>
      <c r="G174" s="964"/>
      <c r="H174" s="964" t="s">
        <v>845</v>
      </c>
      <c r="I174" s="965">
        <v>24000</v>
      </c>
      <c r="J174" s="965">
        <v>24000</v>
      </c>
      <c r="K174" s="1009"/>
      <c r="L174"/>
      <c r="M174"/>
      <c r="N174"/>
      <c r="O174"/>
      <c r="P174"/>
      <c r="Q174"/>
      <c r="R174"/>
      <c r="S174"/>
      <c r="T174"/>
      <c r="U174"/>
      <c r="V174"/>
      <c r="W174"/>
      <c r="X174"/>
      <c r="Y174"/>
      <c r="Z174"/>
      <c r="AA174"/>
      <c r="AB174"/>
    </row>
    <row r="175" spans="1:28" s="749" customFormat="1" ht="24.95" customHeight="1" x14ac:dyDescent="0.35">
      <c r="A175" s="968">
        <v>46111</v>
      </c>
      <c r="B175" s="986" t="s">
        <v>847</v>
      </c>
      <c r="C175" s="925" t="s">
        <v>927</v>
      </c>
      <c r="D175" s="964" t="s">
        <v>848</v>
      </c>
      <c r="E175" s="964"/>
      <c r="F175" s="964" t="s">
        <v>926</v>
      </c>
      <c r="G175" s="964"/>
      <c r="H175" s="964" t="s">
        <v>849</v>
      </c>
      <c r="I175" s="965">
        <v>14616</v>
      </c>
      <c r="J175" s="965">
        <v>14616</v>
      </c>
      <c r="K175" s="1009"/>
      <c r="L175"/>
      <c r="M175"/>
      <c r="N175"/>
      <c r="O175"/>
      <c r="P175"/>
      <c r="Q175"/>
      <c r="R175"/>
      <c r="S175"/>
      <c r="T175"/>
      <c r="U175"/>
      <c r="V175"/>
      <c r="W175"/>
      <c r="X175"/>
      <c r="Y175"/>
      <c r="Z175"/>
      <c r="AA175"/>
      <c r="AB175"/>
    </row>
    <row r="176" spans="1:28" s="749" customFormat="1" ht="24.95" customHeight="1" x14ac:dyDescent="0.35">
      <c r="A176" s="968">
        <v>45964</v>
      </c>
      <c r="B176" s="986" t="s">
        <v>669</v>
      </c>
      <c r="C176" s="925"/>
      <c r="D176" s="964" t="s">
        <v>282</v>
      </c>
      <c r="E176" s="964"/>
      <c r="F176" s="964" t="s">
        <v>853</v>
      </c>
      <c r="G176" s="964"/>
      <c r="H176" s="964" t="s">
        <v>850</v>
      </c>
      <c r="I176" s="965">
        <v>216575</v>
      </c>
      <c r="J176" s="965">
        <v>216575</v>
      </c>
      <c r="K176" s="1009"/>
      <c r="L176"/>
      <c r="M176"/>
      <c r="N176"/>
      <c r="O176"/>
      <c r="P176"/>
      <c r="Q176"/>
      <c r="R176"/>
      <c r="S176"/>
      <c r="T176"/>
      <c r="U176"/>
      <c r="V176"/>
      <c r="W176"/>
      <c r="X176"/>
      <c r="Y176"/>
      <c r="Z176"/>
      <c r="AA176"/>
      <c r="AB176"/>
    </row>
    <row r="177" spans="1:28" s="749" customFormat="1" ht="24.95" customHeight="1" x14ac:dyDescent="0.35">
      <c r="A177" s="968">
        <v>46150</v>
      </c>
      <c r="B177" s="986" t="s">
        <v>669</v>
      </c>
      <c r="C177" s="925"/>
      <c r="D177" s="964" t="s">
        <v>282</v>
      </c>
      <c r="E177" s="964"/>
      <c r="F177" s="964"/>
      <c r="G177" s="964"/>
      <c r="H177" s="964" t="s">
        <v>861</v>
      </c>
      <c r="I177" s="965" t="s">
        <v>419</v>
      </c>
      <c r="J177" s="965" t="s">
        <v>419</v>
      </c>
      <c r="K177" s="1009"/>
      <c r="L177"/>
      <c r="M177"/>
      <c r="N177"/>
      <c r="O177"/>
      <c r="P177"/>
      <c r="Q177"/>
      <c r="R177"/>
      <c r="S177"/>
      <c r="T177"/>
      <c r="U177"/>
      <c r="V177"/>
      <c r="W177"/>
      <c r="X177"/>
      <c r="Y177"/>
      <c r="Z177"/>
      <c r="AA177"/>
      <c r="AB177"/>
    </row>
    <row r="178" spans="1:28" s="1005" customFormat="1" ht="24.95" customHeight="1" x14ac:dyDescent="0.25">
      <c r="A178" s="1000">
        <v>46146</v>
      </c>
      <c r="B178" s="1001" t="s">
        <v>869</v>
      </c>
      <c r="C178" s="1002"/>
      <c r="D178" s="1003" t="s">
        <v>282</v>
      </c>
      <c r="E178" s="1003"/>
      <c r="F178" s="1003" t="s">
        <v>898</v>
      </c>
      <c r="G178" s="1003"/>
      <c r="H178" s="1003" t="s">
        <v>865</v>
      </c>
      <c r="I178" s="1004">
        <v>401320</v>
      </c>
      <c r="J178" s="1004"/>
      <c r="K178" s="1002" t="s">
        <v>915</v>
      </c>
      <c r="L178" s="1006"/>
      <c r="M178" s="1006"/>
      <c r="N178" s="1006"/>
      <c r="O178" s="1006"/>
      <c r="P178" s="1006"/>
      <c r="Q178" s="1006"/>
      <c r="R178" s="1006"/>
      <c r="S178" s="1006"/>
      <c r="T178" s="1006"/>
      <c r="U178" s="1006"/>
      <c r="V178" s="1006"/>
      <c r="W178" s="1006"/>
      <c r="X178" s="1006"/>
      <c r="Y178" s="1006"/>
      <c r="Z178" s="1006"/>
      <c r="AA178" s="1006"/>
      <c r="AB178" s="1006"/>
    </row>
    <row r="179" spans="1:28" s="749" customFormat="1" ht="24.95" customHeight="1" x14ac:dyDescent="0.35">
      <c r="A179" s="968">
        <v>46151</v>
      </c>
      <c r="B179" s="986" t="s">
        <v>869</v>
      </c>
      <c r="C179" s="925"/>
      <c r="D179" s="964" t="s">
        <v>282</v>
      </c>
      <c r="E179" s="964"/>
      <c r="F179" s="964" t="s">
        <v>897</v>
      </c>
      <c r="G179" s="964"/>
      <c r="H179" s="964" t="s">
        <v>862</v>
      </c>
      <c r="I179" s="965">
        <v>258000</v>
      </c>
      <c r="J179" s="965">
        <v>258000</v>
      </c>
      <c r="K179" s="1009"/>
      <c r="L179"/>
      <c r="M179"/>
      <c r="N179"/>
      <c r="O179"/>
      <c r="P179"/>
      <c r="Q179"/>
      <c r="R179"/>
      <c r="S179"/>
      <c r="T179"/>
      <c r="U179"/>
      <c r="V179"/>
      <c r="W179"/>
      <c r="X179"/>
      <c r="Y179"/>
      <c r="Z179"/>
      <c r="AA179"/>
      <c r="AB179"/>
    </row>
    <row r="180" spans="1:28" s="749" customFormat="1" ht="24.95" customHeight="1" x14ac:dyDescent="0.35">
      <c r="A180" s="968">
        <v>46164</v>
      </c>
      <c r="B180" s="986" t="s">
        <v>869</v>
      </c>
      <c r="C180" s="925"/>
      <c r="D180" s="964" t="s">
        <v>282</v>
      </c>
      <c r="E180" s="964"/>
      <c r="F180" s="964"/>
      <c r="G180" s="964"/>
      <c r="H180" s="964" t="s">
        <v>870</v>
      </c>
      <c r="I180" s="965">
        <v>68000</v>
      </c>
      <c r="J180" s="965">
        <v>68000</v>
      </c>
      <c r="K180" s="1009"/>
      <c r="L180"/>
      <c r="M180"/>
      <c r="N180"/>
      <c r="O180"/>
      <c r="P180"/>
      <c r="Q180"/>
      <c r="R180"/>
      <c r="S180"/>
      <c r="T180"/>
      <c r="U180"/>
      <c r="V180"/>
      <c r="W180"/>
      <c r="X180"/>
      <c r="Y180"/>
      <c r="Z180"/>
      <c r="AA180"/>
      <c r="AB180"/>
    </row>
    <row r="181" spans="1:28" s="749" customFormat="1" ht="24.95" customHeight="1" x14ac:dyDescent="0.35">
      <c r="A181" s="968">
        <v>46167</v>
      </c>
      <c r="B181" s="986" t="s">
        <v>869</v>
      </c>
      <c r="C181" s="925"/>
      <c r="D181" s="964" t="s">
        <v>282</v>
      </c>
      <c r="E181" s="964"/>
      <c r="F181" s="964"/>
      <c r="G181" s="964"/>
      <c r="H181" s="964" t="s">
        <v>873</v>
      </c>
      <c r="I181" s="965">
        <v>39200</v>
      </c>
      <c r="J181" s="965">
        <v>39200</v>
      </c>
      <c r="K181" s="1009"/>
      <c r="L181"/>
      <c r="M181"/>
      <c r="N181"/>
      <c r="O181"/>
      <c r="P181"/>
      <c r="Q181"/>
      <c r="R181"/>
      <c r="S181"/>
      <c r="T181"/>
      <c r="U181"/>
      <c r="V181"/>
      <c r="W181"/>
      <c r="X181"/>
      <c r="Y181"/>
      <c r="Z181"/>
      <c r="AA181"/>
      <c r="AB181"/>
    </row>
    <row r="182" spans="1:28" s="749" customFormat="1" ht="24.95" customHeight="1" x14ac:dyDescent="0.35">
      <c r="A182" s="968">
        <v>46205</v>
      </c>
      <c r="B182" s="986" t="s">
        <v>869</v>
      </c>
      <c r="C182" s="925"/>
      <c r="D182" s="964" t="s">
        <v>92</v>
      </c>
      <c r="E182" s="964"/>
      <c r="F182" s="964"/>
      <c r="G182" s="964"/>
      <c r="H182" s="964" t="s">
        <v>917</v>
      </c>
      <c r="I182" s="965">
        <v>65000</v>
      </c>
      <c r="J182" s="965">
        <v>65000</v>
      </c>
      <c r="K182" s="1009"/>
      <c r="L182"/>
      <c r="M182"/>
      <c r="N182"/>
      <c r="O182"/>
      <c r="P182"/>
      <c r="Q182"/>
      <c r="R182"/>
      <c r="S182"/>
      <c r="T182"/>
      <c r="U182"/>
      <c r="V182"/>
      <c r="W182"/>
      <c r="X182"/>
      <c r="Y182"/>
      <c r="Z182"/>
      <c r="AA182"/>
      <c r="AB182"/>
    </row>
    <row r="183" spans="1:28" s="749" customFormat="1" ht="24.95" customHeight="1" x14ac:dyDescent="0.35">
      <c r="A183" s="968">
        <v>46146</v>
      </c>
      <c r="B183" s="986" t="s">
        <v>858</v>
      </c>
      <c r="C183" s="925"/>
      <c r="D183" s="964" t="s">
        <v>90</v>
      </c>
      <c r="E183" s="964"/>
      <c r="F183" s="964"/>
      <c r="G183" s="964"/>
      <c r="H183" s="964" t="s">
        <v>859</v>
      </c>
      <c r="I183" s="965" t="s">
        <v>419</v>
      </c>
      <c r="J183" s="965" t="s">
        <v>419</v>
      </c>
      <c r="K183" s="1009"/>
      <c r="L183"/>
      <c r="M183"/>
      <c r="N183"/>
      <c r="O183"/>
      <c r="P183"/>
      <c r="Q183"/>
      <c r="R183"/>
      <c r="S183"/>
      <c r="T183"/>
      <c r="U183"/>
      <c r="V183"/>
      <c r="W183"/>
      <c r="X183"/>
      <c r="Y183"/>
      <c r="Z183"/>
      <c r="AA183"/>
      <c r="AB183"/>
    </row>
    <row r="184" spans="1:28" s="749" customFormat="1" ht="24.95" customHeight="1" x14ac:dyDescent="0.35">
      <c r="A184" s="968">
        <v>46154</v>
      </c>
      <c r="B184" s="986" t="s">
        <v>858</v>
      </c>
      <c r="C184" s="925"/>
      <c r="D184" s="964" t="s">
        <v>90</v>
      </c>
      <c r="E184" s="964"/>
      <c r="F184" s="964"/>
      <c r="G184" s="964"/>
      <c r="H184" s="964" t="s">
        <v>860</v>
      </c>
      <c r="I184" s="965" t="s">
        <v>419</v>
      </c>
      <c r="J184" s="965" t="s">
        <v>419</v>
      </c>
      <c r="K184" s="1009"/>
      <c r="L184"/>
      <c r="M184"/>
      <c r="N184"/>
      <c r="O184"/>
      <c r="P184"/>
      <c r="Q184"/>
      <c r="R184"/>
      <c r="S184"/>
      <c r="T184"/>
      <c r="U184"/>
      <c r="V184"/>
      <c r="W184"/>
      <c r="X184"/>
      <c r="Y184"/>
      <c r="Z184"/>
      <c r="AA184"/>
      <c r="AB184"/>
    </row>
    <row r="185" spans="1:28" s="749" customFormat="1" ht="24.95" customHeight="1" x14ac:dyDescent="0.35">
      <c r="A185" s="968">
        <v>46157</v>
      </c>
      <c r="B185" s="986" t="s">
        <v>866</v>
      </c>
      <c r="C185" s="925"/>
      <c r="D185" s="964" t="s">
        <v>90</v>
      </c>
      <c r="E185" s="964"/>
      <c r="F185" s="964"/>
      <c r="G185" s="964"/>
      <c r="H185" s="964" t="s">
        <v>867</v>
      </c>
      <c r="I185" s="965">
        <v>22300</v>
      </c>
      <c r="J185" s="965">
        <v>22300</v>
      </c>
      <c r="K185" s="1009"/>
      <c r="L185"/>
      <c r="M185"/>
      <c r="N185"/>
      <c r="O185"/>
      <c r="P185"/>
      <c r="Q185"/>
      <c r="R185"/>
      <c r="S185"/>
      <c r="T185"/>
      <c r="U185"/>
      <c r="V185"/>
      <c r="W185"/>
      <c r="X185"/>
      <c r="Y185"/>
      <c r="Z185"/>
      <c r="AA185"/>
      <c r="AB185"/>
    </row>
    <row r="186" spans="1:28" s="749" customFormat="1" ht="24.95" customHeight="1" x14ac:dyDescent="0.35">
      <c r="A186" s="968">
        <v>46177</v>
      </c>
      <c r="B186" s="986" t="s">
        <v>866</v>
      </c>
      <c r="C186" s="925"/>
      <c r="D186" s="964" t="s">
        <v>90</v>
      </c>
      <c r="E186" s="964"/>
      <c r="F186" s="964"/>
      <c r="G186" s="964"/>
      <c r="H186" s="964" t="s">
        <v>885</v>
      </c>
      <c r="I186" s="965">
        <v>135000</v>
      </c>
      <c r="J186" s="965">
        <v>135000</v>
      </c>
      <c r="K186" s="1009"/>
      <c r="L186"/>
      <c r="M186"/>
      <c r="N186"/>
      <c r="O186"/>
      <c r="P186"/>
      <c r="Q186"/>
      <c r="R186"/>
      <c r="S186"/>
      <c r="T186"/>
      <c r="U186"/>
      <c r="V186"/>
      <c r="W186"/>
      <c r="X186"/>
      <c r="Y186"/>
      <c r="Z186"/>
      <c r="AA186"/>
      <c r="AB186"/>
    </row>
    <row r="187" spans="1:28" s="1005" customFormat="1" ht="24.95" customHeight="1" x14ac:dyDescent="0.25">
      <c r="A187" s="1000">
        <v>46150</v>
      </c>
      <c r="B187" s="1001" t="s">
        <v>876</v>
      </c>
      <c r="C187" s="1002" t="s">
        <v>931</v>
      </c>
      <c r="D187" s="1003" t="s">
        <v>221</v>
      </c>
      <c r="E187" s="1003"/>
      <c r="F187" s="1003"/>
      <c r="G187" s="1003"/>
      <c r="H187" s="1003" t="s">
        <v>877</v>
      </c>
      <c r="I187" s="1004">
        <v>28547.62</v>
      </c>
      <c r="J187" s="1004"/>
      <c r="K187" s="1002" t="s">
        <v>930</v>
      </c>
      <c r="L187" s="1006"/>
      <c r="M187" s="1006"/>
      <c r="N187" s="1006"/>
      <c r="O187" s="1006"/>
      <c r="P187" s="1006"/>
      <c r="Q187" s="1006"/>
      <c r="R187" s="1006"/>
      <c r="S187" s="1006"/>
      <c r="T187" s="1006"/>
      <c r="U187" s="1006"/>
      <c r="V187" s="1006"/>
      <c r="W187" s="1006"/>
      <c r="X187" s="1006"/>
      <c r="Y187" s="1006"/>
      <c r="Z187" s="1006"/>
      <c r="AA187" s="1006"/>
      <c r="AB187" s="1006"/>
    </row>
    <row r="188" spans="1:28" s="1005" customFormat="1" ht="24.95" customHeight="1" x14ac:dyDescent="0.25">
      <c r="A188" s="1000">
        <v>46150</v>
      </c>
      <c r="B188" s="1001" t="s">
        <v>876</v>
      </c>
      <c r="C188" s="1002" t="s">
        <v>932</v>
      </c>
      <c r="D188" s="1003" t="s">
        <v>221</v>
      </c>
      <c r="E188" s="1003"/>
      <c r="F188" s="1003"/>
      <c r="G188" s="1003"/>
      <c r="H188" s="1003" t="s">
        <v>878</v>
      </c>
      <c r="I188" s="1004">
        <v>99946.66</v>
      </c>
      <c r="J188" s="1004"/>
      <c r="K188" s="1002" t="s">
        <v>930</v>
      </c>
      <c r="L188" s="1006"/>
      <c r="M188" s="1006"/>
      <c r="N188" s="1006"/>
      <c r="O188" s="1006"/>
      <c r="P188" s="1006"/>
      <c r="Q188" s="1006"/>
      <c r="R188" s="1006"/>
      <c r="S188" s="1006"/>
      <c r="T188" s="1006"/>
      <c r="U188" s="1006"/>
      <c r="V188" s="1006"/>
      <c r="W188" s="1006"/>
      <c r="X188" s="1006"/>
      <c r="Y188" s="1006"/>
      <c r="Z188" s="1006"/>
      <c r="AA188" s="1006"/>
      <c r="AB188" s="1006"/>
    </row>
    <row r="189" spans="1:28" s="749" customFormat="1" ht="24.95" customHeight="1" x14ac:dyDescent="0.35">
      <c r="A189" s="968">
        <v>46160</v>
      </c>
      <c r="B189" s="986" t="s">
        <v>879</v>
      </c>
      <c r="C189" s="925" t="s">
        <v>924</v>
      </c>
      <c r="D189" s="964" t="s">
        <v>221</v>
      </c>
      <c r="E189" s="964"/>
      <c r="F189" s="964"/>
      <c r="G189" s="964"/>
      <c r="H189" s="964" t="s">
        <v>880</v>
      </c>
      <c r="I189" s="965">
        <v>54500</v>
      </c>
      <c r="J189" s="965">
        <v>54500</v>
      </c>
      <c r="K189" s="1009"/>
      <c r="L189"/>
      <c r="M189"/>
      <c r="N189"/>
      <c r="O189"/>
      <c r="P189"/>
      <c r="Q189"/>
      <c r="R189"/>
      <c r="S189"/>
      <c r="T189"/>
      <c r="U189"/>
      <c r="V189"/>
      <c r="W189"/>
      <c r="X189"/>
      <c r="Y189"/>
      <c r="Z189"/>
      <c r="AA189"/>
      <c r="AB189"/>
    </row>
    <row r="190" spans="1:28" s="749" customFormat="1" ht="24.95" customHeight="1" x14ac:dyDescent="0.35">
      <c r="A190" s="968">
        <v>46207</v>
      </c>
      <c r="B190" s="986" t="s">
        <v>879</v>
      </c>
      <c r="C190" s="925" t="s">
        <v>923</v>
      </c>
      <c r="D190" s="964" t="s">
        <v>221</v>
      </c>
      <c r="E190" s="964"/>
      <c r="F190" s="964"/>
      <c r="G190" s="964"/>
      <c r="H190" s="964" t="s">
        <v>922</v>
      </c>
      <c r="I190" s="965">
        <v>105500</v>
      </c>
      <c r="J190" s="965">
        <v>105500</v>
      </c>
      <c r="K190" s="1009"/>
      <c r="L190"/>
      <c r="M190"/>
      <c r="N190"/>
      <c r="O190"/>
      <c r="P190"/>
      <c r="Q190"/>
      <c r="R190"/>
      <c r="S190"/>
      <c r="T190"/>
      <c r="U190"/>
      <c r="V190"/>
      <c r="W190"/>
      <c r="X190"/>
      <c r="Y190"/>
      <c r="Z190"/>
      <c r="AA190"/>
      <c r="AB190"/>
    </row>
    <row r="191" spans="1:28" s="749" customFormat="1" ht="24.95" customHeight="1" x14ac:dyDescent="0.35">
      <c r="A191" s="968">
        <v>46181</v>
      </c>
      <c r="B191" s="986" t="s">
        <v>886</v>
      </c>
      <c r="C191" s="925"/>
      <c r="D191" s="964" t="s">
        <v>92</v>
      </c>
      <c r="E191" s="964"/>
      <c r="F191" s="964"/>
      <c r="G191" s="964"/>
      <c r="H191" s="964" t="s">
        <v>887</v>
      </c>
      <c r="I191" s="965">
        <v>165000</v>
      </c>
      <c r="J191" s="965">
        <v>165000</v>
      </c>
      <c r="K191" s="1009"/>
      <c r="L191"/>
      <c r="M191"/>
      <c r="N191"/>
      <c r="O191"/>
      <c r="P191"/>
      <c r="Q191"/>
      <c r="R191"/>
      <c r="S191"/>
      <c r="T191"/>
      <c r="U191"/>
      <c r="V191"/>
      <c r="W191"/>
      <c r="X191"/>
      <c r="Y191"/>
      <c r="Z191"/>
      <c r="AA191"/>
      <c r="AB191"/>
    </row>
    <row r="192" spans="1:28" s="749" customFormat="1" ht="24.95" customHeight="1" x14ac:dyDescent="0.35">
      <c r="A192" s="968">
        <v>46190</v>
      </c>
      <c r="B192" s="986" t="s">
        <v>893</v>
      </c>
      <c r="C192" s="925"/>
      <c r="D192" s="964" t="s">
        <v>476</v>
      </c>
      <c r="E192" s="964"/>
      <c r="F192" s="964"/>
      <c r="G192" s="964"/>
      <c r="H192" s="964" t="s">
        <v>894</v>
      </c>
      <c r="I192" s="965">
        <v>262790</v>
      </c>
      <c r="J192" s="965">
        <v>262790</v>
      </c>
      <c r="K192" s="1009"/>
      <c r="L192"/>
      <c r="M192"/>
      <c r="N192"/>
      <c r="O192"/>
      <c r="P192"/>
      <c r="Q192"/>
      <c r="R192"/>
      <c r="S192"/>
      <c r="T192"/>
      <c r="U192"/>
      <c r="V192"/>
      <c r="W192"/>
      <c r="X192"/>
      <c r="Y192"/>
      <c r="Z192"/>
      <c r="AA192"/>
      <c r="AB192"/>
    </row>
    <row r="193" spans="1:28" s="1015" customFormat="1" ht="24.95" customHeight="1" x14ac:dyDescent="0.25">
      <c r="A193" s="1010">
        <v>46196</v>
      </c>
      <c r="B193" s="1011" t="s">
        <v>907</v>
      </c>
      <c r="C193" s="1012"/>
      <c r="D193" s="1013" t="s">
        <v>90</v>
      </c>
      <c r="E193" s="1013"/>
      <c r="F193" s="1013" t="s">
        <v>910</v>
      </c>
      <c r="G193" s="1013"/>
      <c r="H193" s="1013" t="s">
        <v>909</v>
      </c>
      <c r="I193" s="1014">
        <v>133400</v>
      </c>
      <c r="J193" s="1014"/>
      <c r="K193" s="1012" t="s">
        <v>911</v>
      </c>
      <c r="L193" s="1006"/>
      <c r="M193" s="1006"/>
      <c r="N193" s="1006"/>
      <c r="O193" s="1006"/>
      <c r="P193" s="1006"/>
      <c r="Q193" s="1006"/>
      <c r="R193" s="1006"/>
      <c r="S193" s="1006"/>
      <c r="T193" s="1006"/>
      <c r="U193" s="1006"/>
      <c r="V193" s="1006"/>
      <c r="W193" s="1006"/>
      <c r="X193" s="1006"/>
      <c r="Y193" s="1006"/>
      <c r="Z193" s="1006"/>
      <c r="AA193" s="1006"/>
      <c r="AB193" s="1006"/>
    </row>
    <row r="194" spans="1:28" s="565" customFormat="1" ht="24.95" customHeight="1" x14ac:dyDescent="0.35">
      <c r="A194" s="1024"/>
      <c r="B194" s="565" t="s">
        <v>936</v>
      </c>
      <c r="D194" s="964" t="s">
        <v>92</v>
      </c>
      <c r="E194" s="964"/>
      <c r="F194" s="964"/>
      <c r="G194" s="964"/>
      <c r="H194" s="964" t="s">
        <v>937</v>
      </c>
      <c r="I194" s="925" t="s">
        <v>419</v>
      </c>
    </row>
    <row r="195" spans="1:28" s="1061" customFormat="1" ht="24.95" customHeight="1" x14ac:dyDescent="0.35">
      <c r="A195" s="1064">
        <v>46231</v>
      </c>
      <c r="B195" s="1061" t="s">
        <v>973</v>
      </c>
      <c r="D195" s="1062" t="s">
        <v>90</v>
      </c>
      <c r="E195" s="1062"/>
      <c r="F195" s="1062"/>
      <c r="G195" s="1062"/>
      <c r="H195" s="1062" t="s">
        <v>974</v>
      </c>
      <c r="I195" s="1063" t="s">
        <v>419</v>
      </c>
      <c r="L195" s="655"/>
      <c r="M195" s="655"/>
      <c r="N195" s="655"/>
      <c r="O195" s="655"/>
      <c r="P195" s="655"/>
      <c r="Q195" s="655"/>
      <c r="R195" s="655"/>
      <c r="S195" s="655"/>
      <c r="T195" s="655"/>
      <c r="U195" s="655"/>
      <c r="V195" s="655"/>
      <c r="W195" s="655"/>
      <c r="X195" s="655"/>
      <c r="Y195" s="655"/>
      <c r="Z195" s="655"/>
      <c r="AA195" s="655"/>
      <c r="AB195" s="655"/>
    </row>
    <row r="196" spans="1:28" s="1023" customFormat="1" ht="24.95" customHeight="1" x14ac:dyDescent="0.35">
      <c r="A196" s="1016"/>
      <c r="B196" s="1017" t="s">
        <v>7</v>
      </c>
      <c r="C196" s="1018"/>
      <c r="D196" s="1019" t="s">
        <v>140</v>
      </c>
      <c r="E196" s="1019"/>
      <c r="F196" s="1018"/>
      <c r="G196" s="1018"/>
      <c r="H196" s="1020"/>
      <c r="I196" s="1021">
        <f>SUM(I7:I193)</f>
        <v>24956325.210000005</v>
      </c>
      <c r="J196" s="1021">
        <f>SUM(J7:J193)</f>
        <v>23272707.000000004</v>
      </c>
      <c r="K196" s="1022"/>
      <c r="L196"/>
      <c r="M196"/>
      <c r="N196"/>
      <c r="O196"/>
      <c r="P196"/>
      <c r="Q196"/>
      <c r="R196"/>
      <c r="S196"/>
      <c r="T196"/>
      <c r="U196"/>
      <c r="V196"/>
      <c r="W196"/>
      <c r="X196"/>
      <c r="Y196"/>
      <c r="Z196"/>
      <c r="AA196"/>
      <c r="AB196"/>
    </row>
    <row r="197" spans="1:28" ht="24.95" customHeight="1" x14ac:dyDescent="0.35">
      <c r="A197" s="940" t="s">
        <v>64</v>
      </c>
      <c r="G197" s="658" t="s">
        <v>64</v>
      </c>
    </row>
    <row r="198" spans="1:28" ht="24.95" customHeight="1" x14ac:dyDescent="0.35"/>
    <row r="199" spans="1:28" ht="24.95" customHeight="1" x14ac:dyDescent="0.35">
      <c r="F199" s="524" t="s">
        <v>486</v>
      </c>
    </row>
    <row r="200" spans="1:28" ht="24.95" customHeight="1" x14ac:dyDescent="0.35">
      <c r="G200" s="658" t="s">
        <v>64</v>
      </c>
    </row>
    <row r="201" spans="1:28" ht="23.25" customHeight="1" x14ac:dyDescent="0.35">
      <c r="D201" s="524"/>
      <c r="E201" s="524"/>
      <c r="H201" s="524"/>
      <c r="I201" s="524"/>
      <c r="J201" s="524"/>
    </row>
    <row r="202" spans="1:28" ht="24.95" customHeight="1" x14ac:dyDescent="0.35"/>
    <row r="203" spans="1:28" ht="24.95" customHeight="1" x14ac:dyDescent="0.35"/>
    <row r="204" spans="1:28" ht="24.95" customHeight="1" x14ac:dyDescent="0.35"/>
    <row r="205" spans="1:28" ht="24.95" customHeight="1" x14ac:dyDescent="0.35"/>
    <row r="206" spans="1:28" ht="24.95" customHeight="1" x14ac:dyDescent="0.35"/>
    <row r="207" spans="1:28" ht="24.95" customHeight="1" x14ac:dyDescent="0.35"/>
    <row r="208" spans="1:28" ht="24.95" customHeight="1" x14ac:dyDescent="0.35"/>
    <row r="209" ht="24.95" customHeight="1" x14ac:dyDescent="0.35"/>
    <row r="210" ht="24.95" customHeight="1" x14ac:dyDescent="0.35"/>
    <row r="211" ht="24.95" customHeight="1" x14ac:dyDescent="0.35"/>
    <row r="212" ht="24.95" customHeight="1" x14ac:dyDescent="0.35"/>
    <row r="213" ht="24.95" customHeight="1" x14ac:dyDescent="0.35"/>
    <row r="214" ht="24.95" customHeight="1" x14ac:dyDescent="0.35"/>
  </sheetData>
  <pageMargins left="0.70866141732283472" right="0.70866141732283472" top="0.74803149606299213" bottom="0.74803149606299213" header="0.31496062992125984" footer="0.31496062992125984"/>
  <pageSetup paperSize="9" scale="50" fitToWidth="0" orientation="landscape"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2"/>
  <sheetViews>
    <sheetView workbookViewId="0">
      <pane ySplit="6" topLeftCell="A7" activePane="bottomLeft" state="frozen"/>
      <selection pane="bottomLeft" sqref="A1:XFD1048576"/>
    </sheetView>
  </sheetViews>
  <sheetFormatPr defaultColWidth="23.85546875" defaultRowHeight="23.25" x14ac:dyDescent="0.35"/>
  <cols>
    <col min="1" max="1" width="23.85546875" style="940"/>
    <col min="2" max="2" width="67.28515625" style="657" customWidth="1"/>
    <col min="3" max="3" width="19.42578125" style="524" customWidth="1"/>
    <col min="4" max="4" width="13" style="1050" customWidth="1"/>
    <col min="5" max="5" width="10.42578125" style="657" customWidth="1"/>
    <col min="6" max="6" width="12.140625" style="524" customWidth="1"/>
    <col min="7" max="7" width="9.7109375" style="658" customWidth="1"/>
    <col min="8" max="8" width="51.42578125" style="658" customWidth="1"/>
    <col min="9" max="9" width="26" style="1056" customWidth="1"/>
    <col min="10" max="10" width="26" style="661" customWidth="1"/>
    <col min="11" max="11" width="29.7109375" style="336" customWidth="1"/>
    <col min="29" max="16384" width="23.85546875" style="524"/>
  </cols>
  <sheetData>
    <row r="1" spans="1:28" ht="24.95" customHeight="1" x14ac:dyDescent="0.35">
      <c r="A1" s="935" t="s">
        <v>598</v>
      </c>
      <c r="B1" s="517"/>
      <c r="C1" s="518"/>
      <c r="D1" s="1046"/>
      <c r="E1" s="942"/>
      <c r="F1" s="516"/>
      <c r="G1" s="516"/>
      <c r="H1" s="516"/>
      <c r="I1" s="1052"/>
      <c r="J1" s="520"/>
    </row>
    <row r="2" spans="1:28" ht="24.95" customHeight="1" x14ac:dyDescent="0.35">
      <c r="A2" s="936" t="s">
        <v>9</v>
      </c>
      <c r="B2" s="528"/>
      <c r="C2" s="529"/>
      <c r="D2" s="1047"/>
      <c r="E2" s="943"/>
      <c r="F2" s="527"/>
      <c r="G2" s="527"/>
      <c r="H2" s="527"/>
      <c r="I2" s="1053"/>
      <c r="J2" s="531"/>
    </row>
    <row r="3" spans="1:28" ht="24.95" customHeight="1" x14ac:dyDescent="0.35">
      <c r="A3" s="936" t="s">
        <v>10</v>
      </c>
      <c r="B3" s="528"/>
      <c r="C3" s="529"/>
      <c r="D3" s="1047"/>
      <c r="E3" s="943"/>
      <c r="F3" s="527"/>
      <c r="G3" s="527"/>
      <c r="H3" s="527"/>
      <c r="I3" s="1054"/>
      <c r="J3" s="535"/>
    </row>
    <row r="4" spans="1:28" ht="24.95" customHeight="1" x14ac:dyDescent="0.35">
      <c r="A4" s="936" t="s">
        <v>976</v>
      </c>
      <c r="B4" s="528"/>
      <c r="C4" s="529"/>
      <c r="D4" s="1047"/>
      <c r="E4" s="943"/>
      <c r="F4" s="527"/>
      <c r="G4" s="527"/>
      <c r="H4" s="527"/>
      <c r="I4" s="1054"/>
      <c r="J4" s="535"/>
    </row>
    <row r="5" spans="1:28" ht="24.95" customHeight="1" x14ac:dyDescent="0.35">
      <c r="A5" s="938"/>
      <c r="B5" s="528"/>
      <c r="C5" s="527"/>
      <c r="D5" s="1047"/>
      <c r="E5" s="528"/>
      <c r="F5" s="527"/>
      <c r="G5" s="527"/>
      <c r="H5" s="527"/>
      <c r="I5" s="1055"/>
      <c r="J5" s="541"/>
    </row>
    <row r="6" spans="1:28" s="565" customFormat="1" ht="24.95" customHeight="1" x14ac:dyDescent="0.4">
      <c r="A6" s="937" t="s">
        <v>0</v>
      </c>
      <c r="B6" s="547" t="s">
        <v>1</v>
      </c>
      <c r="C6" s="546" t="s">
        <v>739</v>
      </c>
      <c r="D6" s="545" t="s">
        <v>89</v>
      </c>
      <c r="E6" s="545" t="s">
        <v>933</v>
      </c>
      <c r="F6" s="546" t="s">
        <v>934</v>
      </c>
      <c r="G6" s="546" t="s">
        <v>935</v>
      </c>
      <c r="H6" s="546" t="s">
        <v>4</v>
      </c>
      <c r="I6" s="550" t="s">
        <v>11</v>
      </c>
      <c r="J6" s="550" t="s">
        <v>941</v>
      </c>
      <c r="K6" s="1008" t="s">
        <v>901</v>
      </c>
      <c r="L6"/>
      <c r="M6"/>
      <c r="N6"/>
      <c r="O6"/>
      <c r="P6"/>
      <c r="Q6"/>
      <c r="R6"/>
      <c r="S6"/>
      <c r="T6"/>
      <c r="U6"/>
      <c r="V6"/>
      <c r="W6"/>
      <c r="X6"/>
      <c r="Y6"/>
      <c r="Z6"/>
      <c r="AA6"/>
      <c r="AB6"/>
    </row>
    <row r="7" spans="1:28" s="565" customFormat="1" ht="24.95" customHeight="1" x14ac:dyDescent="0.4">
      <c r="A7" s="937"/>
      <c r="B7" s="547"/>
      <c r="C7" s="546"/>
      <c r="D7" s="545"/>
      <c r="E7" s="545"/>
      <c r="F7" s="546"/>
      <c r="G7" s="546"/>
      <c r="H7" s="546"/>
      <c r="I7" s="550"/>
      <c r="J7" s="550"/>
      <c r="K7" s="1008"/>
      <c r="L7"/>
      <c r="M7"/>
      <c r="N7"/>
      <c r="O7"/>
      <c r="P7"/>
      <c r="Q7"/>
      <c r="R7"/>
      <c r="S7"/>
      <c r="T7"/>
      <c r="U7"/>
      <c r="V7"/>
      <c r="W7"/>
      <c r="X7"/>
      <c r="Y7"/>
      <c r="Z7"/>
      <c r="AA7"/>
      <c r="AB7"/>
    </row>
    <row r="8" spans="1:28" s="760" customFormat="1" ht="24.95" customHeight="1" x14ac:dyDescent="0.35">
      <c r="A8" s="967">
        <v>43878</v>
      </c>
      <c r="B8" s="930" t="s">
        <v>63</v>
      </c>
      <c r="C8" s="925"/>
      <c r="D8" s="925" t="s">
        <v>90</v>
      </c>
      <c r="E8" s="925"/>
      <c r="F8" s="925"/>
      <c r="G8" s="925"/>
      <c r="H8" s="925" t="s">
        <v>102</v>
      </c>
      <c r="I8" s="965">
        <v>33421.01</v>
      </c>
      <c r="J8" s="965">
        <v>33421.01</v>
      </c>
      <c r="K8" s="1009"/>
      <c r="L8"/>
      <c r="M8"/>
      <c r="N8"/>
      <c r="O8"/>
      <c r="P8"/>
      <c r="Q8"/>
      <c r="R8"/>
      <c r="S8"/>
      <c r="T8"/>
      <c r="U8"/>
      <c r="V8"/>
      <c r="W8"/>
      <c r="X8"/>
      <c r="Y8"/>
      <c r="Z8"/>
      <c r="AA8"/>
      <c r="AB8"/>
    </row>
    <row r="9" spans="1:28" s="771" customFormat="1" ht="24.95" customHeight="1" x14ac:dyDescent="0.35">
      <c r="A9" s="968">
        <v>44092</v>
      </c>
      <c r="B9" s="930" t="s">
        <v>647</v>
      </c>
      <c r="C9" s="925"/>
      <c r="D9" s="925" t="s">
        <v>92</v>
      </c>
      <c r="E9" s="925"/>
      <c r="F9" s="925"/>
      <c r="G9" s="964"/>
      <c r="H9" s="964" t="s">
        <v>648</v>
      </c>
      <c r="I9" s="966">
        <v>108000</v>
      </c>
      <c r="J9" s="966">
        <v>108000</v>
      </c>
      <c r="K9" s="1009"/>
      <c r="L9"/>
      <c r="M9"/>
      <c r="N9"/>
      <c r="O9"/>
      <c r="P9"/>
      <c r="Q9"/>
      <c r="R9"/>
      <c r="S9"/>
      <c r="T9"/>
      <c r="U9"/>
      <c r="V9"/>
      <c r="W9"/>
      <c r="X9"/>
      <c r="Y9"/>
      <c r="Z9"/>
      <c r="AA9"/>
      <c r="AB9"/>
    </row>
    <row r="10" spans="1:28" s="782" customFormat="1" ht="24.95" customHeight="1" x14ac:dyDescent="0.35">
      <c r="A10" s="968">
        <v>44352</v>
      </c>
      <c r="B10" s="930" t="s">
        <v>107</v>
      </c>
      <c r="C10" s="925"/>
      <c r="D10" s="925" t="s">
        <v>90</v>
      </c>
      <c r="E10" s="925"/>
      <c r="F10" s="964"/>
      <c r="G10" s="964">
        <v>1918</v>
      </c>
      <c r="H10" s="964">
        <v>4457</v>
      </c>
      <c r="I10" s="966">
        <v>36289.599999999999</v>
      </c>
      <c r="J10" s="966">
        <v>36289.599999999999</v>
      </c>
      <c r="K10" s="1009"/>
      <c r="L10"/>
      <c r="M10"/>
      <c r="N10"/>
      <c r="O10"/>
      <c r="P10"/>
      <c r="Q10"/>
      <c r="R10"/>
      <c r="S10"/>
      <c r="T10"/>
      <c r="U10"/>
      <c r="V10"/>
      <c r="W10"/>
      <c r="X10"/>
      <c r="Y10"/>
      <c r="Z10"/>
      <c r="AA10"/>
      <c r="AB10"/>
    </row>
    <row r="11" spans="1:28" s="782" customFormat="1" ht="24.95" customHeight="1" x14ac:dyDescent="0.35">
      <c r="A11" s="968">
        <v>44413</v>
      </c>
      <c r="B11" s="930" t="s">
        <v>107</v>
      </c>
      <c r="C11" s="925"/>
      <c r="D11" s="925" t="s">
        <v>90</v>
      </c>
      <c r="E11" s="925"/>
      <c r="F11" s="964"/>
      <c r="G11" s="964"/>
      <c r="H11" s="964">
        <v>4457</v>
      </c>
      <c r="I11" s="966">
        <v>176976.8</v>
      </c>
      <c r="J11" s="966">
        <v>176976.8</v>
      </c>
      <c r="K11" s="1009"/>
      <c r="L11"/>
      <c r="M11"/>
      <c r="N11"/>
      <c r="O11"/>
      <c r="P11"/>
      <c r="Q11"/>
      <c r="R11"/>
      <c r="S11"/>
      <c r="T11"/>
      <c r="U11"/>
      <c r="V11"/>
      <c r="W11"/>
      <c r="X11"/>
      <c r="Y11"/>
      <c r="Z11"/>
      <c r="AA11"/>
      <c r="AB11"/>
    </row>
    <row r="12" spans="1:28" s="782" customFormat="1" ht="24.95" customHeight="1" x14ac:dyDescent="0.35">
      <c r="A12" s="968">
        <v>44420</v>
      </c>
      <c r="B12" s="930" t="s">
        <v>108</v>
      </c>
      <c r="C12" s="925"/>
      <c r="D12" s="925" t="s">
        <v>90</v>
      </c>
      <c r="E12" s="925"/>
      <c r="F12" s="964"/>
      <c r="G12" s="964"/>
      <c r="H12" s="964" t="s">
        <v>120</v>
      </c>
      <c r="I12" s="965">
        <v>470000</v>
      </c>
      <c r="J12" s="965">
        <v>470000</v>
      </c>
      <c r="K12" s="1009"/>
      <c r="L12"/>
      <c r="M12"/>
      <c r="N12"/>
      <c r="O12"/>
      <c r="P12"/>
      <c r="Q12"/>
      <c r="R12"/>
      <c r="S12"/>
      <c r="T12"/>
      <c r="U12"/>
      <c r="V12"/>
      <c r="W12"/>
      <c r="X12"/>
      <c r="Y12"/>
      <c r="Z12"/>
      <c r="AA12"/>
      <c r="AB12"/>
    </row>
    <row r="13" spans="1:28" s="775" customFormat="1" ht="24.95" customHeight="1" x14ac:dyDescent="0.35">
      <c r="A13" s="968">
        <v>44480</v>
      </c>
      <c r="B13" s="930" t="s">
        <v>43</v>
      </c>
      <c r="C13" s="925"/>
      <c r="D13" s="964" t="s">
        <v>90</v>
      </c>
      <c r="E13" s="964"/>
      <c r="F13" s="964"/>
      <c r="G13" s="925">
        <v>2019</v>
      </c>
      <c r="H13" s="964" t="s">
        <v>132</v>
      </c>
      <c r="I13" s="965">
        <v>147281.20000000001</v>
      </c>
      <c r="J13" s="965">
        <v>147281.20000000001</v>
      </c>
      <c r="K13" s="1009"/>
      <c r="L13"/>
      <c r="M13"/>
      <c r="N13"/>
      <c r="O13"/>
      <c r="P13"/>
      <c r="Q13"/>
      <c r="R13"/>
      <c r="S13"/>
      <c r="T13"/>
      <c r="U13"/>
      <c r="V13"/>
      <c r="W13"/>
      <c r="X13"/>
      <c r="Y13"/>
      <c r="Z13"/>
      <c r="AA13"/>
      <c r="AB13"/>
    </row>
    <row r="14" spans="1:28" s="775" customFormat="1" ht="24.95" customHeight="1" x14ac:dyDescent="0.35">
      <c r="A14" s="968">
        <v>44824</v>
      </c>
      <c r="B14" s="930" t="s">
        <v>43</v>
      </c>
      <c r="C14" s="925"/>
      <c r="D14" s="964" t="s">
        <v>90</v>
      </c>
      <c r="E14" s="964"/>
      <c r="F14" s="964"/>
      <c r="G14" s="925">
        <v>2162</v>
      </c>
      <c r="H14" s="964">
        <v>5218</v>
      </c>
      <c r="I14" s="965">
        <v>54650</v>
      </c>
      <c r="J14" s="965">
        <v>54650</v>
      </c>
      <c r="K14" s="1009"/>
      <c r="L14"/>
      <c r="M14"/>
      <c r="N14"/>
      <c r="O14"/>
      <c r="P14"/>
      <c r="Q14"/>
      <c r="R14"/>
      <c r="S14"/>
      <c r="T14"/>
      <c r="U14"/>
      <c r="V14"/>
      <c r="W14"/>
      <c r="X14"/>
      <c r="Y14"/>
      <c r="Z14"/>
      <c r="AA14"/>
      <c r="AB14"/>
    </row>
    <row r="15" spans="1:28" s="775" customFormat="1" ht="24.95" customHeight="1" x14ac:dyDescent="0.35">
      <c r="A15" s="968">
        <v>44839</v>
      </c>
      <c r="B15" s="930" t="s">
        <v>43</v>
      </c>
      <c r="C15" s="925"/>
      <c r="D15" s="964" t="s">
        <v>90</v>
      </c>
      <c r="E15" s="964"/>
      <c r="F15" s="964"/>
      <c r="G15" s="925">
        <v>2140</v>
      </c>
      <c r="H15" s="964">
        <v>5248</v>
      </c>
      <c r="I15" s="965">
        <v>25000</v>
      </c>
      <c r="J15" s="965">
        <v>25000</v>
      </c>
      <c r="K15" s="1009"/>
      <c r="L15"/>
      <c r="M15"/>
      <c r="N15"/>
      <c r="O15"/>
      <c r="P15"/>
      <c r="Q15"/>
      <c r="R15"/>
      <c r="S15"/>
      <c r="T15"/>
      <c r="U15"/>
      <c r="V15"/>
      <c r="W15"/>
      <c r="X15"/>
      <c r="Y15"/>
      <c r="Z15"/>
      <c r="AA15"/>
      <c r="AB15"/>
    </row>
    <row r="16" spans="1:28" s="775" customFormat="1" ht="24.95" customHeight="1" x14ac:dyDescent="0.35">
      <c r="A16" s="968">
        <v>45458</v>
      </c>
      <c r="B16" s="930" t="s">
        <v>43</v>
      </c>
      <c r="C16" s="925"/>
      <c r="D16" s="964" t="s">
        <v>90</v>
      </c>
      <c r="E16" s="964"/>
      <c r="F16" s="964"/>
      <c r="G16" s="925">
        <v>2355</v>
      </c>
      <c r="H16" s="964" t="s">
        <v>290</v>
      </c>
      <c r="I16" s="965">
        <v>11059.82</v>
      </c>
      <c r="J16" s="965">
        <v>11059.82</v>
      </c>
      <c r="K16" s="1009"/>
      <c r="L16"/>
      <c r="M16"/>
      <c r="N16"/>
      <c r="O16"/>
      <c r="P16"/>
      <c r="Q16"/>
      <c r="R16"/>
      <c r="S16"/>
      <c r="T16"/>
      <c r="U16"/>
      <c r="V16"/>
      <c r="W16"/>
      <c r="X16"/>
      <c r="Y16"/>
      <c r="Z16"/>
      <c r="AA16"/>
      <c r="AB16"/>
    </row>
    <row r="17" spans="1:28" s="775" customFormat="1" ht="24.95" customHeight="1" x14ac:dyDescent="0.35">
      <c r="A17" s="968" t="s">
        <v>421</v>
      </c>
      <c r="B17" s="930" t="s">
        <v>43</v>
      </c>
      <c r="C17" s="925"/>
      <c r="D17" s="964" t="s">
        <v>90</v>
      </c>
      <c r="E17" s="964"/>
      <c r="F17" s="964"/>
      <c r="G17" s="925"/>
      <c r="H17" s="964">
        <v>5987</v>
      </c>
      <c r="I17" s="965" t="s">
        <v>419</v>
      </c>
      <c r="J17" s="965" t="s">
        <v>419</v>
      </c>
      <c r="K17" s="1009"/>
      <c r="L17"/>
      <c r="M17"/>
      <c r="N17"/>
      <c r="O17"/>
      <c r="P17"/>
      <c r="Q17"/>
      <c r="R17"/>
      <c r="S17"/>
      <c r="T17"/>
      <c r="U17"/>
      <c r="V17"/>
      <c r="W17"/>
      <c r="X17"/>
      <c r="Y17"/>
      <c r="Z17"/>
      <c r="AA17"/>
      <c r="AB17"/>
    </row>
    <row r="18" spans="1:28" s="775" customFormat="1" ht="24.95" customHeight="1" x14ac:dyDescent="0.35">
      <c r="A18" s="968">
        <v>46087</v>
      </c>
      <c r="B18" s="930" t="s">
        <v>43</v>
      </c>
      <c r="C18" s="925"/>
      <c r="D18" s="964" t="s">
        <v>90</v>
      </c>
      <c r="E18" s="964"/>
      <c r="F18" s="964"/>
      <c r="G18" s="925"/>
      <c r="H18" s="964" t="s">
        <v>817</v>
      </c>
      <c r="I18" s="965">
        <v>144000</v>
      </c>
      <c r="J18" s="965">
        <v>144000</v>
      </c>
      <c r="K18" s="1009"/>
      <c r="L18"/>
      <c r="M18"/>
      <c r="N18"/>
      <c r="O18"/>
      <c r="P18"/>
      <c r="Q18"/>
      <c r="R18"/>
      <c r="S18"/>
      <c r="T18"/>
      <c r="U18"/>
      <c r="V18"/>
      <c r="W18"/>
      <c r="X18"/>
      <c r="Y18"/>
      <c r="Z18"/>
      <c r="AA18"/>
      <c r="AB18"/>
    </row>
    <row r="19" spans="1:28" s="782" customFormat="1" ht="24.95" customHeight="1" x14ac:dyDescent="0.35">
      <c r="A19" s="968">
        <v>44589</v>
      </c>
      <c r="B19" s="930" t="s">
        <v>125</v>
      </c>
      <c r="C19" s="925"/>
      <c r="D19" s="925" t="s">
        <v>90</v>
      </c>
      <c r="E19" s="925"/>
      <c r="F19" s="964"/>
      <c r="G19" s="964"/>
      <c r="H19" s="964">
        <v>4880</v>
      </c>
      <c r="I19" s="965">
        <v>37000</v>
      </c>
      <c r="J19" s="965">
        <v>37000</v>
      </c>
      <c r="K19" s="1009"/>
      <c r="L19"/>
      <c r="M19"/>
      <c r="N19"/>
      <c r="O19"/>
      <c r="P19"/>
      <c r="Q19"/>
      <c r="R19"/>
      <c r="S19"/>
      <c r="T19"/>
      <c r="U19"/>
      <c r="V19"/>
      <c r="W19"/>
      <c r="X19"/>
      <c r="Y19"/>
      <c r="Z19"/>
      <c r="AA19"/>
      <c r="AB19"/>
    </row>
    <row r="20" spans="1:28" s="782" customFormat="1" ht="24.95" customHeight="1" x14ac:dyDescent="0.35">
      <c r="A20" s="968">
        <v>44607</v>
      </c>
      <c r="B20" s="930" t="s">
        <v>649</v>
      </c>
      <c r="C20" s="925"/>
      <c r="D20" s="925" t="s">
        <v>90</v>
      </c>
      <c r="E20" s="925">
        <v>736</v>
      </c>
      <c r="F20" s="964"/>
      <c r="G20" s="964"/>
      <c r="H20" s="964" t="s">
        <v>902</v>
      </c>
      <c r="I20" s="965">
        <v>16076.04</v>
      </c>
      <c r="J20" s="965">
        <v>16076.04</v>
      </c>
      <c r="K20" s="1009"/>
      <c r="L20"/>
      <c r="M20"/>
      <c r="N20"/>
      <c r="O20"/>
      <c r="P20"/>
      <c r="Q20"/>
      <c r="R20"/>
      <c r="S20"/>
      <c r="T20"/>
      <c r="U20"/>
      <c r="V20"/>
      <c r="W20"/>
      <c r="X20"/>
      <c r="Y20"/>
      <c r="Z20"/>
      <c r="AA20"/>
      <c r="AB20"/>
    </row>
    <row r="21" spans="1:28" s="749" customFormat="1" ht="24.95" customHeight="1" x14ac:dyDescent="0.35">
      <c r="A21" s="968">
        <v>44609</v>
      </c>
      <c r="B21" s="930" t="s">
        <v>649</v>
      </c>
      <c r="C21" s="925"/>
      <c r="D21" s="964" t="s">
        <v>90</v>
      </c>
      <c r="E21" s="964">
        <v>734</v>
      </c>
      <c r="F21" s="964"/>
      <c r="G21" s="964"/>
      <c r="H21" s="964" t="s">
        <v>118</v>
      </c>
      <c r="I21" s="965">
        <v>7186.99</v>
      </c>
      <c r="J21" s="965">
        <v>7186.99</v>
      </c>
      <c r="K21" s="1009"/>
      <c r="L21"/>
      <c r="M21"/>
      <c r="N21"/>
      <c r="O21"/>
      <c r="P21"/>
      <c r="Q21"/>
      <c r="R21"/>
      <c r="S21"/>
      <c r="T21"/>
      <c r="U21"/>
      <c r="V21"/>
      <c r="W21"/>
      <c r="X21"/>
      <c r="Y21"/>
      <c r="Z21"/>
      <c r="AA21"/>
      <c r="AB21"/>
    </row>
    <row r="22" spans="1:28" s="749" customFormat="1" ht="24.95" customHeight="1" x14ac:dyDescent="0.35">
      <c r="A22" s="968">
        <v>44714</v>
      </c>
      <c r="B22" s="930" t="s">
        <v>649</v>
      </c>
      <c r="C22" s="925"/>
      <c r="D22" s="964" t="s">
        <v>90</v>
      </c>
      <c r="E22" s="964"/>
      <c r="F22" s="964"/>
      <c r="G22" s="964">
        <v>2062</v>
      </c>
      <c r="H22" s="964" t="s">
        <v>118</v>
      </c>
      <c r="I22" s="965">
        <v>77456</v>
      </c>
      <c r="J22" s="965">
        <v>77456</v>
      </c>
      <c r="K22" s="1009"/>
      <c r="L22"/>
      <c r="M22"/>
      <c r="N22"/>
      <c r="O22"/>
      <c r="P22"/>
      <c r="Q22"/>
      <c r="R22"/>
      <c r="S22"/>
      <c r="T22"/>
      <c r="U22"/>
      <c r="V22"/>
      <c r="W22"/>
      <c r="X22"/>
      <c r="Y22"/>
      <c r="Z22"/>
      <c r="AA22"/>
      <c r="AB22"/>
    </row>
    <row r="23" spans="1:28" s="749" customFormat="1" ht="24.95" customHeight="1" x14ac:dyDescent="0.35">
      <c r="A23" s="968">
        <v>44734</v>
      </c>
      <c r="B23" s="930" t="s">
        <v>649</v>
      </c>
      <c r="C23" s="925"/>
      <c r="D23" s="964" t="s">
        <v>90</v>
      </c>
      <c r="E23" s="964">
        <v>743</v>
      </c>
      <c r="F23" s="964"/>
      <c r="G23" s="964"/>
      <c r="H23" s="964" t="s">
        <v>118</v>
      </c>
      <c r="I23" s="965">
        <v>72499.08</v>
      </c>
      <c r="J23" s="965">
        <v>72499.08</v>
      </c>
      <c r="K23" s="1009"/>
      <c r="L23"/>
      <c r="M23"/>
      <c r="N23"/>
      <c r="O23"/>
      <c r="P23"/>
      <c r="Q23"/>
      <c r="R23"/>
      <c r="S23"/>
      <c r="T23"/>
      <c r="U23"/>
      <c r="V23"/>
      <c r="W23"/>
      <c r="X23"/>
      <c r="Y23"/>
      <c r="Z23"/>
      <c r="AA23"/>
      <c r="AB23"/>
    </row>
    <row r="24" spans="1:28" s="749" customFormat="1" ht="24.95" customHeight="1" x14ac:dyDescent="0.35">
      <c r="A24" s="968">
        <v>44741</v>
      </c>
      <c r="B24" s="930" t="s">
        <v>649</v>
      </c>
      <c r="C24" s="925"/>
      <c r="D24" s="964" t="s">
        <v>90</v>
      </c>
      <c r="E24" s="964">
        <v>757</v>
      </c>
      <c r="F24" s="964"/>
      <c r="G24" s="964"/>
      <c r="H24" s="964">
        <v>5908</v>
      </c>
      <c r="I24" s="965">
        <v>510</v>
      </c>
      <c r="J24" s="965">
        <v>510</v>
      </c>
      <c r="K24" s="1009"/>
      <c r="L24"/>
      <c r="M24"/>
      <c r="N24"/>
      <c r="O24"/>
      <c r="P24"/>
      <c r="Q24"/>
      <c r="R24"/>
      <c r="S24"/>
      <c r="T24"/>
      <c r="U24"/>
      <c r="V24"/>
      <c r="W24"/>
      <c r="X24"/>
      <c r="Y24"/>
      <c r="Z24"/>
      <c r="AA24"/>
      <c r="AB24"/>
    </row>
    <row r="25" spans="1:28" s="749" customFormat="1" ht="24.95" customHeight="1" x14ac:dyDescent="0.35">
      <c r="A25" s="968">
        <v>44855</v>
      </c>
      <c r="B25" s="930" t="s">
        <v>649</v>
      </c>
      <c r="C25" s="925"/>
      <c r="D25" s="964" t="s">
        <v>90</v>
      </c>
      <c r="E25" s="964">
        <v>755</v>
      </c>
      <c r="F25" s="964"/>
      <c r="G25" s="964"/>
      <c r="H25" s="964">
        <v>5739</v>
      </c>
      <c r="I25" s="965">
        <v>6650</v>
      </c>
      <c r="J25" s="965">
        <v>6650</v>
      </c>
      <c r="K25" s="1009"/>
      <c r="L25"/>
      <c r="M25"/>
      <c r="N25"/>
      <c r="O25"/>
      <c r="P25"/>
      <c r="Q25"/>
      <c r="R25"/>
      <c r="S25"/>
      <c r="T25"/>
      <c r="U25"/>
      <c r="V25"/>
      <c r="W25"/>
      <c r="X25"/>
      <c r="Y25"/>
      <c r="Z25"/>
      <c r="AA25"/>
      <c r="AB25"/>
    </row>
    <row r="26" spans="1:28" s="749" customFormat="1" ht="24.95" customHeight="1" x14ac:dyDescent="0.35">
      <c r="A26" s="968">
        <v>44855</v>
      </c>
      <c r="B26" s="930" t="s">
        <v>649</v>
      </c>
      <c r="C26" s="925"/>
      <c r="D26" s="964" t="s">
        <v>90</v>
      </c>
      <c r="E26" s="964">
        <v>758</v>
      </c>
      <c r="F26" s="964"/>
      <c r="G26" s="964"/>
      <c r="H26" s="964" t="s">
        <v>118</v>
      </c>
      <c r="I26" s="965">
        <v>3000</v>
      </c>
      <c r="J26" s="965">
        <v>3000</v>
      </c>
      <c r="K26" s="1009"/>
      <c r="L26"/>
      <c r="M26"/>
      <c r="N26"/>
      <c r="O26"/>
      <c r="P26"/>
      <c r="Q26"/>
      <c r="R26"/>
      <c r="S26"/>
      <c r="T26"/>
      <c r="U26"/>
      <c r="V26"/>
      <c r="W26"/>
      <c r="X26"/>
      <c r="Y26"/>
      <c r="Z26"/>
      <c r="AA26"/>
      <c r="AB26"/>
    </row>
    <row r="27" spans="1:28" s="749" customFormat="1" ht="24.95" customHeight="1" x14ac:dyDescent="0.35">
      <c r="A27" s="968">
        <v>44916</v>
      </c>
      <c r="B27" s="930" t="s">
        <v>649</v>
      </c>
      <c r="C27" s="925"/>
      <c r="D27" s="964" t="s">
        <v>90</v>
      </c>
      <c r="E27" s="964"/>
      <c r="F27" s="964"/>
      <c r="G27" s="964">
        <v>2176</v>
      </c>
      <c r="H27" s="964" t="s">
        <v>118</v>
      </c>
      <c r="I27" s="965">
        <v>186146</v>
      </c>
      <c r="J27" s="965">
        <v>186146</v>
      </c>
      <c r="K27" s="1009"/>
      <c r="L27"/>
      <c r="M27"/>
      <c r="N27"/>
      <c r="O27"/>
      <c r="P27"/>
      <c r="Q27"/>
      <c r="R27"/>
      <c r="S27"/>
      <c r="T27"/>
      <c r="U27"/>
      <c r="V27"/>
      <c r="W27"/>
      <c r="X27"/>
      <c r="Y27"/>
      <c r="Z27"/>
      <c r="AA27"/>
      <c r="AB27"/>
    </row>
    <row r="28" spans="1:28" s="749" customFormat="1" ht="24.95" customHeight="1" x14ac:dyDescent="0.35">
      <c r="A28" s="968">
        <v>45343</v>
      </c>
      <c r="B28" s="930" t="s">
        <v>649</v>
      </c>
      <c r="C28" s="925"/>
      <c r="D28" s="964" t="s">
        <v>90</v>
      </c>
      <c r="E28" s="964">
        <v>826</v>
      </c>
      <c r="F28" s="964"/>
      <c r="G28" s="964"/>
      <c r="H28" s="964" t="s">
        <v>118</v>
      </c>
      <c r="I28" s="965">
        <v>22500</v>
      </c>
      <c r="J28" s="965">
        <v>22500</v>
      </c>
      <c r="K28" s="1009"/>
      <c r="L28"/>
      <c r="M28"/>
      <c r="N28"/>
      <c r="O28"/>
      <c r="P28"/>
      <c r="Q28"/>
      <c r="R28"/>
      <c r="S28"/>
      <c r="T28"/>
      <c r="U28"/>
      <c r="V28"/>
      <c r="W28"/>
      <c r="X28"/>
      <c r="Y28"/>
      <c r="Z28"/>
      <c r="AA28"/>
      <c r="AB28"/>
    </row>
    <row r="29" spans="1:28" s="782" customFormat="1" ht="27.75" customHeight="1" x14ac:dyDescent="0.35">
      <c r="A29" s="968">
        <v>44614</v>
      </c>
      <c r="B29" s="930" t="s">
        <v>650</v>
      </c>
      <c r="C29" s="925"/>
      <c r="D29" s="925" t="s">
        <v>92</v>
      </c>
      <c r="E29" s="925"/>
      <c r="F29" s="964"/>
      <c r="G29" s="964"/>
      <c r="H29" s="964" t="s">
        <v>376</v>
      </c>
      <c r="I29" s="965">
        <v>526625</v>
      </c>
      <c r="J29" s="965">
        <v>526625</v>
      </c>
      <c r="K29" s="1009"/>
      <c r="L29"/>
      <c r="M29"/>
      <c r="N29"/>
      <c r="O29"/>
      <c r="P29"/>
      <c r="Q29"/>
      <c r="R29"/>
      <c r="S29"/>
      <c r="T29"/>
      <c r="U29"/>
      <c r="V29"/>
      <c r="W29"/>
      <c r="X29"/>
      <c r="Y29"/>
      <c r="Z29"/>
      <c r="AA29"/>
      <c r="AB29"/>
    </row>
    <row r="30" spans="1:28" s="782" customFormat="1" ht="24.95" customHeight="1" x14ac:dyDescent="0.35">
      <c r="A30" s="968">
        <v>44631</v>
      </c>
      <c r="B30" s="930" t="s">
        <v>650</v>
      </c>
      <c r="C30" s="925"/>
      <c r="D30" s="925" t="s">
        <v>92</v>
      </c>
      <c r="E30" s="925"/>
      <c r="F30" s="964"/>
      <c r="G30" s="964"/>
      <c r="H30" s="964">
        <v>4943</v>
      </c>
      <c r="I30" s="965">
        <v>5975</v>
      </c>
      <c r="J30" s="965">
        <v>5975</v>
      </c>
      <c r="K30" s="1009"/>
      <c r="L30"/>
      <c r="M30"/>
      <c r="N30"/>
      <c r="O30"/>
      <c r="P30"/>
      <c r="Q30"/>
      <c r="R30"/>
      <c r="S30"/>
      <c r="T30"/>
      <c r="U30"/>
      <c r="V30"/>
      <c r="W30"/>
      <c r="X30"/>
      <c r="Y30"/>
      <c r="Z30"/>
      <c r="AA30"/>
      <c r="AB30"/>
    </row>
    <row r="31" spans="1:28" s="800" customFormat="1" ht="24.95" customHeight="1" x14ac:dyDescent="0.35">
      <c r="A31" s="968">
        <v>44638</v>
      </c>
      <c r="B31" s="930" t="s">
        <v>650</v>
      </c>
      <c r="C31" s="925"/>
      <c r="D31" s="925" t="s">
        <v>92</v>
      </c>
      <c r="E31" s="925"/>
      <c r="F31" s="964"/>
      <c r="G31" s="964"/>
      <c r="H31" s="964">
        <v>4953</v>
      </c>
      <c r="I31" s="965">
        <v>4950</v>
      </c>
      <c r="J31" s="965">
        <v>4950</v>
      </c>
      <c r="K31" s="1009"/>
      <c r="L31"/>
      <c r="M31"/>
      <c r="N31"/>
      <c r="O31"/>
      <c r="P31"/>
      <c r="Q31"/>
      <c r="R31"/>
      <c r="S31"/>
      <c r="T31"/>
      <c r="U31"/>
      <c r="V31"/>
      <c r="W31"/>
      <c r="X31"/>
      <c r="Y31"/>
      <c r="Z31"/>
      <c r="AA31"/>
      <c r="AB31"/>
    </row>
    <row r="32" spans="1:28" s="800" customFormat="1" ht="24.95" customHeight="1" x14ac:dyDescent="0.35">
      <c r="A32" s="968">
        <v>44711</v>
      </c>
      <c r="B32" s="930" t="s">
        <v>153</v>
      </c>
      <c r="C32" s="925"/>
      <c r="D32" s="925" t="s">
        <v>92</v>
      </c>
      <c r="E32" s="925"/>
      <c r="F32" s="964"/>
      <c r="G32" s="964"/>
      <c r="H32" s="964" t="s">
        <v>181</v>
      </c>
      <c r="I32" s="965">
        <v>164667</v>
      </c>
      <c r="J32" s="965">
        <v>164667</v>
      </c>
      <c r="K32" s="1009"/>
      <c r="L32"/>
      <c r="M32"/>
      <c r="N32"/>
      <c r="O32"/>
      <c r="P32"/>
      <c r="Q32"/>
      <c r="R32"/>
      <c r="S32"/>
      <c r="T32"/>
      <c r="U32"/>
      <c r="V32"/>
      <c r="W32"/>
      <c r="X32"/>
      <c r="Y32"/>
      <c r="Z32"/>
      <c r="AA32"/>
      <c r="AB32"/>
    </row>
    <row r="33" spans="1:28" s="800" customFormat="1" ht="24.95" customHeight="1" x14ac:dyDescent="0.35">
      <c r="A33" s="968">
        <v>44768</v>
      </c>
      <c r="B33" s="930" t="s">
        <v>651</v>
      </c>
      <c r="C33" s="925"/>
      <c r="D33" s="925" t="s">
        <v>90</v>
      </c>
      <c r="E33" s="925"/>
      <c r="F33" s="964"/>
      <c r="G33" s="964"/>
      <c r="H33" s="964" t="s">
        <v>151</v>
      </c>
      <c r="I33" s="965">
        <v>847950.4</v>
      </c>
      <c r="J33" s="965">
        <v>847950.4</v>
      </c>
      <c r="K33" s="1009"/>
      <c r="L33"/>
      <c r="M33"/>
      <c r="N33"/>
      <c r="O33"/>
      <c r="P33"/>
      <c r="Q33"/>
      <c r="R33"/>
      <c r="S33"/>
      <c r="T33"/>
      <c r="U33"/>
      <c r="V33"/>
      <c r="W33"/>
      <c r="X33"/>
      <c r="Y33"/>
      <c r="Z33"/>
      <c r="AA33"/>
      <c r="AB33"/>
    </row>
    <row r="34" spans="1:28" s="800" customFormat="1" ht="24.95" customHeight="1" x14ac:dyDescent="0.35">
      <c r="A34" s="968">
        <v>45946</v>
      </c>
      <c r="B34" s="930" t="s">
        <v>651</v>
      </c>
      <c r="C34" s="925"/>
      <c r="D34" s="925" t="s">
        <v>90</v>
      </c>
      <c r="E34" s="925"/>
      <c r="F34" s="964"/>
      <c r="G34" s="964"/>
      <c r="H34" s="964" t="s">
        <v>641</v>
      </c>
      <c r="I34" s="965" t="s">
        <v>419</v>
      </c>
      <c r="J34" s="965" t="s">
        <v>419</v>
      </c>
      <c r="K34" s="1009"/>
      <c r="L34"/>
      <c r="M34"/>
      <c r="N34"/>
      <c r="O34"/>
      <c r="P34"/>
      <c r="Q34"/>
      <c r="R34"/>
      <c r="S34"/>
      <c r="T34"/>
      <c r="U34"/>
      <c r="V34"/>
      <c r="W34"/>
      <c r="X34"/>
      <c r="Y34"/>
      <c r="Z34"/>
      <c r="AA34"/>
      <c r="AB34"/>
    </row>
    <row r="35" spans="1:28" s="800" customFormat="1" ht="24.95" customHeight="1" x14ac:dyDescent="0.35">
      <c r="A35" s="968">
        <v>44786</v>
      </c>
      <c r="B35" s="930" t="s">
        <v>652</v>
      </c>
      <c r="C35" s="925"/>
      <c r="D35" s="925" t="s">
        <v>94</v>
      </c>
      <c r="E35" s="925"/>
      <c r="F35" s="964"/>
      <c r="G35" s="964">
        <v>2136</v>
      </c>
      <c r="H35" s="964" t="s">
        <v>170</v>
      </c>
      <c r="I35" s="965">
        <v>193400</v>
      </c>
      <c r="J35" s="965">
        <v>193400</v>
      </c>
      <c r="K35" s="1009"/>
      <c r="L35"/>
      <c r="M35"/>
      <c r="N35"/>
      <c r="O35"/>
      <c r="P35"/>
      <c r="Q35"/>
      <c r="R35"/>
      <c r="S35"/>
      <c r="T35"/>
      <c r="U35"/>
      <c r="V35"/>
      <c r="W35"/>
      <c r="X35"/>
      <c r="Y35"/>
      <c r="Z35"/>
      <c r="AA35"/>
      <c r="AB35"/>
    </row>
    <row r="36" spans="1:28" s="800" customFormat="1" ht="24.95" customHeight="1" x14ac:dyDescent="0.35">
      <c r="A36" s="968">
        <v>44954</v>
      </c>
      <c r="B36" s="930" t="s">
        <v>480</v>
      </c>
      <c r="C36" s="925"/>
      <c r="D36" s="925" t="s">
        <v>92</v>
      </c>
      <c r="E36" s="925">
        <v>832</v>
      </c>
      <c r="F36" s="964"/>
      <c r="G36" s="964"/>
      <c r="H36" s="964">
        <v>5373</v>
      </c>
      <c r="I36" s="965">
        <v>666000</v>
      </c>
      <c r="J36" s="965">
        <v>666000</v>
      </c>
      <c r="K36" s="1009"/>
      <c r="L36"/>
      <c r="M36"/>
      <c r="N36"/>
      <c r="O36"/>
      <c r="P36"/>
      <c r="Q36"/>
      <c r="R36"/>
      <c r="S36"/>
      <c r="T36"/>
      <c r="U36"/>
      <c r="V36"/>
      <c r="W36"/>
      <c r="X36"/>
      <c r="Y36"/>
      <c r="Z36"/>
      <c r="AA36"/>
      <c r="AB36"/>
    </row>
    <row r="37" spans="1:28" s="800" customFormat="1" ht="24.95" customHeight="1" x14ac:dyDescent="0.35">
      <c r="A37" s="968">
        <v>44954</v>
      </c>
      <c r="B37" s="930" t="s">
        <v>480</v>
      </c>
      <c r="C37" s="925"/>
      <c r="D37" s="925" t="s">
        <v>92</v>
      </c>
      <c r="E37" s="925">
        <v>833</v>
      </c>
      <c r="F37" s="964"/>
      <c r="G37" s="964"/>
      <c r="H37" s="964">
        <v>5374</v>
      </c>
      <c r="I37" s="965">
        <v>657658.5</v>
      </c>
      <c r="J37" s="965">
        <v>657658.5</v>
      </c>
      <c r="K37" s="1009"/>
      <c r="L37"/>
      <c r="M37"/>
      <c r="N37"/>
      <c r="O37"/>
      <c r="P37"/>
      <c r="Q37"/>
      <c r="R37"/>
      <c r="S37"/>
      <c r="T37"/>
      <c r="U37"/>
      <c r="V37"/>
      <c r="W37"/>
      <c r="X37"/>
      <c r="Y37"/>
      <c r="Z37"/>
      <c r="AA37"/>
      <c r="AB37"/>
    </row>
    <row r="38" spans="1:28" s="800" customFormat="1" ht="24.95" customHeight="1" x14ac:dyDescent="0.35">
      <c r="A38" s="968">
        <v>45017</v>
      </c>
      <c r="B38" s="930" t="s">
        <v>480</v>
      </c>
      <c r="C38" s="925"/>
      <c r="D38" s="925" t="s">
        <v>92</v>
      </c>
      <c r="E38" s="925"/>
      <c r="F38" s="964"/>
      <c r="G38" s="964"/>
      <c r="H38" s="964">
        <v>5460</v>
      </c>
      <c r="I38" s="965">
        <v>413995.98</v>
      </c>
      <c r="J38" s="965">
        <v>413995.98</v>
      </c>
      <c r="K38" s="1009"/>
      <c r="L38"/>
      <c r="M38"/>
      <c r="N38"/>
      <c r="O38"/>
      <c r="P38"/>
      <c r="Q38"/>
      <c r="R38"/>
      <c r="S38"/>
      <c r="T38"/>
      <c r="U38"/>
      <c r="V38"/>
      <c r="W38"/>
      <c r="X38"/>
      <c r="Y38"/>
      <c r="Z38"/>
      <c r="AA38"/>
      <c r="AB38"/>
    </row>
    <row r="39" spans="1:28" s="800" customFormat="1" ht="24.95" customHeight="1" x14ac:dyDescent="0.35">
      <c r="A39" s="968">
        <v>45181</v>
      </c>
      <c r="B39" s="930" t="s">
        <v>480</v>
      </c>
      <c r="C39" s="925"/>
      <c r="D39" s="925" t="s">
        <v>92</v>
      </c>
      <c r="E39" s="925"/>
      <c r="F39" s="964" t="s">
        <v>654</v>
      </c>
      <c r="G39" s="964"/>
      <c r="H39" s="964">
        <v>5606</v>
      </c>
      <c r="I39" s="965">
        <v>676930.8</v>
      </c>
      <c r="J39" s="965">
        <v>676930.8</v>
      </c>
      <c r="K39" s="1009"/>
      <c r="L39"/>
      <c r="M39"/>
      <c r="N39"/>
      <c r="O39"/>
      <c r="P39"/>
      <c r="Q39"/>
      <c r="R39"/>
      <c r="S39"/>
      <c r="T39"/>
      <c r="U39"/>
      <c r="V39"/>
      <c r="W39"/>
      <c r="X39"/>
      <c r="Y39"/>
      <c r="Z39"/>
      <c r="AA39"/>
      <c r="AB39"/>
    </row>
    <row r="40" spans="1:28" s="800" customFormat="1" ht="24.95" customHeight="1" x14ac:dyDescent="0.35">
      <c r="A40" s="968">
        <v>45386</v>
      </c>
      <c r="B40" s="930" t="s">
        <v>480</v>
      </c>
      <c r="C40" s="925"/>
      <c r="D40" s="925" t="s">
        <v>90</v>
      </c>
      <c r="E40" s="925"/>
      <c r="F40" s="964"/>
      <c r="G40" s="964"/>
      <c r="H40" s="964">
        <v>5776</v>
      </c>
      <c r="I40" s="965">
        <v>455997.92</v>
      </c>
      <c r="J40" s="965">
        <v>455997.92</v>
      </c>
      <c r="K40" s="1009"/>
      <c r="L40"/>
      <c r="M40"/>
      <c r="N40"/>
      <c r="O40"/>
      <c r="P40"/>
      <c r="Q40"/>
      <c r="R40"/>
      <c r="S40"/>
      <c r="T40"/>
      <c r="U40"/>
      <c r="V40"/>
      <c r="W40"/>
      <c r="X40"/>
      <c r="Y40"/>
      <c r="Z40"/>
      <c r="AA40"/>
      <c r="AB40"/>
    </row>
    <row r="41" spans="1:28" s="800" customFormat="1" ht="24.95" customHeight="1" x14ac:dyDescent="0.35">
      <c r="A41" s="968">
        <v>45601</v>
      </c>
      <c r="B41" s="930" t="s">
        <v>480</v>
      </c>
      <c r="C41" s="925"/>
      <c r="D41" s="925" t="s">
        <v>90</v>
      </c>
      <c r="E41" s="925"/>
      <c r="F41" s="964"/>
      <c r="G41" s="964"/>
      <c r="H41" s="964">
        <v>5920</v>
      </c>
      <c r="I41" s="965">
        <v>310000</v>
      </c>
      <c r="J41" s="965">
        <v>310000</v>
      </c>
      <c r="K41" s="1009"/>
      <c r="L41"/>
      <c r="M41"/>
      <c r="N41"/>
      <c r="O41"/>
      <c r="P41"/>
      <c r="Q41"/>
      <c r="R41"/>
      <c r="S41"/>
      <c r="T41"/>
      <c r="U41"/>
      <c r="V41"/>
      <c r="W41"/>
      <c r="X41"/>
      <c r="Y41"/>
      <c r="Z41"/>
      <c r="AA41"/>
      <c r="AB41"/>
    </row>
    <row r="42" spans="1:28" s="800" customFormat="1" ht="24.95" customHeight="1" x14ac:dyDescent="0.35">
      <c r="A42" s="968">
        <v>45680</v>
      </c>
      <c r="B42" s="930" t="s">
        <v>480</v>
      </c>
      <c r="C42" s="925"/>
      <c r="D42" s="925" t="s">
        <v>90</v>
      </c>
      <c r="E42" s="925"/>
      <c r="F42" s="964"/>
      <c r="G42" s="964">
        <v>2343</v>
      </c>
      <c r="H42" s="964">
        <v>5979</v>
      </c>
      <c r="I42" s="965">
        <v>45000</v>
      </c>
      <c r="J42" s="965">
        <v>45000</v>
      </c>
      <c r="K42" s="1009"/>
      <c r="L42"/>
      <c r="M42"/>
      <c r="N42"/>
      <c r="O42"/>
      <c r="P42"/>
      <c r="Q42"/>
      <c r="R42"/>
      <c r="S42"/>
      <c r="T42"/>
      <c r="U42"/>
      <c r="V42"/>
      <c r="W42"/>
      <c r="X42"/>
      <c r="Y42"/>
      <c r="Z42"/>
      <c r="AA42"/>
      <c r="AB42"/>
    </row>
    <row r="43" spans="1:28" s="800" customFormat="1" ht="24.95" customHeight="1" x14ac:dyDescent="0.35">
      <c r="A43" s="968">
        <v>45731</v>
      </c>
      <c r="B43" s="930" t="s">
        <v>480</v>
      </c>
      <c r="C43" s="925"/>
      <c r="D43" s="925" t="s">
        <v>90</v>
      </c>
      <c r="E43" s="925"/>
      <c r="F43" s="964"/>
      <c r="G43" s="964"/>
      <c r="H43" s="964" t="s">
        <v>481</v>
      </c>
      <c r="I43" s="965" t="s">
        <v>419</v>
      </c>
      <c r="J43" s="965" t="s">
        <v>419</v>
      </c>
      <c r="K43" s="1009"/>
      <c r="L43"/>
      <c r="M43"/>
      <c r="N43"/>
      <c r="O43"/>
      <c r="P43"/>
      <c r="Q43"/>
      <c r="R43"/>
      <c r="S43"/>
      <c r="T43"/>
      <c r="U43"/>
      <c r="V43"/>
      <c r="W43"/>
      <c r="X43"/>
      <c r="Y43"/>
      <c r="Z43"/>
      <c r="AA43"/>
      <c r="AB43"/>
    </row>
    <row r="44" spans="1:28" s="800" customFormat="1" ht="24.95" customHeight="1" x14ac:dyDescent="0.35">
      <c r="A44" s="968">
        <v>2023</v>
      </c>
      <c r="B44" s="930" t="s">
        <v>191</v>
      </c>
      <c r="C44" s="925"/>
      <c r="D44" s="925" t="s">
        <v>92</v>
      </c>
      <c r="E44" s="925"/>
      <c r="F44" s="964"/>
      <c r="G44" s="964"/>
      <c r="H44" s="964" t="s">
        <v>118</v>
      </c>
      <c r="I44" s="965">
        <v>67000</v>
      </c>
      <c r="J44" s="965">
        <v>67000</v>
      </c>
      <c r="K44" s="1009"/>
      <c r="L44"/>
      <c r="M44"/>
      <c r="N44"/>
      <c r="O44"/>
      <c r="P44"/>
      <c r="Q44"/>
      <c r="R44"/>
      <c r="S44"/>
      <c r="T44"/>
      <c r="U44"/>
      <c r="V44"/>
      <c r="W44"/>
      <c r="X44"/>
      <c r="Y44"/>
      <c r="Z44"/>
      <c r="AA44"/>
      <c r="AB44"/>
    </row>
    <row r="45" spans="1:28" s="782" customFormat="1" ht="24.95" customHeight="1" x14ac:dyDescent="0.35">
      <c r="A45" s="968">
        <v>45147</v>
      </c>
      <c r="B45" s="930" t="s">
        <v>653</v>
      </c>
      <c r="C45" s="925"/>
      <c r="D45" s="925" t="s">
        <v>92</v>
      </c>
      <c r="E45" s="925"/>
      <c r="F45" s="964"/>
      <c r="G45" s="964"/>
      <c r="H45" s="964">
        <v>5568</v>
      </c>
      <c r="I45" s="965">
        <v>10000</v>
      </c>
      <c r="J45" s="965">
        <v>10000</v>
      </c>
      <c r="K45" s="1009"/>
      <c r="L45"/>
      <c r="M45"/>
      <c r="N45"/>
      <c r="O45"/>
      <c r="P45"/>
      <c r="Q45"/>
      <c r="R45"/>
      <c r="S45"/>
      <c r="T45"/>
      <c r="U45"/>
      <c r="V45"/>
      <c r="W45"/>
      <c r="X45"/>
      <c r="Y45"/>
      <c r="Z45"/>
      <c r="AA45"/>
      <c r="AB45"/>
    </row>
    <row r="46" spans="1:28" s="782" customFormat="1" ht="24.95" customHeight="1" x14ac:dyDescent="0.35">
      <c r="A46" s="968">
        <v>45195</v>
      </c>
      <c r="B46" s="930" t="s">
        <v>271</v>
      </c>
      <c r="C46" s="925"/>
      <c r="D46" s="925" t="s">
        <v>92</v>
      </c>
      <c r="E46" s="925"/>
      <c r="F46" s="964"/>
      <c r="G46" s="964"/>
      <c r="H46" s="964" t="s">
        <v>272</v>
      </c>
      <c r="I46" s="965">
        <v>2339.29</v>
      </c>
      <c r="J46" s="965">
        <v>2339.29</v>
      </c>
      <c r="K46" s="1009"/>
      <c r="L46"/>
      <c r="M46"/>
      <c r="N46"/>
      <c r="O46"/>
      <c r="P46"/>
      <c r="Q46"/>
      <c r="R46"/>
      <c r="S46"/>
      <c r="T46"/>
      <c r="U46"/>
      <c r="V46"/>
      <c r="W46"/>
      <c r="X46"/>
      <c r="Y46"/>
      <c r="Z46"/>
      <c r="AA46"/>
      <c r="AB46"/>
    </row>
    <row r="47" spans="1:28" s="782" customFormat="1" ht="24.95" customHeight="1" x14ac:dyDescent="0.35">
      <c r="A47" s="968">
        <v>45859</v>
      </c>
      <c r="B47" s="930" t="s">
        <v>271</v>
      </c>
      <c r="C47" s="925"/>
      <c r="D47" s="925" t="s">
        <v>282</v>
      </c>
      <c r="E47" s="925"/>
      <c r="F47" s="964"/>
      <c r="G47" s="964"/>
      <c r="H47" s="964" t="s">
        <v>572</v>
      </c>
      <c r="I47" s="965">
        <v>9850</v>
      </c>
      <c r="J47" s="965">
        <v>9850</v>
      </c>
      <c r="K47" s="1009"/>
      <c r="L47"/>
      <c r="M47"/>
      <c r="N47"/>
      <c r="O47"/>
      <c r="P47"/>
      <c r="Q47"/>
      <c r="R47"/>
      <c r="S47"/>
      <c r="T47"/>
      <c r="U47"/>
      <c r="V47"/>
      <c r="W47"/>
      <c r="X47"/>
      <c r="Y47"/>
      <c r="Z47"/>
      <c r="AA47"/>
      <c r="AB47"/>
    </row>
    <row r="48" spans="1:28" s="782" customFormat="1" ht="24.95" customHeight="1" x14ac:dyDescent="0.35">
      <c r="A48" s="968" t="s">
        <v>421</v>
      </c>
      <c r="B48" s="930" t="s">
        <v>417</v>
      </c>
      <c r="C48" s="925"/>
      <c r="D48" s="925" t="s">
        <v>90</v>
      </c>
      <c r="E48" s="925"/>
      <c r="F48" s="964"/>
      <c r="G48" s="964"/>
      <c r="H48" s="964" t="s">
        <v>456</v>
      </c>
      <c r="I48" s="965" t="s">
        <v>419</v>
      </c>
      <c r="J48" s="965" t="s">
        <v>419</v>
      </c>
      <c r="K48" s="1009"/>
      <c r="L48"/>
      <c r="M48"/>
      <c r="N48"/>
      <c r="O48"/>
      <c r="P48"/>
      <c r="Q48"/>
      <c r="R48"/>
      <c r="S48"/>
      <c r="T48"/>
      <c r="U48"/>
      <c r="V48"/>
      <c r="W48"/>
      <c r="X48"/>
      <c r="Y48"/>
      <c r="Z48"/>
      <c r="AA48"/>
      <c r="AB48"/>
    </row>
    <row r="49" spans="1:28" s="782" customFormat="1" ht="24.95" customHeight="1" x14ac:dyDescent="0.35">
      <c r="A49" s="968">
        <v>45897</v>
      </c>
      <c r="B49" s="930" t="s">
        <v>417</v>
      </c>
      <c r="C49" s="925"/>
      <c r="D49" s="925" t="s">
        <v>90</v>
      </c>
      <c r="E49" s="925"/>
      <c r="F49" s="964"/>
      <c r="G49" s="964"/>
      <c r="H49" s="964" t="s">
        <v>609</v>
      </c>
      <c r="I49" s="965" t="s">
        <v>419</v>
      </c>
      <c r="J49" s="965" t="s">
        <v>419</v>
      </c>
      <c r="K49" s="1009"/>
      <c r="L49"/>
      <c r="M49"/>
      <c r="N49"/>
      <c r="O49"/>
      <c r="P49"/>
      <c r="Q49"/>
      <c r="R49"/>
      <c r="S49"/>
      <c r="T49"/>
      <c r="U49"/>
      <c r="V49"/>
      <c r="W49"/>
      <c r="X49"/>
      <c r="Y49"/>
      <c r="Z49"/>
      <c r="AA49"/>
      <c r="AB49"/>
    </row>
    <row r="50" spans="1:28" s="782" customFormat="1" ht="24.95" customHeight="1" x14ac:dyDescent="0.35">
      <c r="A50" s="968">
        <v>45985</v>
      </c>
      <c r="B50" s="930" t="s">
        <v>417</v>
      </c>
      <c r="C50" s="925"/>
      <c r="D50" s="925" t="s">
        <v>90</v>
      </c>
      <c r="E50" s="925"/>
      <c r="F50" s="964"/>
      <c r="G50" s="964"/>
      <c r="H50" s="964" t="s">
        <v>688</v>
      </c>
      <c r="I50" s="965" t="s">
        <v>419</v>
      </c>
      <c r="J50" s="965" t="s">
        <v>419</v>
      </c>
      <c r="K50" s="1009"/>
      <c r="L50"/>
      <c r="M50"/>
      <c r="N50"/>
      <c r="O50"/>
      <c r="P50"/>
      <c r="Q50"/>
      <c r="R50"/>
      <c r="S50"/>
      <c r="T50"/>
      <c r="U50"/>
      <c r="V50"/>
      <c r="W50"/>
      <c r="X50"/>
      <c r="Y50"/>
      <c r="Z50"/>
      <c r="AA50"/>
      <c r="AB50"/>
    </row>
    <row r="51" spans="1:28" s="749" customFormat="1" ht="24.95" customHeight="1" x14ac:dyDescent="0.35">
      <c r="A51" s="968">
        <v>46041</v>
      </c>
      <c r="B51" s="930" t="s">
        <v>417</v>
      </c>
      <c r="C51" s="925"/>
      <c r="D51" s="964" t="s">
        <v>90</v>
      </c>
      <c r="E51" s="964"/>
      <c r="F51" s="964"/>
      <c r="G51" s="964"/>
      <c r="H51" s="964" t="s">
        <v>724</v>
      </c>
      <c r="I51" s="965" t="s">
        <v>419</v>
      </c>
      <c r="J51" s="965" t="s">
        <v>419</v>
      </c>
      <c r="K51" s="1009"/>
      <c r="L51"/>
      <c r="M51"/>
      <c r="N51"/>
      <c r="O51"/>
      <c r="P51"/>
      <c r="Q51"/>
      <c r="R51"/>
      <c r="S51"/>
      <c r="T51"/>
      <c r="U51"/>
      <c r="V51"/>
      <c r="W51"/>
      <c r="X51"/>
      <c r="Y51"/>
      <c r="Z51"/>
      <c r="AA51"/>
      <c r="AB51"/>
    </row>
    <row r="52" spans="1:28" s="782" customFormat="1" ht="24.95" customHeight="1" x14ac:dyDescent="0.35">
      <c r="A52" s="968">
        <v>45313</v>
      </c>
      <c r="B52" s="930" t="s">
        <v>230</v>
      </c>
      <c r="C52" s="925"/>
      <c r="D52" s="925" t="s">
        <v>92</v>
      </c>
      <c r="E52" s="925"/>
      <c r="F52" s="964"/>
      <c r="G52" s="964"/>
      <c r="H52" s="964">
        <v>5715</v>
      </c>
      <c r="I52" s="965">
        <v>78</v>
      </c>
      <c r="J52" s="965">
        <v>78</v>
      </c>
      <c r="K52" s="1009"/>
      <c r="L52"/>
      <c r="M52"/>
      <c r="N52"/>
      <c r="O52"/>
      <c r="P52"/>
      <c r="Q52"/>
      <c r="R52"/>
      <c r="S52"/>
      <c r="T52"/>
      <c r="U52"/>
      <c r="V52"/>
      <c r="W52"/>
      <c r="X52"/>
      <c r="Y52"/>
      <c r="Z52"/>
      <c r="AA52"/>
      <c r="AB52"/>
    </row>
    <row r="53" spans="1:28" s="782" customFormat="1" ht="24.95" customHeight="1" x14ac:dyDescent="0.35">
      <c r="A53" s="968">
        <v>45371</v>
      </c>
      <c r="B53" s="930" t="s">
        <v>655</v>
      </c>
      <c r="C53" s="925"/>
      <c r="D53" s="925" t="s">
        <v>221</v>
      </c>
      <c r="E53" s="925"/>
      <c r="F53" s="964"/>
      <c r="G53" s="964"/>
      <c r="H53" s="964">
        <v>5769</v>
      </c>
      <c r="I53" s="965">
        <v>250</v>
      </c>
      <c r="J53" s="965">
        <v>250</v>
      </c>
      <c r="K53" s="1009"/>
      <c r="L53"/>
      <c r="M53"/>
      <c r="N53"/>
      <c r="O53"/>
      <c r="P53"/>
      <c r="Q53"/>
      <c r="R53"/>
      <c r="S53"/>
      <c r="T53"/>
      <c r="U53"/>
      <c r="V53"/>
      <c r="W53"/>
      <c r="X53"/>
      <c r="Y53"/>
      <c r="Z53"/>
      <c r="AA53"/>
      <c r="AB53"/>
    </row>
    <row r="54" spans="1:28" s="782" customFormat="1" ht="24.95" customHeight="1" x14ac:dyDescent="0.35">
      <c r="A54" s="968">
        <v>45421</v>
      </c>
      <c r="B54" s="930" t="s">
        <v>545</v>
      </c>
      <c r="C54" s="925"/>
      <c r="D54" s="925" t="s">
        <v>90</v>
      </c>
      <c r="E54" s="925"/>
      <c r="F54" s="964"/>
      <c r="G54" s="964"/>
      <c r="H54" s="964">
        <v>5799</v>
      </c>
      <c r="I54" s="965">
        <v>101150</v>
      </c>
      <c r="J54" s="965">
        <v>101150</v>
      </c>
      <c r="K54" s="1009"/>
      <c r="L54"/>
      <c r="M54"/>
      <c r="N54"/>
      <c r="O54"/>
      <c r="P54"/>
      <c r="Q54"/>
      <c r="R54"/>
      <c r="S54"/>
      <c r="T54"/>
      <c r="U54"/>
      <c r="V54"/>
      <c r="W54"/>
      <c r="X54"/>
      <c r="Y54"/>
      <c r="Z54"/>
      <c r="AA54"/>
      <c r="AB54"/>
    </row>
    <row r="55" spans="1:28" s="782" customFormat="1" ht="24.95" customHeight="1" x14ac:dyDescent="0.35">
      <c r="A55" s="968">
        <v>45512</v>
      </c>
      <c r="B55" s="930" t="s">
        <v>545</v>
      </c>
      <c r="C55" s="925"/>
      <c r="D55" s="925" t="s">
        <v>90</v>
      </c>
      <c r="E55" s="925"/>
      <c r="F55" s="964" t="s">
        <v>486</v>
      </c>
      <c r="G55" s="964"/>
      <c r="H55" s="964">
        <v>5860</v>
      </c>
      <c r="I55" s="965">
        <v>194000</v>
      </c>
      <c r="J55" s="965">
        <v>194000</v>
      </c>
      <c r="K55" s="1009"/>
      <c r="L55"/>
      <c r="M55"/>
      <c r="N55"/>
      <c r="O55"/>
      <c r="P55"/>
      <c r="Q55"/>
      <c r="R55"/>
      <c r="S55"/>
      <c r="T55"/>
      <c r="U55"/>
      <c r="V55"/>
      <c r="W55"/>
      <c r="X55"/>
      <c r="Y55"/>
      <c r="Z55"/>
      <c r="AA55"/>
      <c r="AB55"/>
    </row>
    <row r="56" spans="1:28" s="813" customFormat="1" ht="24.95" customHeight="1" x14ac:dyDescent="0.35">
      <c r="A56" s="968">
        <v>45539</v>
      </c>
      <c r="B56" s="930" t="s">
        <v>545</v>
      </c>
      <c r="C56" s="925"/>
      <c r="D56" s="925" t="s">
        <v>90</v>
      </c>
      <c r="E56" s="925"/>
      <c r="F56" s="964"/>
      <c r="G56" s="964"/>
      <c r="H56" s="964">
        <v>5881</v>
      </c>
      <c r="I56" s="965" t="s">
        <v>419</v>
      </c>
      <c r="J56" s="965" t="s">
        <v>419</v>
      </c>
      <c r="K56" s="1009"/>
      <c r="L56"/>
      <c r="M56"/>
      <c r="N56"/>
      <c r="O56"/>
      <c r="P56"/>
      <c r="Q56"/>
      <c r="R56"/>
      <c r="S56"/>
      <c r="T56"/>
      <c r="U56"/>
      <c r="V56"/>
      <c r="W56"/>
      <c r="X56"/>
      <c r="Y56"/>
      <c r="Z56"/>
      <c r="AA56"/>
      <c r="AB56"/>
    </row>
    <row r="57" spans="1:28" s="813" customFormat="1" ht="24.95" customHeight="1" x14ac:dyDescent="0.35">
      <c r="A57" s="968" t="s">
        <v>658</v>
      </c>
      <c r="B57" s="930" t="s">
        <v>545</v>
      </c>
      <c r="C57" s="925"/>
      <c r="D57" s="925" t="s">
        <v>90</v>
      </c>
      <c r="E57" s="925"/>
      <c r="F57" s="964"/>
      <c r="G57" s="964"/>
      <c r="H57" s="964" t="s">
        <v>498</v>
      </c>
      <c r="I57" s="965">
        <v>167500</v>
      </c>
      <c r="J57" s="965">
        <v>167500</v>
      </c>
      <c r="K57" s="1009"/>
      <c r="L57"/>
      <c r="M57"/>
      <c r="N57"/>
      <c r="O57"/>
      <c r="P57"/>
      <c r="Q57"/>
      <c r="R57"/>
      <c r="S57"/>
      <c r="T57"/>
      <c r="U57"/>
      <c r="V57"/>
      <c r="W57"/>
      <c r="X57"/>
      <c r="Y57"/>
      <c r="Z57"/>
      <c r="AA57"/>
      <c r="AB57"/>
    </row>
    <row r="58" spans="1:28" s="1005" customFormat="1" ht="24.95" customHeight="1" x14ac:dyDescent="0.25">
      <c r="A58" s="1000" t="s">
        <v>421</v>
      </c>
      <c r="B58" s="1007" t="s">
        <v>545</v>
      </c>
      <c r="C58" s="1002"/>
      <c r="D58" s="1002" t="s">
        <v>90</v>
      </c>
      <c r="E58" s="1002"/>
      <c r="F58" s="1003"/>
      <c r="G58" s="1003"/>
      <c r="H58" s="1003" t="s">
        <v>582</v>
      </c>
      <c r="I58" s="1004">
        <v>948000</v>
      </c>
      <c r="J58" s="1004"/>
      <c r="K58" s="1002" t="s">
        <v>943</v>
      </c>
      <c r="L58" s="1006"/>
      <c r="M58" s="1006"/>
      <c r="N58" s="1006"/>
      <c r="O58" s="1006"/>
      <c r="P58" s="1006"/>
      <c r="Q58" s="1006"/>
      <c r="R58" s="1006"/>
      <c r="S58" s="1006"/>
      <c r="T58" s="1006"/>
      <c r="U58" s="1006"/>
      <c r="V58" s="1006"/>
      <c r="W58" s="1006"/>
      <c r="X58" s="1006"/>
      <c r="Y58" s="1006"/>
      <c r="Z58" s="1006"/>
      <c r="AA58" s="1006"/>
      <c r="AB58" s="1006"/>
    </row>
    <row r="59" spans="1:28" s="813" customFormat="1" ht="24.95" customHeight="1" x14ac:dyDescent="0.35">
      <c r="A59" s="968" t="s">
        <v>421</v>
      </c>
      <c r="B59" s="930" t="s">
        <v>545</v>
      </c>
      <c r="C59" s="925"/>
      <c r="D59" s="925" t="s">
        <v>90</v>
      </c>
      <c r="E59" s="925"/>
      <c r="F59" s="964" t="s">
        <v>676</v>
      </c>
      <c r="G59" s="964"/>
      <c r="H59" s="964" t="s">
        <v>603</v>
      </c>
      <c r="I59" s="965">
        <v>685000</v>
      </c>
      <c r="J59" s="965">
        <v>685000</v>
      </c>
      <c r="K59" s="1009"/>
      <c r="L59"/>
      <c r="M59"/>
      <c r="N59"/>
      <c r="O59"/>
      <c r="P59"/>
      <c r="Q59"/>
      <c r="R59"/>
      <c r="S59"/>
      <c r="T59"/>
      <c r="U59"/>
      <c r="V59"/>
      <c r="W59"/>
      <c r="X59"/>
      <c r="Y59"/>
      <c r="Z59"/>
      <c r="AA59"/>
      <c r="AB59"/>
    </row>
    <row r="60" spans="1:28" s="813" customFormat="1" ht="24.95" customHeight="1" x14ac:dyDescent="0.35">
      <c r="A60" s="968">
        <v>45952</v>
      </c>
      <c r="B60" s="930" t="s">
        <v>545</v>
      </c>
      <c r="C60" s="925"/>
      <c r="D60" s="925" t="s">
        <v>90</v>
      </c>
      <c r="E60" s="925"/>
      <c r="F60" s="964"/>
      <c r="G60" s="964"/>
      <c r="H60" s="964" t="s">
        <v>645</v>
      </c>
      <c r="I60" s="965" t="s">
        <v>419</v>
      </c>
      <c r="J60" s="965" t="s">
        <v>419</v>
      </c>
      <c r="K60" s="1009"/>
      <c r="L60"/>
      <c r="M60"/>
      <c r="N60"/>
      <c r="O60"/>
      <c r="P60"/>
      <c r="Q60"/>
      <c r="R60"/>
      <c r="S60"/>
      <c r="T60"/>
      <c r="U60"/>
      <c r="V60"/>
      <c r="W60"/>
      <c r="X60"/>
      <c r="Y60"/>
      <c r="Z60"/>
      <c r="AA60"/>
      <c r="AB60"/>
    </row>
    <row r="61" spans="1:28" s="813" customFormat="1" ht="24.95" customHeight="1" x14ac:dyDescent="0.35">
      <c r="A61" s="968">
        <v>45985</v>
      </c>
      <c r="B61" s="930" t="s">
        <v>545</v>
      </c>
      <c r="C61" s="925"/>
      <c r="D61" s="925" t="s">
        <v>90</v>
      </c>
      <c r="E61" s="925"/>
      <c r="F61" s="964"/>
      <c r="G61" s="964"/>
      <c r="H61" s="964" t="s">
        <v>819</v>
      </c>
      <c r="I61" s="965" t="s">
        <v>419</v>
      </c>
      <c r="J61" s="965" t="s">
        <v>419</v>
      </c>
      <c r="K61" s="1009"/>
      <c r="L61"/>
      <c r="M61"/>
      <c r="N61"/>
      <c r="O61"/>
      <c r="P61"/>
      <c r="Q61"/>
      <c r="R61"/>
      <c r="S61"/>
      <c r="T61"/>
      <c r="U61"/>
      <c r="V61"/>
      <c r="W61"/>
      <c r="X61"/>
      <c r="Y61"/>
      <c r="Z61"/>
      <c r="AA61"/>
      <c r="AB61"/>
    </row>
    <row r="62" spans="1:28" s="813" customFormat="1" ht="24.95" customHeight="1" x14ac:dyDescent="0.35">
      <c r="A62" s="968">
        <v>45986</v>
      </c>
      <c r="B62" s="930" t="s">
        <v>545</v>
      </c>
      <c r="C62" s="925"/>
      <c r="D62" s="925" t="s">
        <v>90</v>
      </c>
      <c r="E62" s="925"/>
      <c r="F62" s="964"/>
      <c r="G62" s="964"/>
      <c r="H62" s="964" t="s">
        <v>689</v>
      </c>
      <c r="I62" s="965" t="s">
        <v>419</v>
      </c>
      <c r="J62" s="965" t="s">
        <v>419</v>
      </c>
      <c r="K62" s="1009"/>
      <c r="L62"/>
      <c r="M62"/>
      <c r="N62"/>
      <c r="O62"/>
      <c r="P62"/>
      <c r="Q62"/>
      <c r="R62"/>
      <c r="S62"/>
      <c r="T62"/>
      <c r="U62"/>
      <c r="V62"/>
      <c r="W62"/>
      <c r="X62"/>
      <c r="Y62"/>
      <c r="Z62"/>
      <c r="AA62"/>
      <c r="AB62"/>
    </row>
    <row r="63" spans="1:28" s="813" customFormat="1" ht="24.95" customHeight="1" x14ac:dyDescent="0.35">
      <c r="A63" s="968">
        <v>46042</v>
      </c>
      <c r="B63" s="930" t="s">
        <v>545</v>
      </c>
      <c r="C63" s="925"/>
      <c r="D63" s="925" t="s">
        <v>90</v>
      </c>
      <c r="E63" s="925"/>
      <c r="F63" s="964"/>
      <c r="G63" s="964"/>
      <c r="H63" s="964" t="s">
        <v>728</v>
      </c>
      <c r="I63" s="965" t="s">
        <v>419</v>
      </c>
      <c r="J63" s="965" t="s">
        <v>419</v>
      </c>
      <c r="K63" s="1009"/>
      <c r="L63"/>
      <c r="M63"/>
      <c r="N63"/>
      <c r="O63"/>
      <c r="P63"/>
      <c r="Q63"/>
      <c r="R63"/>
      <c r="S63"/>
      <c r="T63"/>
      <c r="U63"/>
      <c r="V63"/>
      <c r="W63"/>
      <c r="X63"/>
      <c r="Y63"/>
      <c r="Z63"/>
      <c r="AA63"/>
      <c r="AB63"/>
    </row>
    <row r="64" spans="1:28" s="813" customFormat="1" ht="24.95" customHeight="1" x14ac:dyDescent="0.35">
      <c r="A64" s="968">
        <v>46042</v>
      </c>
      <c r="B64" s="930" t="s">
        <v>545</v>
      </c>
      <c r="C64" s="925"/>
      <c r="D64" s="925" t="s">
        <v>90</v>
      </c>
      <c r="E64" s="925"/>
      <c r="F64" s="964"/>
      <c r="G64" s="964"/>
      <c r="H64" s="964" t="s">
        <v>729</v>
      </c>
      <c r="I64" s="965" t="s">
        <v>419</v>
      </c>
      <c r="J64" s="965" t="s">
        <v>419</v>
      </c>
      <c r="K64" s="1009"/>
      <c r="L64"/>
      <c r="M64"/>
      <c r="N64"/>
      <c r="O64"/>
      <c r="P64"/>
      <c r="Q64"/>
      <c r="R64"/>
      <c r="S64"/>
      <c r="T64"/>
      <c r="U64"/>
      <c r="V64"/>
      <c r="W64"/>
      <c r="X64"/>
      <c r="Y64"/>
      <c r="Z64"/>
      <c r="AA64"/>
      <c r="AB64"/>
    </row>
    <row r="65" spans="1:28" s="813" customFormat="1" ht="24.95" customHeight="1" x14ac:dyDescent="0.35">
      <c r="A65" s="968">
        <v>46057</v>
      </c>
      <c r="B65" s="930" t="s">
        <v>545</v>
      </c>
      <c r="C65" s="925"/>
      <c r="D65" s="925" t="s">
        <v>90</v>
      </c>
      <c r="E65" s="925"/>
      <c r="F65" s="964"/>
      <c r="G65" s="964"/>
      <c r="H65" s="964" t="s">
        <v>768</v>
      </c>
      <c r="I65" s="965">
        <v>1702500</v>
      </c>
      <c r="J65" s="965">
        <v>1702500</v>
      </c>
      <c r="K65" s="1009"/>
      <c r="L65"/>
      <c r="M65"/>
      <c r="N65"/>
      <c r="O65"/>
      <c r="P65"/>
      <c r="Q65"/>
      <c r="R65"/>
      <c r="S65"/>
      <c r="T65"/>
      <c r="U65"/>
      <c r="V65"/>
      <c r="W65"/>
      <c r="X65"/>
      <c r="Y65"/>
      <c r="Z65"/>
      <c r="AA65"/>
      <c r="AB65"/>
    </row>
    <row r="66" spans="1:28" s="813" customFormat="1" ht="24.95" customHeight="1" x14ac:dyDescent="0.35">
      <c r="A66" s="968"/>
      <c r="B66" s="930" t="s">
        <v>545</v>
      </c>
      <c r="C66" s="925"/>
      <c r="D66" s="925" t="s">
        <v>90</v>
      </c>
      <c r="E66" s="925"/>
      <c r="F66" s="964"/>
      <c r="G66" s="964"/>
      <c r="H66" s="964" t="s">
        <v>780</v>
      </c>
      <c r="I66" s="965" t="s">
        <v>419</v>
      </c>
      <c r="J66" s="965" t="s">
        <v>419</v>
      </c>
      <c r="K66" s="1009"/>
      <c r="L66"/>
      <c r="M66"/>
      <c r="N66"/>
      <c r="O66"/>
      <c r="P66"/>
      <c r="Q66"/>
      <c r="R66"/>
      <c r="S66"/>
      <c r="T66"/>
      <c r="U66"/>
      <c r="V66"/>
      <c r="W66"/>
      <c r="X66"/>
      <c r="Y66"/>
      <c r="Z66"/>
      <c r="AA66"/>
      <c r="AB66"/>
    </row>
    <row r="67" spans="1:28" s="813" customFormat="1" ht="24.95" customHeight="1" x14ac:dyDescent="0.35">
      <c r="A67" s="968"/>
      <c r="B67" s="930" t="s">
        <v>545</v>
      </c>
      <c r="C67" s="925"/>
      <c r="D67" s="925" t="s">
        <v>90</v>
      </c>
      <c r="E67" s="925"/>
      <c r="F67" s="964"/>
      <c r="G67" s="964"/>
      <c r="H67" s="964" t="s">
        <v>781</v>
      </c>
      <c r="I67" s="965" t="s">
        <v>419</v>
      </c>
      <c r="J67" s="965" t="s">
        <v>419</v>
      </c>
      <c r="K67" s="1009"/>
      <c r="L67"/>
      <c r="M67"/>
      <c r="N67"/>
      <c r="O67"/>
      <c r="P67"/>
      <c r="Q67"/>
      <c r="R67"/>
      <c r="S67"/>
      <c r="T67"/>
      <c r="U67"/>
      <c r="V67"/>
      <c r="W67"/>
      <c r="X67"/>
      <c r="Y67"/>
      <c r="Z67"/>
      <c r="AA67"/>
      <c r="AB67"/>
    </row>
    <row r="68" spans="1:28" s="813" customFormat="1" ht="24.95" customHeight="1" x14ac:dyDescent="0.35">
      <c r="A68" s="968">
        <v>46106</v>
      </c>
      <c r="B68" s="930" t="s">
        <v>545</v>
      </c>
      <c r="C68" s="925"/>
      <c r="D68" s="925" t="s">
        <v>90</v>
      </c>
      <c r="E68" s="925"/>
      <c r="F68" s="964"/>
      <c r="G68" s="964"/>
      <c r="H68" s="964" t="s">
        <v>836</v>
      </c>
      <c r="I68" s="965" t="s">
        <v>419</v>
      </c>
      <c r="J68" s="965" t="s">
        <v>419</v>
      </c>
      <c r="K68" s="1009"/>
      <c r="L68"/>
      <c r="M68"/>
      <c r="N68"/>
      <c r="O68"/>
      <c r="P68"/>
      <c r="Q68"/>
      <c r="R68"/>
      <c r="S68"/>
      <c r="T68"/>
      <c r="U68"/>
      <c r="V68"/>
      <c r="W68"/>
      <c r="X68"/>
      <c r="Y68"/>
      <c r="Z68"/>
      <c r="AA68"/>
      <c r="AB68"/>
    </row>
    <row r="69" spans="1:28" s="813" customFormat="1" ht="24.95" customHeight="1" x14ac:dyDescent="0.35">
      <c r="A69" s="968">
        <v>46106</v>
      </c>
      <c r="B69" s="930" t="s">
        <v>545</v>
      </c>
      <c r="C69" s="925"/>
      <c r="D69" s="925" t="s">
        <v>90</v>
      </c>
      <c r="E69" s="925"/>
      <c r="F69" s="964"/>
      <c r="G69" s="964"/>
      <c r="H69" s="964" t="s">
        <v>837</v>
      </c>
      <c r="I69" s="965" t="s">
        <v>419</v>
      </c>
      <c r="J69" s="965" t="s">
        <v>419</v>
      </c>
      <c r="K69" s="1009"/>
      <c r="L69"/>
      <c r="M69"/>
      <c r="N69"/>
      <c r="O69"/>
      <c r="P69"/>
      <c r="Q69"/>
      <c r="R69"/>
      <c r="S69"/>
      <c r="T69"/>
      <c r="U69"/>
      <c r="V69"/>
      <c r="W69"/>
      <c r="X69"/>
      <c r="Y69"/>
      <c r="Z69"/>
      <c r="AA69"/>
      <c r="AB69"/>
    </row>
    <row r="70" spans="1:28" s="813" customFormat="1" ht="24.95" customHeight="1" x14ac:dyDescent="0.35">
      <c r="A70" s="968">
        <v>46195</v>
      </c>
      <c r="B70" s="930" t="s">
        <v>545</v>
      </c>
      <c r="C70" s="925"/>
      <c r="D70" s="925" t="s">
        <v>90</v>
      </c>
      <c r="E70" s="925"/>
      <c r="F70" s="964"/>
      <c r="G70" s="964"/>
      <c r="H70" s="964" t="s">
        <v>904</v>
      </c>
      <c r="I70" s="965" t="s">
        <v>419</v>
      </c>
      <c r="J70" s="965" t="s">
        <v>419</v>
      </c>
      <c r="K70" s="1009"/>
      <c r="L70"/>
      <c r="M70"/>
      <c r="N70"/>
      <c r="O70"/>
      <c r="P70"/>
      <c r="Q70"/>
      <c r="R70"/>
      <c r="S70"/>
      <c r="T70"/>
      <c r="U70"/>
      <c r="V70"/>
      <c r="W70"/>
      <c r="X70"/>
      <c r="Y70"/>
      <c r="Z70"/>
      <c r="AA70"/>
      <c r="AB70"/>
    </row>
    <row r="71" spans="1:28" s="813" customFormat="1" ht="24.95" customHeight="1" x14ac:dyDescent="0.35">
      <c r="A71" s="968">
        <v>46195</v>
      </c>
      <c r="B71" s="930" t="s">
        <v>545</v>
      </c>
      <c r="C71" s="925"/>
      <c r="D71" s="925" t="s">
        <v>90</v>
      </c>
      <c r="E71" s="925"/>
      <c r="F71" s="964"/>
      <c r="G71" s="964"/>
      <c r="H71" s="964" t="s">
        <v>905</v>
      </c>
      <c r="I71" s="965" t="s">
        <v>419</v>
      </c>
      <c r="J71" s="965" t="s">
        <v>419</v>
      </c>
      <c r="K71" s="1009"/>
      <c r="L71"/>
      <c r="M71"/>
      <c r="N71"/>
      <c r="O71"/>
      <c r="P71"/>
      <c r="Q71"/>
      <c r="R71"/>
      <c r="S71"/>
      <c r="T71"/>
      <c r="U71"/>
      <c r="V71"/>
      <c r="W71"/>
      <c r="X71"/>
      <c r="Y71"/>
      <c r="Z71"/>
      <c r="AA71"/>
      <c r="AB71"/>
    </row>
    <row r="72" spans="1:28" s="813" customFormat="1" ht="24.95" customHeight="1" x14ac:dyDescent="0.35">
      <c r="A72" s="968">
        <v>46195</v>
      </c>
      <c r="B72" s="930" t="s">
        <v>545</v>
      </c>
      <c r="C72" s="925"/>
      <c r="D72" s="925" t="s">
        <v>90</v>
      </c>
      <c r="E72" s="925"/>
      <c r="F72" s="964"/>
      <c r="G72" s="964"/>
      <c r="H72" s="964" t="s">
        <v>906</v>
      </c>
      <c r="I72" s="965" t="s">
        <v>419</v>
      </c>
      <c r="J72" s="965" t="s">
        <v>419</v>
      </c>
      <c r="K72" s="1009"/>
      <c r="L72"/>
      <c r="M72"/>
      <c r="N72"/>
      <c r="O72"/>
      <c r="P72"/>
      <c r="Q72"/>
      <c r="R72"/>
      <c r="S72"/>
      <c r="T72"/>
      <c r="U72"/>
      <c r="V72"/>
      <c r="W72"/>
      <c r="X72"/>
      <c r="Y72"/>
      <c r="Z72"/>
      <c r="AA72"/>
      <c r="AB72"/>
    </row>
    <row r="73" spans="1:28" s="813" customFormat="1" ht="24.95" customHeight="1" x14ac:dyDescent="0.35">
      <c r="A73" s="968">
        <v>45630</v>
      </c>
      <c r="B73" s="930" t="s">
        <v>466</v>
      </c>
      <c r="C73" s="925"/>
      <c r="D73" s="925" t="s">
        <v>92</v>
      </c>
      <c r="E73" s="925"/>
      <c r="F73" s="964"/>
      <c r="G73" s="964"/>
      <c r="H73" s="964">
        <v>5939</v>
      </c>
      <c r="I73" s="965">
        <v>297900</v>
      </c>
      <c r="J73" s="965">
        <v>297900</v>
      </c>
      <c r="K73" s="1009"/>
      <c r="L73"/>
      <c r="M73"/>
      <c r="N73"/>
      <c r="O73"/>
      <c r="P73"/>
      <c r="Q73"/>
      <c r="R73"/>
      <c r="S73"/>
      <c r="T73"/>
      <c r="U73"/>
      <c r="V73"/>
      <c r="W73"/>
      <c r="X73"/>
      <c r="Y73"/>
      <c r="Z73"/>
      <c r="AA73"/>
      <c r="AB73"/>
    </row>
    <row r="74" spans="1:28" s="813" customFormat="1" ht="24.95" customHeight="1" x14ac:dyDescent="0.35">
      <c r="A74" s="968" t="s">
        <v>421</v>
      </c>
      <c r="B74" s="930" t="s">
        <v>270</v>
      </c>
      <c r="C74" s="925"/>
      <c r="D74" s="925" t="s">
        <v>90</v>
      </c>
      <c r="E74" s="925"/>
      <c r="F74" s="964"/>
      <c r="G74" s="964"/>
      <c r="H74" s="964">
        <v>5950</v>
      </c>
      <c r="I74" s="965" t="s">
        <v>419</v>
      </c>
      <c r="J74" s="965" t="s">
        <v>419</v>
      </c>
      <c r="K74" s="1009"/>
      <c r="L74"/>
      <c r="M74"/>
      <c r="N74"/>
      <c r="O74"/>
      <c r="P74"/>
      <c r="Q74"/>
      <c r="R74"/>
      <c r="S74"/>
      <c r="T74"/>
      <c r="U74"/>
      <c r="V74"/>
      <c r="W74"/>
      <c r="X74"/>
      <c r="Y74"/>
      <c r="Z74"/>
      <c r="AA74"/>
      <c r="AB74"/>
    </row>
    <row r="75" spans="1:28" s="813" customFormat="1" ht="24.95" customHeight="1" x14ac:dyDescent="0.35">
      <c r="A75" s="968">
        <v>45700</v>
      </c>
      <c r="B75" s="930" t="s">
        <v>270</v>
      </c>
      <c r="C75" s="925"/>
      <c r="D75" s="925" t="s">
        <v>90</v>
      </c>
      <c r="E75" s="925"/>
      <c r="F75" s="964"/>
      <c r="G75" s="964"/>
      <c r="H75" s="964">
        <v>5990</v>
      </c>
      <c r="I75" s="965">
        <v>1200</v>
      </c>
      <c r="J75" s="965">
        <v>1200</v>
      </c>
      <c r="K75" s="1009"/>
      <c r="L75"/>
      <c r="M75"/>
      <c r="N75"/>
      <c r="O75"/>
      <c r="P75"/>
      <c r="Q75"/>
      <c r="R75"/>
      <c r="S75"/>
      <c r="T75"/>
      <c r="U75"/>
      <c r="V75"/>
      <c r="W75"/>
      <c r="X75"/>
      <c r="Y75"/>
      <c r="Z75"/>
      <c r="AA75"/>
      <c r="AB75"/>
    </row>
    <row r="76" spans="1:28" s="813" customFormat="1" ht="24.95" customHeight="1" x14ac:dyDescent="0.35">
      <c r="A76" s="968">
        <v>45896</v>
      </c>
      <c r="B76" s="930" t="s">
        <v>270</v>
      </c>
      <c r="C76" s="925"/>
      <c r="D76" s="925" t="s">
        <v>90</v>
      </c>
      <c r="E76" s="925"/>
      <c r="F76" s="964"/>
      <c r="G76" s="964"/>
      <c r="H76" s="964" t="s">
        <v>601</v>
      </c>
      <c r="I76" s="965" t="s">
        <v>419</v>
      </c>
      <c r="J76" s="965" t="s">
        <v>419</v>
      </c>
      <c r="K76" s="1009"/>
      <c r="L76"/>
      <c r="M76"/>
      <c r="N76"/>
      <c r="O76"/>
      <c r="P76"/>
      <c r="Q76"/>
      <c r="R76"/>
      <c r="S76"/>
      <c r="T76"/>
      <c r="U76"/>
      <c r="V76"/>
      <c r="W76"/>
      <c r="X76"/>
      <c r="Y76"/>
      <c r="Z76"/>
      <c r="AA76"/>
      <c r="AB76"/>
    </row>
    <row r="77" spans="1:28" s="813" customFormat="1" ht="24.95" customHeight="1" x14ac:dyDescent="0.35">
      <c r="A77" s="968">
        <v>45946</v>
      </c>
      <c r="B77" s="930" t="s">
        <v>270</v>
      </c>
      <c r="C77" s="925"/>
      <c r="D77" s="925" t="s">
        <v>90</v>
      </c>
      <c r="E77" s="925"/>
      <c r="F77" s="964"/>
      <c r="G77" s="964"/>
      <c r="H77" s="964" t="s">
        <v>638</v>
      </c>
      <c r="I77" s="965">
        <v>100000</v>
      </c>
      <c r="J77" s="965">
        <v>100000</v>
      </c>
      <c r="K77" s="1009"/>
      <c r="L77"/>
      <c r="M77"/>
      <c r="N77"/>
      <c r="O77"/>
      <c r="P77"/>
      <c r="Q77"/>
      <c r="R77"/>
      <c r="S77"/>
      <c r="T77"/>
      <c r="U77"/>
      <c r="V77"/>
      <c r="W77"/>
      <c r="X77"/>
      <c r="Y77"/>
      <c r="Z77"/>
      <c r="AA77"/>
      <c r="AB77"/>
    </row>
    <row r="78" spans="1:28" s="813" customFormat="1" ht="24.95" customHeight="1" x14ac:dyDescent="0.35">
      <c r="A78" s="968">
        <v>45946</v>
      </c>
      <c r="B78" s="930" t="s">
        <v>270</v>
      </c>
      <c r="C78" s="925"/>
      <c r="D78" s="925" t="s">
        <v>90</v>
      </c>
      <c r="E78" s="925"/>
      <c r="F78" s="964"/>
      <c r="G78" s="964"/>
      <c r="H78" s="964" t="s">
        <v>639</v>
      </c>
      <c r="I78" s="965">
        <v>89000</v>
      </c>
      <c r="J78" s="965">
        <v>89000</v>
      </c>
      <c r="K78" s="1009"/>
      <c r="L78"/>
      <c r="M78"/>
      <c r="N78"/>
      <c r="O78"/>
      <c r="P78"/>
      <c r="Q78"/>
      <c r="R78"/>
      <c r="S78"/>
      <c r="T78"/>
      <c r="U78"/>
      <c r="V78"/>
      <c r="W78"/>
      <c r="X78"/>
      <c r="Y78"/>
      <c r="Z78"/>
      <c r="AA78"/>
      <c r="AB78"/>
    </row>
    <row r="79" spans="1:28" s="813" customFormat="1" ht="24.95" customHeight="1" x14ac:dyDescent="0.35">
      <c r="A79" s="968">
        <v>45946</v>
      </c>
      <c r="B79" s="930" t="s">
        <v>270</v>
      </c>
      <c r="C79" s="925"/>
      <c r="D79" s="925" t="s">
        <v>90</v>
      </c>
      <c r="E79" s="925"/>
      <c r="F79" s="964"/>
      <c r="G79" s="964"/>
      <c r="H79" s="964" t="s">
        <v>640</v>
      </c>
      <c r="I79" s="965">
        <v>105000</v>
      </c>
      <c r="J79" s="965">
        <v>105000</v>
      </c>
      <c r="K79" s="1009"/>
      <c r="L79"/>
      <c r="M79"/>
      <c r="N79"/>
      <c r="O79"/>
      <c r="P79"/>
      <c r="Q79"/>
      <c r="R79"/>
      <c r="S79"/>
      <c r="T79"/>
      <c r="U79"/>
      <c r="V79"/>
      <c r="W79"/>
      <c r="X79"/>
      <c r="Y79"/>
      <c r="Z79"/>
      <c r="AA79"/>
      <c r="AB79"/>
    </row>
    <row r="80" spans="1:28" s="813" customFormat="1" ht="24.95" customHeight="1" x14ac:dyDescent="0.35">
      <c r="A80" s="968">
        <v>45817</v>
      </c>
      <c r="B80" s="983" t="s">
        <v>560</v>
      </c>
      <c r="C80" s="925"/>
      <c r="D80" s="964" t="s">
        <v>90</v>
      </c>
      <c r="E80" s="964"/>
      <c r="F80" s="964"/>
      <c r="G80" s="964"/>
      <c r="H80" s="964" t="s">
        <v>556</v>
      </c>
      <c r="I80" s="965" t="s">
        <v>419</v>
      </c>
      <c r="J80" s="965" t="s">
        <v>419</v>
      </c>
      <c r="K80" s="1009"/>
      <c r="L80"/>
      <c r="M80"/>
      <c r="N80"/>
      <c r="O80"/>
      <c r="P80"/>
      <c r="Q80"/>
      <c r="R80"/>
      <c r="S80"/>
      <c r="T80"/>
      <c r="U80"/>
      <c r="V80"/>
      <c r="W80"/>
      <c r="X80"/>
      <c r="Y80"/>
      <c r="Z80"/>
      <c r="AA80"/>
      <c r="AB80"/>
    </row>
    <row r="81" spans="1:28" s="813" customFormat="1" ht="24.95" customHeight="1" x14ac:dyDescent="0.35">
      <c r="A81" s="968">
        <v>45854</v>
      </c>
      <c r="B81" s="983" t="s">
        <v>560</v>
      </c>
      <c r="C81" s="925"/>
      <c r="D81" s="964" t="s">
        <v>90</v>
      </c>
      <c r="E81" s="964"/>
      <c r="F81" s="964"/>
      <c r="G81" s="964"/>
      <c r="H81" s="964" t="s">
        <v>562</v>
      </c>
      <c r="I81" s="965" t="s">
        <v>419</v>
      </c>
      <c r="J81" s="965" t="s">
        <v>419</v>
      </c>
      <c r="K81" s="1009"/>
      <c r="L81"/>
      <c r="M81"/>
      <c r="N81"/>
      <c r="O81"/>
      <c r="P81"/>
      <c r="Q81"/>
      <c r="R81"/>
      <c r="S81"/>
      <c r="T81"/>
      <c r="U81"/>
      <c r="V81"/>
      <c r="W81"/>
      <c r="X81"/>
      <c r="Y81"/>
      <c r="Z81"/>
      <c r="AA81"/>
      <c r="AB81"/>
    </row>
    <row r="82" spans="1:28" s="813" customFormat="1" ht="24.95" customHeight="1" x14ac:dyDescent="0.35">
      <c r="A82" s="968">
        <v>45973</v>
      </c>
      <c r="B82" s="983" t="s">
        <v>560</v>
      </c>
      <c r="C82" s="925"/>
      <c r="D82" s="964" t="s">
        <v>90</v>
      </c>
      <c r="E82" s="964"/>
      <c r="F82" s="964"/>
      <c r="G82" s="964"/>
      <c r="H82" s="964" t="s">
        <v>801</v>
      </c>
      <c r="I82" s="965" t="s">
        <v>419</v>
      </c>
      <c r="J82" s="965" t="s">
        <v>419</v>
      </c>
      <c r="K82" s="1009"/>
      <c r="L82"/>
      <c r="M82"/>
      <c r="N82"/>
      <c r="O82"/>
      <c r="P82"/>
      <c r="Q82"/>
      <c r="R82"/>
      <c r="S82"/>
      <c r="T82"/>
      <c r="U82"/>
      <c r="V82"/>
      <c r="W82"/>
      <c r="X82"/>
      <c r="Y82"/>
      <c r="Z82"/>
      <c r="AA82"/>
      <c r="AB82"/>
    </row>
    <row r="83" spans="1:28" s="813" customFormat="1" ht="24.95" customHeight="1" x14ac:dyDescent="0.35">
      <c r="A83" s="968">
        <v>45993</v>
      </c>
      <c r="B83" s="983" t="s">
        <v>432</v>
      </c>
      <c r="C83" s="925"/>
      <c r="D83" s="964" t="s">
        <v>90</v>
      </c>
      <c r="E83" s="964"/>
      <c r="F83" s="964"/>
      <c r="G83" s="964"/>
      <c r="H83" s="964" t="s">
        <v>692</v>
      </c>
      <c r="I83" s="965" t="s">
        <v>419</v>
      </c>
      <c r="J83" s="965" t="s">
        <v>419</v>
      </c>
      <c r="K83" s="1009"/>
      <c r="L83"/>
      <c r="M83"/>
      <c r="N83"/>
      <c r="O83"/>
      <c r="P83"/>
      <c r="Q83"/>
      <c r="R83"/>
      <c r="S83"/>
      <c r="T83"/>
      <c r="U83"/>
      <c r="V83"/>
      <c r="W83"/>
      <c r="X83"/>
      <c r="Y83"/>
      <c r="Z83"/>
      <c r="AA83"/>
      <c r="AB83"/>
    </row>
    <row r="84" spans="1:28" s="813" customFormat="1" ht="24.95" customHeight="1" x14ac:dyDescent="0.35">
      <c r="A84" s="968">
        <v>46000</v>
      </c>
      <c r="B84" s="983" t="s">
        <v>432</v>
      </c>
      <c r="C84" s="925"/>
      <c r="D84" s="964" t="s">
        <v>90</v>
      </c>
      <c r="E84" s="964"/>
      <c r="F84" s="964"/>
      <c r="G84" s="964"/>
      <c r="H84" s="964" t="s">
        <v>702</v>
      </c>
      <c r="I84" s="965">
        <v>254250</v>
      </c>
      <c r="J84" s="965">
        <v>254250</v>
      </c>
      <c r="K84" s="1009" t="s">
        <v>478</v>
      </c>
      <c r="L84"/>
      <c r="M84"/>
      <c r="N84"/>
      <c r="O84"/>
      <c r="P84"/>
      <c r="Q84"/>
      <c r="R84"/>
      <c r="S84"/>
      <c r="T84"/>
      <c r="U84"/>
      <c r="V84"/>
      <c r="W84"/>
      <c r="X84"/>
      <c r="Y84"/>
      <c r="Z84"/>
      <c r="AA84"/>
      <c r="AB84"/>
    </row>
    <row r="85" spans="1:28" s="813" customFormat="1" ht="24.95" customHeight="1" x14ac:dyDescent="0.35">
      <c r="A85" s="968">
        <v>46032</v>
      </c>
      <c r="B85" s="983" t="s">
        <v>432</v>
      </c>
      <c r="C85" s="925"/>
      <c r="D85" s="964" t="s">
        <v>90</v>
      </c>
      <c r="E85" s="964"/>
      <c r="F85" s="964"/>
      <c r="G85" s="964"/>
      <c r="H85" s="964" t="s">
        <v>803</v>
      </c>
      <c r="I85" s="965">
        <v>415000</v>
      </c>
      <c r="J85" s="965">
        <v>415000</v>
      </c>
      <c r="K85" s="1009"/>
      <c r="L85"/>
      <c r="M85"/>
      <c r="N85"/>
      <c r="O85"/>
      <c r="P85"/>
      <c r="Q85"/>
      <c r="R85"/>
      <c r="S85"/>
      <c r="T85"/>
      <c r="U85"/>
      <c r="V85"/>
      <c r="W85"/>
      <c r="X85"/>
      <c r="Y85"/>
      <c r="Z85"/>
      <c r="AA85"/>
      <c r="AB85"/>
    </row>
    <row r="86" spans="1:28" s="813" customFormat="1" ht="24.95" customHeight="1" x14ac:dyDescent="0.35">
      <c r="A86" s="968">
        <v>46083</v>
      </c>
      <c r="B86" s="983" t="s">
        <v>560</v>
      </c>
      <c r="C86" s="925"/>
      <c r="D86" s="964" t="s">
        <v>90</v>
      </c>
      <c r="E86" s="964"/>
      <c r="F86" s="964"/>
      <c r="G86" s="964"/>
      <c r="H86" s="964" t="s">
        <v>802</v>
      </c>
      <c r="I86" s="965">
        <v>7500</v>
      </c>
      <c r="J86" s="965">
        <v>7500</v>
      </c>
      <c r="K86" s="1009"/>
      <c r="L86"/>
      <c r="M86"/>
      <c r="N86"/>
      <c r="O86"/>
      <c r="P86"/>
      <c r="Q86"/>
      <c r="R86"/>
      <c r="S86"/>
      <c r="T86"/>
      <c r="U86"/>
      <c r="V86"/>
      <c r="W86"/>
      <c r="X86"/>
      <c r="Y86"/>
      <c r="Z86"/>
      <c r="AA86"/>
      <c r="AB86"/>
    </row>
    <row r="87" spans="1:28" s="813" customFormat="1" ht="24.95" customHeight="1" x14ac:dyDescent="0.35">
      <c r="A87" s="968" t="s">
        <v>421</v>
      </c>
      <c r="B87" s="983" t="s">
        <v>432</v>
      </c>
      <c r="C87" s="925" t="s">
        <v>900</v>
      </c>
      <c r="D87" s="964" t="s">
        <v>90</v>
      </c>
      <c r="E87" s="964"/>
      <c r="F87" s="964"/>
      <c r="G87" s="964"/>
      <c r="H87" s="964" t="s">
        <v>835</v>
      </c>
      <c r="I87" s="965" t="s">
        <v>419</v>
      </c>
      <c r="J87" s="965" t="s">
        <v>419</v>
      </c>
      <c r="K87" s="1009"/>
      <c r="L87"/>
      <c r="M87"/>
      <c r="N87"/>
      <c r="O87"/>
      <c r="P87"/>
      <c r="Q87"/>
      <c r="R87"/>
      <c r="S87"/>
      <c r="T87"/>
      <c r="U87"/>
      <c r="V87"/>
      <c r="W87"/>
      <c r="X87"/>
      <c r="Y87"/>
      <c r="Z87"/>
      <c r="AA87"/>
      <c r="AB87"/>
    </row>
    <row r="88" spans="1:28" s="813" customFormat="1" ht="24.95" customHeight="1" x14ac:dyDescent="0.35">
      <c r="A88" s="968">
        <v>46118</v>
      </c>
      <c r="B88" s="983" t="s">
        <v>432</v>
      </c>
      <c r="C88" s="925"/>
      <c r="D88" s="964" t="s">
        <v>90</v>
      </c>
      <c r="E88" s="964"/>
      <c r="F88" s="964"/>
      <c r="G88" s="964"/>
      <c r="H88" s="964" t="s">
        <v>851</v>
      </c>
      <c r="I88" s="965">
        <v>105000</v>
      </c>
      <c r="J88" s="965">
        <v>105000</v>
      </c>
      <c r="K88" s="1009"/>
      <c r="L88"/>
      <c r="M88"/>
      <c r="N88"/>
      <c r="O88"/>
      <c r="P88"/>
      <c r="Q88"/>
      <c r="R88"/>
      <c r="S88"/>
      <c r="T88"/>
      <c r="U88"/>
      <c r="V88"/>
      <c r="W88"/>
      <c r="X88"/>
      <c r="Y88"/>
      <c r="Z88"/>
      <c r="AA88"/>
      <c r="AB88"/>
    </row>
    <row r="89" spans="1:28" s="813" customFormat="1" ht="24.95" customHeight="1" x14ac:dyDescent="0.35">
      <c r="A89" s="968">
        <v>46156</v>
      </c>
      <c r="B89" s="983" t="s">
        <v>432</v>
      </c>
      <c r="C89" s="925"/>
      <c r="D89" s="964" t="s">
        <v>90</v>
      </c>
      <c r="E89" s="964"/>
      <c r="F89" s="964"/>
      <c r="G89" s="964"/>
      <c r="H89" s="964" t="s">
        <v>925</v>
      </c>
      <c r="I89" s="965">
        <v>171995</v>
      </c>
      <c r="J89" s="965">
        <v>171995</v>
      </c>
      <c r="K89" s="1009"/>
      <c r="L89"/>
      <c r="M89"/>
      <c r="N89"/>
      <c r="O89"/>
      <c r="P89"/>
      <c r="Q89"/>
      <c r="R89"/>
      <c r="S89"/>
      <c r="T89"/>
      <c r="U89"/>
      <c r="V89"/>
      <c r="W89"/>
      <c r="X89"/>
      <c r="Y89"/>
      <c r="Z89"/>
      <c r="AA89"/>
      <c r="AB89"/>
    </row>
    <row r="90" spans="1:28" s="813" customFormat="1" ht="24.95" customHeight="1" x14ac:dyDescent="0.35">
      <c r="A90" s="968">
        <v>45708</v>
      </c>
      <c r="B90" s="930" t="s">
        <v>436</v>
      </c>
      <c r="C90" s="925"/>
      <c r="D90" s="964" t="s">
        <v>92</v>
      </c>
      <c r="E90" s="964"/>
      <c r="F90" s="964"/>
      <c r="G90" s="964"/>
      <c r="H90" s="964" t="s">
        <v>953</v>
      </c>
      <c r="I90" s="965">
        <v>125319</v>
      </c>
      <c r="J90" s="965">
        <v>125319</v>
      </c>
      <c r="K90" s="1009"/>
      <c r="L90"/>
      <c r="M90"/>
      <c r="N90"/>
      <c r="O90"/>
      <c r="P90"/>
      <c r="Q90"/>
      <c r="R90"/>
      <c r="S90"/>
      <c r="T90"/>
      <c r="U90"/>
      <c r="V90"/>
      <c r="W90"/>
      <c r="X90"/>
      <c r="Y90"/>
      <c r="Z90"/>
      <c r="AA90"/>
      <c r="AB90"/>
    </row>
    <row r="91" spans="1:28" s="813" customFormat="1" ht="24.95" customHeight="1" x14ac:dyDescent="0.35">
      <c r="A91" s="968">
        <v>46225</v>
      </c>
      <c r="B91" s="930" t="s">
        <v>436</v>
      </c>
      <c r="C91" s="925"/>
      <c r="D91" s="964" t="s">
        <v>92</v>
      </c>
      <c r="E91" s="964"/>
      <c r="F91" s="964"/>
      <c r="G91" s="964"/>
      <c r="H91" s="964" t="s">
        <v>952</v>
      </c>
      <c r="I91" s="965">
        <v>148535</v>
      </c>
      <c r="J91" s="965">
        <v>148535</v>
      </c>
      <c r="K91" s="1009"/>
      <c r="L91"/>
      <c r="M91"/>
      <c r="N91"/>
      <c r="O91"/>
      <c r="P91"/>
      <c r="Q91"/>
      <c r="R91"/>
      <c r="S91"/>
      <c r="T91"/>
      <c r="U91"/>
      <c r="V91"/>
      <c r="W91"/>
      <c r="X91"/>
      <c r="Y91"/>
      <c r="Z91"/>
      <c r="AA91"/>
      <c r="AB91"/>
    </row>
    <row r="92" spans="1:28" s="813" customFormat="1" ht="24.95" customHeight="1" x14ac:dyDescent="0.35">
      <c r="A92" s="968" t="s">
        <v>421</v>
      </c>
      <c r="B92" s="930" t="s">
        <v>434</v>
      </c>
      <c r="C92" s="925"/>
      <c r="D92" s="964" t="s">
        <v>90</v>
      </c>
      <c r="E92" s="964"/>
      <c r="F92" s="964"/>
      <c r="G92" s="964"/>
      <c r="H92" s="964" t="s">
        <v>665</v>
      </c>
      <c r="I92" s="965" t="s">
        <v>914</v>
      </c>
      <c r="J92" s="965" t="s">
        <v>914</v>
      </c>
      <c r="K92" s="1009" t="s">
        <v>913</v>
      </c>
      <c r="L92"/>
      <c r="M92"/>
      <c r="N92"/>
      <c r="O92"/>
      <c r="P92"/>
      <c r="Q92"/>
      <c r="R92"/>
      <c r="S92"/>
      <c r="T92"/>
      <c r="U92"/>
      <c r="V92"/>
      <c r="W92"/>
      <c r="X92"/>
      <c r="Y92"/>
      <c r="Z92"/>
      <c r="AA92"/>
      <c r="AB92"/>
    </row>
    <row r="93" spans="1:28" s="813" customFormat="1" ht="24.95" customHeight="1" x14ac:dyDescent="0.35">
      <c r="A93" s="968">
        <v>45723</v>
      </c>
      <c r="B93" s="930" t="s">
        <v>428</v>
      </c>
      <c r="C93" s="925"/>
      <c r="D93" s="964" t="s">
        <v>92</v>
      </c>
      <c r="E93" s="964"/>
      <c r="F93" s="964"/>
      <c r="G93" s="964"/>
      <c r="H93" s="964" t="s">
        <v>501</v>
      </c>
      <c r="I93" s="965">
        <v>8000</v>
      </c>
      <c r="J93" s="965">
        <v>8000</v>
      </c>
      <c r="K93" s="1009"/>
      <c r="L93"/>
      <c r="M93"/>
      <c r="N93"/>
      <c r="O93"/>
      <c r="P93"/>
      <c r="Q93"/>
      <c r="R93"/>
      <c r="S93"/>
      <c r="T93"/>
      <c r="U93"/>
      <c r="V93"/>
      <c r="W93"/>
      <c r="X93"/>
      <c r="Y93"/>
      <c r="Z93"/>
      <c r="AA93"/>
      <c r="AB93"/>
    </row>
    <row r="94" spans="1:28" s="813" customFormat="1" ht="24.95" customHeight="1" x14ac:dyDescent="0.35">
      <c r="A94" s="968">
        <v>46107</v>
      </c>
      <c r="B94" s="930" t="s">
        <v>428</v>
      </c>
      <c r="C94" s="925"/>
      <c r="D94" s="964" t="s">
        <v>92</v>
      </c>
      <c r="E94" s="964"/>
      <c r="F94" s="964"/>
      <c r="G94" s="964"/>
      <c r="H94" s="964" t="s">
        <v>846</v>
      </c>
      <c r="I94" s="965">
        <v>82930</v>
      </c>
      <c r="J94" s="965">
        <v>82930</v>
      </c>
      <c r="K94" s="1009"/>
      <c r="L94"/>
      <c r="M94"/>
      <c r="N94"/>
      <c r="O94"/>
      <c r="P94"/>
      <c r="Q94"/>
      <c r="R94"/>
      <c r="S94"/>
      <c r="T94"/>
      <c r="U94"/>
      <c r="V94"/>
      <c r="W94"/>
      <c r="X94"/>
      <c r="Y94"/>
      <c r="Z94"/>
      <c r="AA94"/>
      <c r="AB94"/>
    </row>
    <row r="95" spans="1:28" s="813" customFormat="1" ht="24.95" customHeight="1" x14ac:dyDescent="0.35">
      <c r="A95" s="968">
        <v>46156</v>
      </c>
      <c r="B95" s="930" t="s">
        <v>428</v>
      </c>
      <c r="C95" s="925"/>
      <c r="D95" s="964" t="s">
        <v>92</v>
      </c>
      <c r="E95" s="964"/>
      <c r="F95" s="964"/>
      <c r="G95" s="964"/>
      <c r="H95" s="964" t="s">
        <v>868</v>
      </c>
      <c r="I95" s="965" t="s">
        <v>419</v>
      </c>
      <c r="J95" s="965" t="s">
        <v>419</v>
      </c>
      <c r="K95" s="1009"/>
      <c r="L95"/>
      <c r="M95"/>
      <c r="N95"/>
      <c r="O95"/>
      <c r="P95"/>
      <c r="Q95"/>
      <c r="R95"/>
      <c r="S95"/>
      <c r="T95"/>
      <c r="U95"/>
      <c r="V95"/>
      <c r="W95"/>
      <c r="X95"/>
      <c r="Y95"/>
      <c r="Z95"/>
      <c r="AA95"/>
      <c r="AB95"/>
    </row>
    <row r="96" spans="1:28" s="749" customFormat="1" ht="24.95" customHeight="1" x14ac:dyDescent="0.35">
      <c r="A96" s="968" t="s">
        <v>421</v>
      </c>
      <c r="B96" s="930" t="s">
        <v>446</v>
      </c>
      <c r="C96" s="925" t="s">
        <v>740</v>
      </c>
      <c r="D96" s="964" t="s">
        <v>90</v>
      </c>
      <c r="E96" s="964"/>
      <c r="F96" s="964"/>
      <c r="G96" s="964"/>
      <c r="H96" s="964" t="s">
        <v>951</v>
      </c>
      <c r="I96" s="965">
        <v>1090000</v>
      </c>
      <c r="J96" s="965">
        <v>1090000</v>
      </c>
      <c r="K96" s="1009"/>
      <c r="L96"/>
      <c r="M96"/>
      <c r="N96"/>
      <c r="O96"/>
      <c r="P96"/>
      <c r="Q96"/>
      <c r="R96"/>
      <c r="S96"/>
      <c r="T96"/>
      <c r="U96"/>
      <c r="V96"/>
      <c r="W96"/>
      <c r="X96"/>
      <c r="Y96"/>
      <c r="Z96"/>
      <c r="AA96"/>
      <c r="AB96"/>
    </row>
    <row r="97" spans="1:28" s="749" customFormat="1" ht="24.95" customHeight="1" x14ac:dyDescent="0.35">
      <c r="A97" s="968" t="s">
        <v>421</v>
      </c>
      <c r="B97" s="930" t="s">
        <v>299</v>
      </c>
      <c r="C97" s="925"/>
      <c r="D97" s="925" t="s">
        <v>92</v>
      </c>
      <c r="E97" s="925"/>
      <c r="F97" s="964"/>
      <c r="G97" s="964"/>
      <c r="H97" s="964" t="s">
        <v>506</v>
      </c>
      <c r="I97" s="965">
        <v>77261.850000000006</v>
      </c>
      <c r="J97" s="965">
        <v>77261.850000000006</v>
      </c>
      <c r="K97" s="1009"/>
      <c r="L97"/>
      <c r="M97"/>
      <c r="N97"/>
      <c r="O97"/>
      <c r="P97"/>
      <c r="Q97"/>
      <c r="R97"/>
      <c r="S97"/>
      <c r="T97"/>
      <c r="U97"/>
      <c r="V97"/>
      <c r="W97"/>
      <c r="X97"/>
      <c r="Y97"/>
      <c r="Z97"/>
      <c r="AA97"/>
      <c r="AB97"/>
    </row>
    <row r="98" spans="1:28" s="749" customFormat="1" ht="24.95" customHeight="1" x14ac:dyDescent="0.35">
      <c r="A98" s="968" t="s">
        <v>421</v>
      </c>
      <c r="B98" s="930" t="s">
        <v>299</v>
      </c>
      <c r="C98" s="925"/>
      <c r="D98" s="925" t="s">
        <v>92</v>
      </c>
      <c r="E98" s="925"/>
      <c r="F98" s="964"/>
      <c r="G98" s="964"/>
      <c r="H98" s="964" t="s">
        <v>525</v>
      </c>
      <c r="I98" s="965">
        <v>86950</v>
      </c>
      <c r="J98" s="965">
        <v>86950</v>
      </c>
      <c r="K98" s="1009"/>
      <c r="L98"/>
      <c r="M98"/>
      <c r="N98"/>
      <c r="O98"/>
      <c r="P98"/>
      <c r="Q98"/>
      <c r="R98"/>
      <c r="S98"/>
      <c r="T98"/>
      <c r="U98"/>
      <c r="V98"/>
      <c r="W98"/>
      <c r="X98"/>
      <c r="Y98"/>
      <c r="Z98"/>
      <c r="AA98"/>
      <c r="AB98"/>
    </row>
    <row r="99" spans="1:28" s="782" customFormat="1" ht="24.95" customHeight="1" x14ac:dyDescent="0.35">
      <c r="A99" s="968">
        <v>45790</v>
      </c>
      <c r="B99" s="930" t="s">
        <v>660</v>
      </c>
      <c r="C99" s="925"/>
      <c r="D99" s="925" t="s">
        <v>90</v>
      </c>
      <c r="E99" s="925"/>
      <c r="F99" s="964"/>
      <c r="G99" s="964"/>
      <c r="H99" s="964" t="s">
        <v>520</v>
      </c>
      <c r="I99" s="965">
        <v>487467.5</v>
      </c>
      <c r="J99" s="965">
        <v>487467.5</v>
      </c>
      <c r="K99" s="1009"/>
      <c r="L99"/>
      <c r="M99"/>
      <c r="N99"/>
      <c r="O99"/>
      <c r="P99"/>
      <c r="Q99"/>
      <c r="R99"/>
      <c r="S99"/>
      <c r="T99"/>
      <c r="U99"/>
      <c r="V99"/>
      <c r="W99"/>
      <c r="X99"/>
      <c r="Y99"/>
      <c r="Z99"/>
      <c r="AA99"/>
      <c r="AB99"/>
    </row>
    <row r="100" spans="1:28" s="782" customFormat="1" ht="24.95" customHeight="1" x14ac:dyDescent="0.35">
      <c r="A100" s="968">
        <v>45973</v>
      </c>
      <c r="B100" s="930" t="s">
        <v>660</v>
      </c>
      <c r="C100" s="925"/>
      <c r="D100" s="925" t="s">
        <v>90</v>
      </c>
      <c r="E100" s="925"/>
      <c r="F100" s="964"/>
      <c r="G100" s="964"/>
      <c r="H100" s="964" t="s">
        <v>677</v>
      </c>
      <c r="I100" s="965">
        <v>39180</v>
      </c>
      <c r="J100" s="965">
        <v>39180</v>
      </c>
      <c r="K100" s="1009"/>
      <c r="L100"/>
      <c r="M100"/>
      <c r="N100"/>
      <c r="O100"/>
      <c r="P100"/>
      <c r="Q100"/>
      <c r="R100"/>
      <c r="S100"/>
      <c r="T100"/>
      <c r="U100"/>
      <c r="V100"/>
      <c r="W100"/>
      <c r="X100"/>
      <c r="Y100"/>
      <c r="Z100"/>
      <c r="AA100"/>
      <c r="AB100"/>
    </row>
    <row r="101" spans="1:28" s="782" customFormat="1" ht="24.95" customHeight="1" x14ac:dyDescent="0.35">
      <c r="A101" s="968" t="s">
        <v>557</v>
      </c>
      <c r="B101" s="930" t="s">
        <v>662</v>
      </c>
      <c r="C101" s="925"/>
      <c r="D101" s="964" t="s">
        <v>92</v>
      </c>
      <c r="E101" s="964"/>
      <c r="F101" s="964"/>
      <c r="G101" s="964"/>
      <c r="H101" s="964" t="s">
        <v>564</v>
      </c>
      <c r="I101" s="965">
        <v>115000</v>
      </c>
      <c r="J101" s="965">
        <v>115000</v>
      </c>
      <c r="K101" s="1009"/>
      <c r="L101"/>
      <c r="M101"/>
      <c r="N101"/>
      <c r="O101"/>
      <c r="P101"/>
      <c r="Q101"/>
      <c r="R101"/>
      <c r="S101"/>
      <c r="T101"/>
      <c r="U101"/>
      <c r="V101"/>
      <c r="W101"/>
      <c r="X101"/>
      <c r="Y101"/>
      <c r="Z101"/>
      <c r="AA101"/>
      <c r="AB101"/>
    </row>
    <row r="102" spans="1:28" s="782" customFormat="1" ht="24.95" customHeight="1" x14ac:dyDescent="0.35">
      <c r="A102" s="968" t="s">
        <v>421</v>
      </c>
      <c r="B102" s="930" t="s">
        <v>662</v>
      </c>
      <c r="C102" s="925"/>
      <c r="D102" s="964" t="s">
        <v>92</v>
      </c>
      <c r="E102" s="964"/>
      <c r="F102" s="964"/>
      <c r="G102" s="964"/>
      <c r="H102" s="964" t="s">
        <v>565</v>
      </c>
      <c r="I102" s="965">
        <v>25895</v>
      </c>
      <c r="J102" s="965">
        <v>25895</v>
      </c>
      <c r="K102" s="1009"/>
      <c r="L102"/>
      <c r="M102"/>
      <c r="N102"/>
      <c r="O102"/>
      <c r="P102"/>
      <c r="Q102"/>
      <c r="R102"/>
      <c r="S102"/>
      <c r="T102"/>
      <c r="U102"/>
      <c r="V102"/>
      <c r="W102"/>
      <c r="X102"/>
      <c r="Y102"/>
      <c r="Z102"/>
      <c r="AA102"/>
      <c r="AB102"/>
    </row>
    <row r="103" spans="1:28" s="782" customFormat="1" ht="24.95" customHeight="1" x14ac:dyDescent="0.35">
      <c r="A103" s="968" t="s">
        <v>421</v>
      </c>
      <c r="B103" s="930" t="s">
        <v>663</v>
      </c>
      <c r="C103" s="925"/>
      <c r="D103" s="964" t="s">
        <v>90</v>
      </c>
      <c r="E103" s="964"/>
      <c r="F103" s="964"/>
      <c r="G103" s="964"/>
      <c r="H103" s="964" t="s">
        <v>571</v>
      </c>
      <c r="I103" s="965">
        <v>45000</v>
      </c>
      <c r="J103" s="965">
        <v>45000</v>
      </c>
      <c r="K103" s="1009"/>
      <c r="L103"/>
      <c r="M103"/>
      <c r="N103"/>
      <c r="O103"/>
      <c r="P103"/>
      <c r="Q103"/>
      <c r="R103"/>
      <c r="S103"/>
      <c r="T103"/>
      <c r="U103"/>
      <c r="V103"/>
      <c r="W103"/>
      <c r="X103"/>
      <c r="Y103"/>
      <c r="Z103"/>
      <c r="AA103"/>
      <c r="AB103"/>
    </row>
    <row r="104" spans="1:28" s="941" customFormat="1" ht="24.95" customHeight="1" x14ac:dyDescent="0.35">
      <c r="A104" s="968">
        <v>45874</v>
      </c>
      <c r="B104" s="930" t="s">
        <v>664</v>
      </c>
      <c r="C104" s="925"/>
      <c r="D104" s="964" t="s">
        <v>92</v>
      </c>
      <c r="E104" s="964"/>
      <c r="F104" s="964"/>
      <c r="G104" s="964"/>
      <c r="H104" s="964" t="s">
        <v>585</v>
      </c>
      <c r="I104" s="965">
        <v>105000</v>
      </c>
      <c r="J104" s="965">
        <v>105000</v>
      </c>
      <c r="K104" s="1009"/>
      <c r="L104"/>
      <c r="M104"/>
      <c r="N104"/>
      <c r="O104"/>
      <c r="P104"/>
      <c r="Q104"/>
      <c r="R104"/>
      <c r="S104"/>
      <c r="T104"/>
      <c r="U104"/>
      <c r="V104"/>
      <c r="W104"/>
      <c r="X104"/>
      <c r="Y104"/>
      <c r="Z104"/>
      <c r="AA104"/>
      <c r="AB104"/>
    </row>
    <row r="105" spans="1:28" s="749" customFormat="1" ht="24.95" customHeight="1" x14ac:dyDescent="0.35">
      <c r="A105" s="968">
        <v>46008</v>
      </c>
      <c r="B105" s="930" t="s">
        <v>281</v>
      </c>
      <c r="C105" s="925"/>
      <c r="D105" s="964" t="s">
        <v>282</v>
      </c>
      <c r="E105" s="964"/>
      <c r="F105" s="964"/>
      <c r="G105" s="964"/>
      <c r="H105" s="964" t="s">
        <v>707</v>
      </c>
      <c r="I105" s="965" t="s">
        <v>419</v>
      </c>
      <c r="J105" s="965" t="s">
        <v>419</v>
      </c>
      <c r="K105" s="1009"/>
      <c r="L105"/>
      <c r="M105"/>
      <c r="N105"/>
      <c r="O105"/>
      <c r="P105"/>
      <c r="Q105"/>
      <c r="R105"/>
      <c r="S105"/>
      <c r="T105"/>
      <c r="U105"/>
      <c r="V105"/>
      <c r="W105"/>
      <c r="X105"/>
      <c r="Y105"/>
      <c r="Z105"/>
      <c r="AA105"/>
      <c r="AB105"/>
    </row>
    <row r="106" spans="1:28" s="749" customFormat="1" ht="24.95" customHeight="1" x14ac:dyDescent="0.35">
      <c r="A106" s="968">
        <v>45772</v>
      </c>
      <c r="B106" s="930" t="s">
        <v>596</v>
      </c>
      <c r="C106" s="925"/>
      <c r="D106" s="964" t="s">
        <v>92</v>
      </c>
      <c r="E106" s="964"/>
      <c r="F106" s="964"/>
      <c r="G106" s="964"/>
      <c r="H106" s="964" t="s">
        <v>597</v>
      </c>
      <c r="I106" s="965">
        <v>142240</v>
      </c>
      <c r="J106" s="965">
        <v>142240</v>
      </c>
      <c r="K106" s="1009"/>
      <c r="L106"/>
      <c r="M106"/>
      <c r="N106"/>
      <c r="O106"/>
      <c r="P106"/>
      <c r="Q106"/>
      <c r="R106"/>
      <c r="S106"/>
      <c r="T106"/>
      <c r="U106"/>
      <c r="V106"/>
      <c r="W106"/>
      <c r="X106"/>
      <c r="Y106"/>
      <c r="Z106"/>
      <c r="AA106"/>
      <c r="AB106"/>
    </row>
    <row r="107" spans="1:28" s="782" customFormat="1" ht="24.95" customHeight="1" x14ac:dyDescent="0.35">
      <c r="A107" s="968">
        <v>45897</v>
      </c>
      <c r="B107" s="930" t="s">
        <v>666</v>
      </c>
      <c r="C107" s="925"/>
      <c r="D107" s="964" t="s">
        <v>92</v>
      </c>
      <c r="E107" s="964"/>
      <c r="F107" s="964"/>
      <c r="G107" s="964"/>
      <c r="H107" s="964" t="s">
        <v>602</v>
      </c>
      <c r="I107" s="965">
        <v>3500</v>
      </c>
      <c r="J107" s="965">
        <v>3500</v>
      </c>
      <c r="K107" s="1009"/>
      <c r="L107"/>
      <c r="M107"/>
      <c r="N107"/>
      <c r="O107"/>
      <c r="P107"/>
      <c r="Q107"/>
      <c r="R107"/>
      <c r="S107"/>
      <c r="T107"/>
      <c r="U107"/>
      <c r="V107"/>
      <c r="W107"/>
      <c r="X107"/>
      <c r="Y107"/>
      <c r="Z107"/>
      <c r="AA107"/>
      <c r="AB107"/>
    </row>
    <row r="108" spans="1:28" s="782" customFormat="1" ht="24.95" customHeight="1" x14ac:dyDescent="0.35">
      <c r="A108" s="968">
        <v>45908</v>
      </c>
      <c r="B108" s="930" t="s">
        <v>614</v>
      </c>
      <c r="C108" s="925"/>
      <c r="D108" s="964" t="s">
        <v>92</v>
      </c>
      <c r="E108" s="964"/>
      <c r="F108" s="964"/>
      <c r="G108" s="964"/>
      <c r="H108" s="964" t="s">
        <v>615</v>
      </c>
      <c r="I108" s="965" t="s">
        <v>419</v>
      </c>
      <c r="J108" s="965" t="s">
        <v>419</v>
      </c>
      <c r="K108" s="1009"/>
      <c r="L108"/>
      <c r="M108"/>
      <c r="N108"/>
      <c r="O108"/>
      <c r="P108"/>
      <c r="Q108"/>
      <c r="R108"/>
      <c r="S108"/>
      <c r="T108"/>
      <c r="U108"/>
      <c r="V108"/>
      <c r="W108"/>
      <c r="X108"/>
      <c r="Y108"/>
      <c r="Z108"/>
      <c r="AA108"/>
      <c r="AB108"/>
    </row>
    <row r="109" spans="1:28" s="782" customFormat="1" ht="24.95" customHeight="1" x14ac:dyDescent="0.35">
      <c r="A109" s="968">
        <v>45923</v>
      </c>
      <c r="B109" s="930" t="s">
        <v>614</v>
      </c>
      <c r="C109" s="925"/>
      <c r="D109" s="964" t="s">
        <v>92</v>
      </c>
      <c r="E109" s="964"/>
      <c r="F109" s="964"/>
      <c r="G109" s="964"/>
      <c r="H109" s="964" t="s">
        <v>626</v>
      </c>
      <c r="I109" s="965" t="s">
        <v>419</v>
      </c>
      <c r="J109" s="965" t="s">
        <v>419</v>
      </c>
      <c r="K109" s="1009"/>
      <c r="L109"/>
      <c r="M109"/>
      <c r="N109"/>
      <c r="O109"/>
      <c r="P109"/>
      <c r="Q109"/>
      <c r="R109"/>
      <c r="S109"/>
      <c r="T109"/>
      <c r="U109"/>
      <c r="V109"/>
      <c r="W109"/>
      <c r="X109"/>
      <c r="Y109"/>
      <c r="Z109"/>
      <c r="AA109"/>
      <c r="AB109"/>
    </row>
    <row r="110" spans="1:28" s="782" customFormat="1" ht="24.95" customHeight="1" x14ac:dyDescent="0.35">
      <c r="A110" s="968"/>
      <c r="B110" s="930" t="s">
        <v>614</v>
      </c>
      <c r="C110" s="925"/>
      <c r="D110" s="964" t="s">
        <v>92</v>
      </c>
      <c r="E110" s="964"/>
      <c r="F110" s="964"/>
      <c r="G110" s="964"/>
      <c r="H110" s="964" t="s">
        <v>918</v>
      </c>
      <c r="I110" s="965" t="s">
        <v>419</v>
      </c>
      <c r="J110" s="965" t="s">
        <v>419</v>
      </c>
      <c r="K110" s="1009"/>
      <c r="L110"/>
      <c r="M110"/>
      <c r="N110"/>
      <c r="O110"/>
      <c r="P110"/>
      <c r="Q110"/>
      <c r="R110"/>
      <c r="S110"/>
      <c r="T110"/>
      <c r="U110"/>
      <c r="V110"/>
      <c r="W110"/>
      <c r="X110"/>
      <c r="Y110"/>
      <c r="Z110"/>
      <c r="AA110"/>
      <c r="AB110"/>
    </row>
    <row r="111" spans="1:28" s="782" customFormat="1" ht="24.95" customHeight="1" x14ac:dyDescent="0.35">
      <c r="A111" s="968"/>
      <c r="B111" s="930" t="s">
        <v>614</v>
      </c>
      <c r="C111" s="925"/>
      <c r="D111" s="964" t="s">
        <v>92</v>
      </c>
      <c r="E111" s="964"/>
      <c r="F111" s="964"/>
      <c r="G111" s="964"/>
      <c r="H111" s="964" t="s">
        <v>919</v>
      </c>
      <c r="I111" s="965" t="s">
        <v>419</v>
      </c>
      <c r="J111" s="965" t="s">
        <v>419</v>
      </c>
      <c r="K111" s="1009"/>
      <c r="L111"/>
      <c r="M111"/>
      <c r="N111"/>
      <c r="O111"/>
      <c r="P111"/>
      <c r="Q111"/>
      <c r="R111"/>
      <c r="S111"/>
      <c r="T111"/>
      <c r="U111"/>
      <c r="V111"/>
      <c r="W111"/>
      <c r="X111"/>
      <c r="Y111"/>
      <c r="Z111"/>
      <c r="AA111"/>
      <c r="AB111"/>
    </row>
    <row r="112" spans="1:28" s="782" customFormat="1" ht="24.95" customHeight="1" x14ac:dyDescent="0.35">
      <c r="A112" s="968"/>
      <c r="B112" s="930" t="s">
        <v>920</v>
      </c>
      <c r="C112" s="925"/>
      <c r="D112" s="964" t="s">
        <v>92</v>
      </c>
      <c r="E112" s="964"/>
      <c r="F112" s="964"/>
      <c r="G112" s="964"/>
      <c r="H112" s="964" t="s">
        <v>921</v>
      </c>
      <c r="I112" s="965" t="s">
        <v>419</v>
      </c>
      <c r="J112" s="965" t="s">
        <v>419</v>
      </c>
      <c r="K112" s="1009"/>
      <c r="L112"/>
      <c r="M112"/>
      <c r="N112"/>
      <c r="O112"/>
      <c r="P112"/>
      <c r="Q112"/>
      <c r="R112"/>
      <c r="S112"/>
      <c r="T112"/>
      <c r="U112"/>
      <c r="V112"/>
      <c r="W112"/>
      <c r="X112"/>
      <c r="Y112"/>
      <c r="Z112"/>
      <c r="AA112"/>
      <c r="AB112"/>
    </row>
    <row r="113" spans="1:28" s="1005" customFormat="1" ht="24.95" customHeight="1" x14ac:dyDescent="0.25">
      <c r="A113" s="1000">
        <v>45909</v>
      </c>
      <c r="B113" s="1007" t="s">
        <v>617</v>
      </c>
      <c r="C113" s="1002"/>
      <c r="D113" s="1003" t="s">
        <v>92</v>
      </c>
      <c r="E113" s="1003"/>
      <c r="F113" s="1003"/>
      <c r="G113" s="1003"/>
      <c r="H113" s="1003" t="s">
        <v>618</v>
      </c>
      <c r="I113" s="1004">
        <v>43995</v>
      </c>
      <c r="J113" s="1004"/>
      <c r="K113" s="1002" t="s">
        <v>938</v>
      </c>
      <c r="L113" s="1006"/>
      <c r="M113" s="1006"/>
      <c r="N113" s="1006"/>
      <c r="O113" s="1006"/>
      <c r="P113" s="1006"/>
      <c r="Q113" s="1006"/>
      <c r="R113" s="1006"/>
      <c r="S113" s="1006"/>
      <c r="T113" s="1006"/>
      <c r="U113" s="1006"/>
      <c r="V113" s="1006"/>
      <c r="W113" s="1006"/>
      <c r="X113" s="1006"/>
      <c r="Y113" s="1006"/>
      <c r="Z113" s="1006"/>
      <c r="AA113" s="1006"/>
      <c r="AB113" s="1006"/>
    </row>
    <row r="114" spans="1:28" s="782" customFormat="1" ht="24.95" customHeight="1" x14ac:dyDescent="0.35">
      <c r="A114" s="968">
        <v>45911</v>
      </c>
      <c r="B114" s="930" t="s">
        <v>617</v>
      </c>
      <c r="C114" s="925"/>
      <c r="D114" s="964" t="s">
        <v>92</v>
      </c>
      <c r="E114" s="964"/>
      <c r="F114" s="964"/>
      <c r="G114" s="964"/>
      <c r="H114" s="964" t="s">
        <v>624</v>
      </c>
      <c r="I114" s="965">
        <v>5400</v>
      </c>
      <c r="J114" s="965">
        <v>5400</v>
      </c>
      <c r="K114" s="1009"/>
      <c r="L114"/>
      <c r="M114"/>
      <c r="N114"/>
      <c r="O114"/>
      <c r="P114"/>
      <c r="Q114"/>
      <c r="R114"/>
      <c r="S114"/>
      <c r="T114"/>
      <c r="U114"/>
      <c r="V114"/>
      <c r="W114"/>
      <c r="X114"/>
      <c r="Y114"/>
      <c r="Z114"/>
      <c r="AA114"/>
      <c r="AB114"/>
    </row>
    <row r="115" spans="1:28" s="941" customFormat="1" ht="24.95" customHeight="1" x14ac:dyDescent="0.35">
      <c r="A115" s="968">
        <v>45912</v>
      </c>
      <c r="B115" s="930" t="s">
        <v>617</v>
      </c>
      <c r="C115" s="925"/>
      <c r="D115" s="964" t="s">
        <v>92</v>
      </c>
      <c r="E115" s="964"/>
      <c r="F115" s="964"/>
      <c r="G115" s="964"/>
      <c r="H115" s="964" t="s">
        <v>625</v>
      </c>
      <c r="I115" s="965">
        <v>5400</v>
      </c>
      <c r="J115" s="965">
        <v>5400</v>
      </c>
      <c r="K115" s="1009"/>
      <c r="L115"/>
      <c r="M115"/>
      <c r="N115"/>
      <c r="O115"/>
      <c r="P115"/>
      <c r="Q115"/>
      <c r="R115"/>
      <c r="S115"/>
      <c r="T115"/>
      <c r="U115"/>
      <c r="V115"/>
      <c r="W115"/>
      <c r="X115"/>
      <c r="Y115"/>
      <c r="Z115"/>
      <c r="AA115"/>
      <c r="AB115"/>
    </row>
    <row r="116" spans="1:28" s="749" customFormat="1" ht="24.95" customHeight="1" x14ac:dyDescent="0.35">
      <c r="A116" s="968">
        <v>45929</v>
      </c>
      <c r="B116" s="930" t="s">
        <v>617</v>
      </c>
      <c r="C116" s="925"/>
      <c r="D116" s="964" t="s">
        <v>92</v>
      </c>
      <c r="E116" s="964"/>
      <c r="F116" s="964"/>
      <c r="G116" s="964"/>
      <c r="H116" s="964" t="s">
        <v>667</v>
      </c>
      <c r="I116" s="965">
        <v>180000</v>
      </c>
      <c r="J116" s="965">
        <v>180000</v>
      </c>
      <c r="K116" s="1009"/>
      <c r="L116"/>
      <c r="M116"/>
      <c r="N116"/>
      <c r="O116"/>
      <c r="P116"/>
      <c r="Q116"/>
      <c r="R116"/>
      <c r="S116"/>
      <c r="T116"/>
      <c r="U116"/>
      <c r="V116"/>
      <c r="W116"/>
      <c r="X116"/>
      <c r="Y116"/>
      <c r="Z116"/>
      <c r="AA116"/>
      <c r="AB116"/>
    </row>
    <row r="117" spans="1:28" s="749" customFormat="1" ht="24.95" customHeight="1" x14ac:dyDescent="0.35">
      <c r="A117" s="968">
        <v>46000</v>
      </c>
      <c r="B117" s="930" t="s">
        <v>617</v>
      </c>
      <c r="C117" s="925"/>
      <c r="D117" s="964" t="s">
        <v>92</v>
      </c>
      <c r="E117" s="964"/>
      <c r="F117" s="964"/>
      <c r="G117" s="964"/>
      <c r="H117" s="964" t="s">
        <v>698</v>
      </c>
      <c r="I117" s="965">
        <v>92000</v>
      </c>
      <c r="J117" s="965">
        <v>92000</v>
      </c>
      <c r="K117" s="1009"/>
      <c r="L117"/>
      <c r="M117"/>
      <c r="N117"/>
      <c r="O117"/>
      <c r="P117"/>
      <c r="Q117"/>
      <c r="R117"/>
      <c r="S117"/>
      <c r="T117"/>
      <c r="U117"/>
      <c r="V117"/>
      <c r="W117"/>
      <c r="X117"/>
      <c r="Y117"/>
      <c r="Z117"/>
      <c r="AA117"/>
      <c r="AB117"/>
    </row>
    <row r="118" spans="1:28" s="749" customFormat="1" ht="24.95" customHeight="1" x14ac:dyDescent="0.35">
      <c r="A118" s="968">
        <v>45663</v>
      </c>
      <c r="B118" s="930" t="s">
        <v>717</v>
      </c>
      <c r="C118" s="925"/>
      <c r="D118" s="964" t="s">
        <v>92</v>
      </c>
      <c r="E118" s="964"/>
      <c r="F118" s="964"/>
      <c r="G118" s="964"/>
      <c r="H118" s="964" t="s">
        <v>718</v>
      </c>
      <c r="I118" s="965">
        <v>2885</v>
      </c>
      <c r="J118" s="965">
        <v>2885</v>
      </c>
      <c r="K118" s="1009"/>
      <c r="L118"/>
      <c r="M118"/>
      <c r="N118"/>
      <c r="O118"/>
      <c r="P118"/>
      <c r="Q118"/>
      <c r="R118"/>
      <c r="S118"/>
      <c r="T118"/>
      <c r="U118"/>
      <c r="V118"/>
      <c r="W118"/>
      <c r="X118"/>
      <c r="Y118"/>
      <c r="Z118"/>
      <c r="AA118"/>
      <c r="AB118"/>
    </row>
    <row r="119" spans="1:28" s="749" customFormat="1" ht="24.95" customHeight="1" x14ac:dyDescent="0.35">
      <c r="A119" s="968" t="s">
        <v>421</v>
      </c>
      <c r="B119" s="930" t="s">
        <v>617</v>
      </c>
      <c r="C119" s="925"/>
      <c r="D119" s="964" t="s">
        <v>92</v>
      </c>
      <c r="E119" s="964"/>
      <c r="F119" s="964"/>
      <c r="G119" s="964"/>
      <c r="H119" s="964" t="s">
        <v>824</v>
      </c>
      <c r="I119" s="965">
        <v>31540</v>
      </c>
      <c r="J119" s="965">
        <v>31540</v>
      </c>
      <c r="K119" s="1009"/>
      <c r="L119"/>
      <c r="M119"/>
      <c r="N119"/>
      <c r="O119"/>
      <c r="P119"/>
      <c r="Q119"/>
      <c r="R119"/>
      <c r="S119"/>
      <c r="T119"/>
      <c r="U119"/>
      <c r="V119"/>
      <c r="W119"/>
      <c r="X119"/>
      <c r="Y119"/>
      <c r="Z119"/>
      <c r="AA119"/>
      <c r="AB119"/>
    </row>
    <row r="120" spans="1:28" s="749" customFormat="1" ht="24.95" customHeight="1" x14ac:dyDescent="0.35">
      <c r="A120" s="968" t="s">
        <v>421</v>
      </c>
      <c r="B120" s="930" t="s">
        <v>617</v>
      </c>
      <c r="C120" s="925"/>
      <c r="D120" s="964" t="s">
        <v>92</v>
      </c>
      <c r="E120" s="964"/>
      <c r="F120" s="964"/>
      <c r="G120" s="964"/>
      <c r="H120" s="964" t="s">
        <v>825</v>
      </c>
      <c r="I120" s="965">
        <v>80900</v>
      </c>
      <c r="J120" s="965">
        <v>80900</v>
      </c>
      <c r="K120" s="1009"/>
      <c r="L120"/>
      <c r="M120"/>
      <c r="N120"/>
      <c r="O120"/>
      <c r="P120"/>
      <c r="Q120"/>
      <c r="R120"/>
      <c r="S120"/>
      <c r="T120"/>
      <c r="U120"/>
      <c r="V120"/>
      <c r="W120"/>
      <c r="X120"/>
      <c r="Y120"/>
      <c r="Z120"/>
      <c r="AA120"/>
      <c r="AB120"/>
    </row>
    <row r="121" spans="1:28" s="749" customFormat="1" ht="24.95" customHeight="1" x14ac:dyDescent="0.35">
      <c r="A121" s="968">
        <v>46233</v>
      </c>
      <c r="B121" s="930" t="s">
        <v>617</v>
      </c>
      <c r="C121" s="925"/>
      <c r="D121" s="964" t="s">
        <v>92</v>
      </c>
      <c r="E121" s="964"/>
      <c r="F121" s="964"/>
      <c r="G121" s="964"/>
      <c r="H121" s="964" t="s">
        <v>966</v>
      </c>
      <c r="I121" s="965">
        <v>3500</v>
      </c>
      <c r="J121" s="965"/>
      <c r="K121" s="1009"/>
      <c r="L121"/>
      <c r="M121"/>
      <c r="N121"/>
      <c r="O121"/>
      <c r="P121"/>
      <c r="Q121"/>
      <c r="R121"/>
      <c r="S121"/>
      <c r="T121"/>
      <c r="U121"/>
      <c r="V121"/>
      <c r="W121"/>
      <c r="X121"/>
      <c r="Y121"/>
      <c r="Z121"/>
      <c r="AA121"/>
      <c r="AB121"/>
    </row>
    <row r="122" spans="1:28" s="749" customFormat="1" ht="24.95" customHeight="1" x14ac:dyDescent="0.35">
      <c r="A122" s="968">
        <v>46233</v>
      </c>
      <c r="B122" s="930" t="s">
        <v>617</v>
      </c>
      <c r="C122" s="925"/>
      <c r="D122" s="964" t="s">
        <v>92</v>
      </c>
      <c r="E122" s="964"/>
      <c r="F122" s="964"/>
      <c r="G122" s="964"/>
      <c r="H122" s="964" t="s">
        <v>967</v>
      </c>
      <c r="I122" s="965">
        <v>18000</v>
      </c>
      <c r="J122" s="965"/>
      <c r="K122" s="1009"/>
      <c r="L122"/>
      <c r="M122"/>
      <c r="N122"/>
      <c r="O122"/>
      <c r="P122"/>
      <c r="Q122"/>
      <c r="R122"/>
      <c r="S122"/>
      <c r="T122"/>
      <c r="U122"/>
      <c r="V122"/>
      <c r="W122"/>
      <c r="X122"/>
      <c r="Y122"/>
      <c r="Z122"/>
      <c r="AA122"/>
      <c r="AB122"/>
    </row>
    <row r="123" spans="1:28" s="749" customFormat="1" ht="24.95" customHeight="1" x14ac:dyDescent="0.35">
      <c r="A123" s="968">
        <v>45964</v>
      </c>
      <c r="B123" s="930" t="s">
        <v>669</v>
      </c>
      <c r="C123" s="925"/>
      <c r="D123" s="964" t="s">
        <v>282</v>
      </c>
      <c r="E123" s="964"/>
      <c r="F123" s="964"/>
      <c r="G123" s="964"/>
      <c r="H123" s="964" t="s">
        <v>670</v>
      </c>
      <c r="I123" s="965" t="s">
        <v>968</v>
      </c>
      <c r="J123" s="965">
        <v>81575</v>
      </c>
      <c r="K123" s="1009"/>
      <c r="L123"/>
      <c r="M123"/>
      <c r="N123"/>
      <c r="O123"/>
      <c r="P123"/>
      <c r="Q123"/>
      <c r="R123"/>
      <c r="S123"/>
      <c r="T123"/>
      <c r="U123"/>
      <c r="V123"/>
      <c r="W123"/>
      <c r="X123"/>
      <c r="Y123"/>
      <c r="Z123"/>
      <c r="AA123"/>
      <c r="AB123"/>
    </row>
    <row r="124" spans="1:28" s="749" customFormat="1" ht="24.95" customHeight="1" x14ac:dyDescent="0.35">
      <c r="A124" s="968">
        <v>45978</v>
      </c>
      <c r="B124" s="930" t="s">
        <v>669</v>
      </c>
      <c r="C124" s="925"/>
      <c r="D124" s="964" t="s">
        <v>282</v>
      </c>
      <c r="E124" s="964"/>
      <c r="F124" s="964"/>
      <c r="G124" s="964"/>
      <c r="H124" s="964" t="s">
        <v>493</v>
      </c>
      <c r="I124" s="965">
        <v>134000</v>
      </c>
      <c r="J124" s="965">
        <v>134000</v>
      </c>
      <c r="K124" s="1009"/>
      <c r="L124"/>
      <c r="M124"/>
      <c r="N124"/>
      <c r="O124"/>
      <c r="P124"/>
      <c r="Q124"/>
      <c r="R124"/>
      <c r="S124"/>
      <c r="T124"/>
      <c r="U124"/>
      <c r="V124"/>
      <c r="W124"/>
      <c r="X124"/>
      <c r="Y124"/>
      <c r="Z124"/>
      <c r="AA124"/>
      <c r="AB124"/>
    </row>
    <row r="125" spans="1:28" s="1005" customFormat="1" ht="24.95" customHeight="1" x14ac:dyDescent="0.25">
      <c r="A125" s="1000">
        <v>45964</v>
      </c>
      <c r="B125" s="1007" t="s">
        <v>669</v>
      </c>
      <c r="C125" s="1002"/>
      <c r="D125" s="1003" t="s">
        <v>282</v>
      </c>
      <c r="E125" s="1003"/>
      <c r="F125" s="1003"/>
      <c r="G125" s="1003"/>
      <c r="H125" s="1003" t="s">
        <v>850</v>
      </c>
      <c r="I125" s="1004">
        <v>216575</v>
      </c>
      <c r="J125" s="1004"/>
      <c r="K125" s="1002" t="s">
        <v>943</v>
      </c>
      <c r="L125" s="1006"/>
      <c r="M125" s="1006"/>
      <c r="N125" s="1006"/>
      <c r="O125" s="1006"/>
      <c r="P125" s="1006"/>
      <c r="Q125" s="1006"/>
      <c r="R125" s="1006"/>
      <c r="S125" s="1006"/>
      <c r="T125" s="1006"/>
      <c r="U125" s="1006"/>
      <c r="V125" s="1006"/>
      <c r="W125" s="1006"/>
      <c r="X125" s="1006"/>
      <c r="Y125" s="1006"/>
      <c r="Z125" s="1006"/>
      <c r="AA125" s="1006"/>
      <c r="AB125" s="1006"/>
    </row>
    <row r="126" spans="1:28" s="749" customFormat="1" ht="24.95" customHeight="1" x14ac:dyDescent="0.35">
      <c r="A126" s="968">
        <v>46150</v>
      </c>
      <c r="B126" s="930" t="s">
        <v>669</v>
      </c>
      <c r="C126" s="925"/>
      <c r="D126" s="964" t="s">
        <v>282</v>
      </c>
      <c r="E126" s="964"/>
      <c r="F126" s="964"/>
      <c r="G126" s="964"/>
      <c r="H126" s="964" t="s">
        <v>861</v>
      </c>
      <c r="I126" s="965" t="s">
        <v>419</v>
      </c>
      <c r="J126" s="965" t="s">
        <v>419</v>
      </c>
      <c r="K126" s="1009"/>
      <c r="L126"/>
      <c r="M126"/>
      <c r="N126"/>
      <c r="O126"/>
      <c r="P126"/>
      <c r="Q126"/>
      <c r="R126"/>
      <c r="S126"/>
      <c r="T126"/>
      <c r="U126"/>
      <c r="V126"/>
      <c r="W126"/>
      <c r="X126"/>
      <c r="Y126"/>
      <c r="Z126"/>
      <c r="AA126"/>
      <c r="AB126"/>
    </row>
    <row r="127" spans="1:28" s="749" customFormat="1" ht="24.95" customHeight="1" x14ac:dyDescent="0.35">
      <c r="A127" s="968">
        <v>45981</v>
      </c>
      <c r="B127" s="930" t="s">
        <v>683</v>
      </c>
      <c r="C127" s="925"/>
      <c r="D127" s="964" t="s">
        <v>92</v>
      </c>
      <c r="E127" s="964"/>
      <c r="F127" s="964"/>
      <c r="G127" s="964"/>
      <c r="H127" s="964" t="s">
        <v>684</v>
      </c>
      <c r="I127" s="965">
        <v>72550</v>
      </c>
      <c r="J127" s="965">
        <v>72550</v>
      </c>
      <c r="K127" s="1009"/>
      <c r="L127"/>
      <c r="M127"/>
      <c r="N127"/>
      <c r="O127"/>
      <c r="P127"/>
      <c r="Q127"/>
      <c r="R127"/>
      <c r="S127"/>
      <c r="T127"/>
      <c r="U127"/>
      <c r="V127"/>
      <c r="W127"/>
      <c r="X127"/>
      <c r="Y127"/>
      <c r="Z127"/>
      <c r="AA127"/>
      <c r="AB127"/>
    </row>
    <row r="128" spans="1:28" s="749" customFormat="1" ht="24.95" customHeight="1" x14ac:dyDescent="0.35">
      <c r="A128" s="968">
        <v>46006</v>
      </c>
      <c r="B128" s="930" t="s">
        <v>683</v>
      </c>
      <c r="C128" s="925"/>
      <c r="D128" s="964" t="s">
        <v>92</v>
      </c>
      <c r="E128" s="964"/>
      <c r="F128" s="964"/>
      <c r="G128" s="964"/>
      <c r="H128" s="964" t="s">
        <v>709</v>
      </c>
      <c r="I128" s="965">
        <v>72550</v>
      </c>
      <c r="J128" s="965">
        <v>72550</v>
      </c>
      <c r="K128" s="1009"/>
      <c r="L128"/>
      <c r="M128"/>
      <c r="N128"/>
      <c r="O128"/>
      <c r="P128"/>
      <c r="Q128"/>
      <c r="R128"/>
      <c r="S128"/>
      <c r="T128"/>
      <c r="U128"/>
      <c r="V128"/>
      <c r="W128"/>
      <c r="X128"/>
      <c r="Y128"/>
      <c r="Z128"/>
      <c r="AA128"/>
      <c r="AB128"/>
    </row>
    <row r="129" spans="1:28" s="749" customFormat="1" ht="24.95" customHeight="1" x14ac:dyDescent="0.35">
      <c r="A129" s="968">
        <v>46133</v>
      </c>
      <c r="B129" s="930" t="s">
        <v>683</v>
      </c>
      <c r="C129" s="925"/>
      <c r="D129" s="964" t="s">
        <v>92</v>
      </c>
      <c r="E129" s="964"/>
      <c r="F129" s="964"/>
      <c r="G129" s="964"/>
      <c r="H129" s="964" t="s">
        <v>855</v>
      </c>
      <c r="I129" s="965">
        <v>105000</v>
      </c>
      <c r="J129" s="965">
        <v>105000</v>
      </c>
      <c r="K129" s="1009"/>
      <c r="L129"/>
      <c r="M129"/>
      <c r="N129"/>
      <c r="O129"/>
      <c r="P129"/>
      <c r="Q129"/>
      <c r="R129"/>
      <c r="S129"/>
      <c r="T129"/>
      <c r="U129"/>
      <c r="V129"/>
      <c r="W129"/>
      <c r="X129"/>
      <c r="Y129"/>
      <c r="Z129"/>
      <c r="AA129"/>
      <c r="AB129"/>
    </row>
    <row r="130" spans="1:28" s="749" customFormat="1" ht="24.95" customHeight="1" x14ac:dyDescent="0.35">
      <c r="A130" s="968">
        <v>45985</v>
      </c>
      <c r="B130" s="930" t="s">
        <v>681</v>
      </c>
      <c r="C130" s="925"/>
      <c r="D130" s="964" t="s">
        <v>92</v>
      </c>
      <c r="E130" s="964"/>
      <c r="F130" s="964"/>
      <c r="G130" s="964"/>
      <c r="H130" s="964" t="s">
        <v>682</v>
      </c>
      <c r="I130" s="965">
        <v>1850000</v>
      </c>
      <c r="J130" s="965">
        <v>1850000</v>
      </c>
      <c r="K130" s="1009"/>
      <c r="L130"/>
      <c r="M130"/>
      <c r="N130"/>
      <c r="O130"/>
      <c r="P130"/>
      <c r="Q130"/>
      <c r="R130"/>
      <c r="S130"/>
      <c r="T130"/>
      <c r="U130"/>
      <c r="V130"/>
      <c r="W130"/>
      <c r="X130"/>
      <c r="Y130"/>
      <c r="Z130"/>
      <c r="AA130"/>
      <c r="AB130"/>
    </row>
    <row r="131" spans="1:28" s="749" customFormat="1" ht="24.95" customHeight="1" x14ac:dyDescent="0.35">
      <c r="A131" s="968">
        <v>45986</v>
      </c>
      <c r="B131" s="930" t="s">
        <v>686</v>
      </c>
      <c r="C131" s="925"/>
      <c r="D131" s="964" t="s">
        <v>90</v>
      </c>
      <c r="E131" s="964"/>
      <c r="F131" s="964" t="s">
        <v>732</v>
      </c>
      <c r="G131" s="964"/>
      <c r="H131" s="964" t="s">
        <v>758</v>
      </c>
      <c r="I131" s="965">
        <v>2429160.35</v>
      </c>
      <c r="J131" s="965">
        <v>316327.96999999997</v>
      </c>
      <c r="K131" s="1027" t="s">
        <v>942</v>
      </c>
      <c r="L131"/>
      <c r="M131"/>
      <c r="N131"/>
      <c r="O131"/>
      <c r="P131"/>
      <c r="Q131"/>
      <c r="R131"/>
      <c r="S131"/>
      <c r="T131"/>
      <c r="U131"/>
      <c r="V131"/>
      <c r="W131"/>
      <c r="X131"/>
      <c r="Y131"/>
      <c r="Z131"/>
      <c r="AA131"/>
      <c r="AB131"/>
    </row>
    <row r="132" spans="1:28" s="749" customFormat="1" ht="24.95" customHeight="1" x14ac:dyDescent="0.35">
      <c r="A132" s="968">
        <v>45965</v>
      </c>
      <c r="B132" s="930" t="s">
        <v>695</v>
      </c>
      <c r="C132" s="925"/>
      <c r="D132" s="964" t="s">
        <v>90</v>
      </c>
      <c r="E132" s="964"/>
      <c r="F132" s="964"/>
      <c r="G132" s="964"/>
      <c r="H132" s="964" t="s">
        <v>696</v>
      </c>
      <c r="I132" s="965" t="s">
        <v>419</v>
      </c>
      <c r="J132" s="965" t="s">
        <v>419</v>
      </c>
      <c r="K132" s="1009"/>
      <c r="L132"/>
      <c r="M132"/>
      <c r="N132"/>
      <c r="O132"/>
      <c r="P132"/>
      <c r="Q132"/>
      <c r="R132"/>
      <c r="S132"/>
      <c r="T132"/>
      <c r="U132"/>
      <c r="V132"/>
      <c r="W132"/>
      <c r="X132"/>
      <c r="Y132"/>
      <c r="Z132"/>
      <c r="AA132"/>
      <c r="AB132"/>
    </row>
    <row r="133" spans="1:28" s="1005" customFormat="1" ht="24.95" customHeight="1" x14ac:dyDescent="0.25">
      <c r="A133" s="1000">
        <v>45995</v>
      </c>
      <c r="B133" s="1007" t="s">
        <v>699</v>
      </c>
      <c r="C133" s="1002"/>
      <c r="D133" s="1003" t="s">
        <v>90</v>
      </c>
      <c r="E133" s="1003"/>
      <c r="F133" s="1003" t="s">
        <v>895</v>
      </c>
      <c r="G133" s="1003"/>
      <c r="H133" s="1003" t="s">
        <v>700</v>
      </c>
      <c r="I133" s="1004">
        <v>98000</v>
      </c>
      <c r="J133" s="1004"/>
      <c r="K133" s="1002" t="s">
        <v>938</v>
      </c>
      <c r="L133" s="1006"/>
      <c r="M133" s="1006"/>
      <c r="N133" s="1006"/>
      <c r="O133" s="1006"/>
      <c r="P133" s="1006"/>
      <c r="Q133" s="1006"/>
      <c r="R133" s="1006"/>
      <c r="S133" s="1006"/>
      <c r="T133" s="1006"/>
      <c r="U133" s="1006"/>
      <c r="V133" s="1006"/>
      <c r="W133" s="1006"/>
      <c r="X133" s="1006"/>
      <c r="Y133" s="1006"/>
      <c r="Z133" s="1006"/>
      <c r="AA133" s="1006"/>
      <c r="AB133" s="1006"/>
    </row>
    <row r="134" spans="1:28" s="1005" customFormat="1" ht="24.95" customHeight="1" x14ac:dyDescent="0.25">
      <c r="A134" s="1000">
        <v>46032</v>
      </c>
      <c r="B134" s="1007" t="s">
        <v>699</v>
      </c>
      <c r="C134" s="1002"/>
      <c r="D134" s="1003" t="s">
        <v>90</v>
      </c>
      <c r="E134" s="1003"/>
      <c r="F134" s="1003" t="s">
        <v>903</v>
      </c>
      <c r="G134" s="1003"/>
      <c r="H134" s="1003" t="s">
        <v>723</v>
      </c>
      <c r="I134" s="1004">
        <v>337980</v>
      </c>
      <c r="J134" s="1004"/>
      <c r="K134" s="1002" t="s">
        <v>969</v>
      </c>
      <c r="L134" s="1006"/>
      <c r="M134" s="1006"/>
      <c r="N134" s="1006"/>
      <c r="O134" s="1006"/>
      <c r="P134" s="1006"/>
      <c r="Q134" s="1006"/>
      <c r="R134" s="1006"/>
      <c r="S134" s="1006"/>
      <c r="T134" s="1006"/>
      <c r="U134" s="1006"/>
      <c r="V134" s="1006"/>
      <c r="W134" s="1006"/>
      <c r="X134" s="1006"/>
      <c r="Y134" s="1006"/>
      <c r="Z134" s="1006"/>
      <c r="AA134" s="1006"/>
      <c r="AB134" s="1006"/>
    </row>
    <row r="135" spans="1:28" s="749" customFormat="1" ht="24.95" customHeight="1" x14ac:dyDescent="0.35">
      <c r="A135" s="968">
        <v>46206</v>
      </c>
      <c r="B135" s="930" t="s">
        <v>699</v>
      </c>
      <c r="C135" s="925"/>
      <c r="D135" s="964" t="s">
        <v>90</v>
      </c>
      <c r="E135" s="964"/>
      <c r="F135" s="964"/>
      <c r="G135" s="964"/>
      <c r="H135" s="964" t="s">
        <v>928</v>
      </c>
      <c r="I135" s="965" t="s">
        <v>419</v>
      </c>
      <c r="J135" s="965" t="s">
        <v>419</v>
      </c>
      <c r="K135" s="1009"/>
      <c r="L135"/>
      <c r="M135"/>
      <c r="N135"/>
      <c r="O135"/>
      <c r="P135"/>
      <c r="Q135"/>
      <c r="R135"/>
      <c r="S135"/>
      <c r="T135"/>
      <c r="U135"/>
      <c r="V135"/>
      <c r="W135"/>
      <c r="X135"/>
      <c r="Y135"/>
      <c r="Z135"/>
      <c r="AA135"/>
      <c r="AB135"/>
    </row>
    <row r="136" spans="1:28" s="749" customFormat="1" ht="24.95" customHeight="1" x14ac:dyDescent="0.35">
      <c r="A136" s="968">
        <v>46221</v>
      </c>
      <c r="B136" s="930" t="s">
        <v>699</v>
      </c>
      <c r="C136" s="925"/>
      <c r="D136" s="964" t="s">
        <v>90</v>
      </c>
      <c r="E136" s="964"/>
      <c r="F136" s="964"/>
      <c r="G136" s="964"/>
      <c r="H136" s="964" t="s">
        <v>944</v>
      </c>
      <c r="I136" s="965" t="s">
        <v>419</v>
      </c>
      <c r="J136" s="965"/>
      <c r="K136" s="1009"/>
      <c r="L136"/>
      <c r="M136"/>
      <c r="N136"/>
      <c r="O136"/>
      <c r="P136"/>
      <c r="Q136"/>
      <c r="R136"/>
      <c r="S136"/>
      <c r="T136"/>
      <c r="U136"/>
      <c r="V136"/>
      <c r="W136"/>
      <c r="X136"/>
      <c r="Y136"/>
      <c r="Z136"/>
      <c r="AA136"/>
      <c r="AB136"/>
    </row>
    <row r="137" spans="1:28" s="749" customFormat="1" ht="24.95" customHeight="1" x14ac:dyDescent="0.35">
      <c r="A137" s="968" t="s">
        <v>705</v>
      </c>
      <c r="B137" s="930" t="s">
        <v>485</v>
      </c>
      <c r="C137" s="925"/>
      <c r="D137" s="964" t="s">
        <v>282</v>
      </c>
      <c r="E137" s="964"/>
      <c r="F137" s="964" t="s">
        <v>734</v>
      </c>
      <c r="G137" s="964"/>
      <c r="H137" s="964" t="s">
        <v>706</v>
      </c>
      <c r="I137" s="965">
        <v>18800</v>
      </c>
      <c r="J137" s="965">
        <v>18800</v>
      </c>
      <c r="K137" s="1009"/>
      <c r="L137"/>
      <c r="M137"/>
      <c r="N137"/>
      <c r="O137"/>
      <c r="P137"/>
      <c r="Q137"/>
      <c r="R137"/>
      <c r="S137"/>
      <c r="T137"/>
      <c r="U137"/>
      <c r="V137"/>
      <c r="W137"/>
      <c r="X137"/>
      <c r="Y137"/>
      <c r="Z137"/>
      <c r="AA137"/>
      <c r="AB137"/>
    </row>
    <row r="138" spans="1:28" s="749" customFormat="1" ht="24.95" customHeight="1" x14ac:dyDescent="0.35">
      <c r="A138" s="968">
        <v>46008</v>
      </c>
      <c r="B138" s="930" t="s">
        <v>485</v>
      </c>
      <c r="C138" s="925"/>
      <c r="D138" s="964" t="s">
        <v>282</v>
      </c>
      <c r="E138" s="964"/>
      <c r="F138" s="964" t="s">
        <v>735</v>
      </c>
      <c r="G138" s="964"/>
      <c r="H138" s="964" t="s">
        <v>710</v>
      </c>
      <c r="I138" s="965">
        <v>23868</v>
      </c>
      <c r="J138" s="965">
        <v>23868</v>
      </c>
      <c r="K138" s="1009"/>
      <c r="L138"/>
      <c r="M138"/>
      <c r="N138"/>
      <c r="O138"/>
      <c r="P138"/>
      <c r="Q138"/>
      <c r="R138"/>
      <c r="S138"/>
      <c r="T138"/>
      <c r="U138"/>
      <c r="V138"/>
      <c r="W138"/>
      <c r="X138"/>
      <c r="Y138"/>
      <c r="Z138"/>
      <c r="AA138"/>
      <c r="AB138"/>
    </row>
    <row r="139" spans="1:28" s="749" customFormat="1" ht="24.95" customHeight="1" x14ac:dyDescent="0.35">
      <c r="A139" s="968">
        <v>45662</v>
      </c>
      <c r="B139" s="930" t="s">
        <v>683</v>
      </c>
      <c r="C139" s="925"/>
      <c r="D139" s="964" t="s">
        <v>92</v>
      </c>
      <c r="E139" s="964"/>
      <c r="F139" s="964"/>
      <c r="G139" s="964"/>
      <c r="H139" s="964" t="s">
        <v>719</v>
      </c>
      <c r="I139" s="965">
        <v>3500</v>
      </c>
      <c r="J139" s="965">
        <v>3500</v>
      </c>
      <c r="K139" s="1009"/>
      <c r="L139"/>
      <c r="M139"/>
      <c r="N139"/>
      <c r="O139"/>
      <c r="P139"/>
      <c r="Q139"/>
      <c r="R139"/>
      <c r="S139"/>
      <c r="T139"/>
      <c r="U139"/>
      <c r="V139"/>
      <c r="W139"/>
      <c r="X139"/>
      <c r="Y139"/>
      <c r="Z139"/>
      <c r="AA139"/>
      <c r="AB139"/>
    </row>
    <row r="140" spans="1:28" s="749" customFormat="1" ht="24.95" customHeight="1" x14ac:dyDescent="0.35">
      <c r="A140" s="968">
        <v>45662</v>
      </c>
      <c r="B140" s="930" t="s">
        <v>683</v>
      </c>
      <c r="C140" s="925"/>
      <c r="D140" s="964" t="s">
        <v>92</v>
      </c>
      <c r="E140" s="964"/>
      <c r="F140" s="964"/>
      <c r="G140" s="964"/>
      <c r="H140" s="964" t="s">
        <v>720</v>
      </c>
      <c r="I140" s="965">
        <v>3500</v>
      </c>
      <c r="J140" s="965">
        <v>3500</v>
      </c>
      <c r="K140" s="1009"/>
      <c r="L140"/>
      <c r="M140"/>
      <c r="N140"/>
      <c r="O140"/>
      <c r="P140"/>
      <c r="Q140"/>
      <c r="R140"/>
      <c r="S140"/>
      <c r="T140"/>
      <c r="U140"/>
      <c r="V140"/>
      <c r="W140"/>
      <c r="X140"/>
      <c r="Y140"/>
      <c r="Z140"/>
      <c r="AA140"/>
      <c r="AB140"/>
    </row>
    <row r="141" spans="1:28" s="749" customFormat="1" ht="24.95" customHeight="1" x14ac:dyDescent="0.35">
      <c r="A141" s="968">
        <v>46042</v>
      </c>
      <c r="B141" s="930" t="s">
        <v>730</v>
      </c>
      <c r="C141" s="925"/>
      <c r="D141" s="964" t="s">
        <v>90</v>
      </c>
      <c r="E141" s="964"/>
      <c r="F141" s="964"/>
      <c r="G141" s="964"/>
      <c r="H141" s="964" t="s">
        <v>731</v>
      </c>
      <c r="I141" s="965">
        <v>78000</v>
      </c>
      <c r="J141" s="965">
        <v>78000</v>
      </c>
      <c r="K141" s="1009"/>
      <c r="L141"/>
      <c r="M141"/>
      <c r="N141"/>
      <c r="O141"/>
      <c r="P141"/>
      <c r="Q141"/>
      <c r="R141"/>
      <c r="S141"/>
      <c r="T141"/>
      <c r="U141"/>
      <c r="V141"/>
      <c r="W141"/>
      <c r="X141"/>
      <c r="Y141"/>
      <c r="Z141"/>
      <c r="AA141"/>
      <c r="AB141"/>
    </row>
    <row r="142" spans="1:28" s="749" customFormat="1" ht="24.95" customHeight="1" x14ac:dyDescent="0.35">
      <c r="A142" s="968">
        <v>46048</v>
      </c>
      <c r="B142" s="930" t="s">
        <v>155</v>
      </c>
      <c r="C142" s="925"/>
      <c r="D142" s="964" t="s">
        <v>94</v>
      </c>
      <c r="E142" s="964"/>
      <c r="F142" s="964"/>
      <c r="G142" s="964"/>
      <c r="H142" s="964" t="s">
        <v>818</v>
      </c>
      <c r="I142" s="965">
        <v>1425260</v>
      </c>
      <c r="J142" s="965">
        <v>1425260</v>
      </c>
      <c r="K142" s="1009"/>
      <c r="L142"/>
      <c r="M142"/>
      <c r="N142"/>
      <c r="O142"/>
      <c r="P142"/>
      <c r="Q142"/>
      <c r="R142"/>
      <c r="S142"/>
      <c r="T142"/>
      <c r="U142"/>
      <c r="V142"/>
      <c r="W142"/>
      <c r="X142"/>
      <c r="Y142"/>
      <c r="Z142"/>
      <c r="AA142"/>
      <c r="AB142"/>
    </row>
    <row r="143" spans="1:28" s="749" customFormat="1" ht="24.95" customHeight="1" x14ac:dyDescent="0.35">
      <c r="A143" s="968">
        <v>46051</v>
      </c>
      <c r="B143" s="930" t="s">
        <v>741</v>
      </c>
      <c r="C143" s="925"/>
      <c r="D143" s="964" t="s">
        <v>92</v>
      </c>
      <c r="E143" s="964"/>
      <c r="F143" s="964"/>
      <c r="G143" s="964"/>
      <c r="H143" s="964" t="s">
        <v>742</v>
      </c>
      <c r="I143" s="965">
        <v>99500</v>
      </c>
      <c r="J143" s="965">
        <v>99500</v>
      </c>
      <c r="K143" s="1009"/>
      <c r="L143"/>
      <c r="M143"/>
      <c r="N143"/>
      <c r="O143"/>
      <c r="P143"/>
      <c r="Q143"/>
      <c r="R143"/>
      <c r="S143"/>
      <c r="T143"/>
      <c r="U143"/>
      <c r="V143"/>
      <c r="W143"/>
      <c r="X143"/>
      <c r="Y143"/>
      <c r="Z143"/>
      <c r="AA143"/>
      <c r="AB143"/>
    </row>
    <row r="144" spans="1:28" s="749" customFormat="1" ht="24.95" customHeight="1" x14ac:dyDescent="0.35">
      <c r="A144" s="968">
        <v>46051</v>
      </c>
      <c r="B144" s="930" t="s">
        <v>741</v>
      </c>
      <c r="C144" s="925"/>
      <c r="D144" s="964" t="s">
        <v>92</v>
      </c>
      <c r="E144" s="964"/>
      <c r="F144" s="964"/>
      <c r="G144" s="964"/>
      <c r="H144" s="964" t="s">
        <v>743</v>
      </c>
      <c r="I144" s="965">
        <v>80000</v>
      </c>
      <c r="J144" s="965">
        <v>80000</v>
      </c>
      <c r="K144" s="1009"/>
      <c r="L144"/>
      <c r="M144"/>
      <c r="N144"/>
      <c r="O144"/>
      <c r="P144"/>
      <c r="Q144"/>
      <c r="R144"/>
      <c r="S144"/>
      <c r="T144"/>
      <c r="U144"/>
      <c r="V144"/>
      <c r="W144"/>
      <c r="X144"/>
      <c r="Y144"/>
      <c r="Z144"/>
      <c r="AA144"/>
      <c r="AB144"/>
    </row>
    <row r="145" spans="1:28" s="749" customFormat="1" ht="24.95" customHeight="1" x14ac:dyDescent="0.35">
      <c r="A145" s="968">
        <v>46057</v>
      </c>
      <c r="B145" s="930" t="s">
        <v>761</v>
      </c>
      <c r="C145" s="925"/>
      <c r="D145" s="964" t="s">
        <v>282</v>
      </c>
      <c r="E145" s="964"/>
      <c r="F145" s="964"/>
      <c r="G145" s="964"/>
      <c r="H145" s="964" t="s">
        <v>762</v>
      </c>
      <c r="I145" s="965">
        <v>8800</v>
      </c>
      <c r="J145" s="965">
        <v>8800</v>
      </c>
      <c r="K145" s="1009"/>
      <c r="L145"/>
      <c r="M145"/>
      <c r="N145"/>
      <c r="O145"/>
      <c r="P145"/>
      <c r="Q145"/>
      <c r="R145"/>
      <c r="S145"/>
      <c r="T145"/>
      <c r="U145"/>
      <c r="V145"/>
      <c r="W145"/>
      <c r="X145"/>
      <c r="Y145"/>
      <c r="Z145"/>
      <c r="AA145"/>
      <c r="AB145"/>
    </row>
    <row r="146" spans="1:28" s="749" customFormat="1" ht="24.95" customHeight="1" x14ac:dyDescent="0.35">
      <c r="A146" s="968" t="s">
        <v>421</v>
      </c>
      <c r="B146" s="930" t="s">
        <v>763</v>
      </c>
      <c r="C146" s="925"/>
      <c r="D146" s="964" t="s">
        <v>92</v>
      </c>
      <c r="E146" s="964"/>
      <c r="F146" s="964"/>
      <c r="G146" s="964"/>
      <c r="H146" s="964" t="s">
        <v>764</v>
      </c>
      <c r="I146" s="965" t="s">
        <v>419</v>
      </c>
      <c r="J146" s="965" t="s">
        <v>419</v>
      </c>
      <c r="K146" s="1009"/>
      <c r="L146"/>
      <c r="M146"/>
      <c r="N146"/>
      <c r="O146"/>
      <c r="P146"/>
      <c r="Q146"/>
      <c r="R146"/>
      <c r="S146"/>
      <c r="T146"/>
      <c r="U146"/>
      <c r="V146"/>
      <c r="W146"/>
      <c r="X146"/>
      <c r="Y146"/>
      <c r="Z146"/>
      <c r="AA146"/>
      <c r="AB146"/>
    </row>
    <row r="147" spans="1:28" s="749" customFormat="1" ht="24.95" customHeight="1" x14ac:dyDescent="0.35">
      <c r="A147" s="968">
        <v>46057</v>
      </c>
      <c r="B147" s="930" t="s">
        <v>765</v>
      </c>
      <c r="C147" s="925"/>
      <c r="D147" s="964" t="s">
        <v>92</v>
      </c>
      <c r="E147" s="964"/>
      <c r="F147" s="964"/>
      <c r="G147" s="964"/>
      <c r="H147" s="964" t="s">
        <v>766</v>
      </c>
      <c r="I147" s="965" t="s">
        <v>419</v>
      </c>
      <c r="J147" s="965" t="s">
        <v>419</v>
      </c>
      <c r="K147" s="1009"/>
      <c r="L147"/>
      <c r="M147"/>
      <c r="N147"/>
      <c r="O147"/>
      <c r="P147"/>
      <c r="Q147"/>
      <c r="R147"/>
      <c r="S147"/>
      <c r="T147"/>
      <c r="U147"/>
      <c r="V147"/>
      <c r="W147"/>
      <c r="X147"/>
      <c r="Y147"/>
      <c r="Z147"/>
      <c r="AA147"/>
      <c r="AB147"/>
    </row>
    <row r="148" spans="1:28" s="749" customFormat="1" ht="24.95" customHeight="1" x14ac:dyDescent="0.35">
      <c r="A148" s="968">
        <v>46057</v>
      </c>
      <c r="B148" s="930" t="s">
        <v>765</v>
      </c>
      <c r="C148" s="925"/>
      <c r="D148" s="964" t="s">
        <v>92</v>
      </c>
      <c r="E148" s="964"/>
      <c r="F148" s="964"/>
      <c r="G148" s="964"/>
      <c r="H148" s="964" t="s">
        <v>767</v>
      </c>
      <c r="I148" s="965" t="s">
        <v>419</v>
      </c>
      <c r="J148" s="965" t="s">
        <v>419</v>
      </c>
      <c r="K148" s="1009"/>
      <c r="L148"/>
      <c r="M148"/>
      <c r="N148"/>
      <c r="O148"/>
      <c r="P148"/>
      <c r="Q148"/>
      <c r="R148"/>
      <c r="S148"/>
      <c r="T148"/>
      <c r="U148"/>
      <c r="V148"/>
      <c r="W148"/>
      <c r="X148"/>
      <c r="Y148"/>
      <c r="Z148"/>
      <c r="AA148"/>
      <c r="AB148"/>
    </row>
    <row r="149" spans="1:28" s="749" customFormat="1" ht="24.95" customHeight="1" x14ac:dyDescent="0.35">
      <c r="A149" s="968">
        <v>46057</v>
      </c>
      <c r="B149" s="930" t="s">
        <v>770</v>
      </c>
      <c r="C149" s="925"/>
      <c r="D149" s="964" t="s">
        <v>92</v>
      </c>
      <c r="E149" s="964"/>
      <c r="F149" s="964"/>
      <c r="G149" s="964"/>
      <c r="H149" s="964" t="s">
        <v>771</v>
      </c>
      <c r="I149" s="965">
        <v>17500</v>
      </c>
      <c r="J149" s="965">
        <v>17500</v>
      </c>
      <c r="K149" s="1009" t="s">
        <v>478</v>
      </c>
      <c r="L149"/>
      <c r="M149"/>
      <c r="N149"/>
      <c r="O149"/>
      <c r="P149"/>
      <c r="Q149"/>
      <c r="R149"/>
      <c r="S149"/>
      <c r="T149"/>
      <c r="U149"/>
      <c r="V149"/>
      <c r="W149"/>
      <c r="X149"/>
      <c r="Y149"/>
      <c r="Z149"/>
      <c r="AA149"/>
      <c r="AB149"/>
    </row>
    <row r="150" spans="1:28" s="749" customFormat="1" ht="24.95" customHeight="1" x14ac:dyDescent="0.35">
      <c r="A150" s="968"/>
      <c r="B150" s="930" t="s">
        <v>772</v>
      </c>
      <c r="C150" s="925"/>
      <c r="D150" s="964" t="s">
        <v>92</v>
      </c>
      <c r="E150" s="964"/>
      <c r="F150" s="964"/>
      <c r="G150" s="964"/>
      <c r="H150" s="964" t="s">
        <v>773</v>
      </c>
      <c r="I150" s="965">
        <v>39895</v>
      </c>
      <c r="J150" s="965">
        <v>39895</v>
      </c>
      <c r="K150" s="1009"/>
      <c r="L150"/>
      <c r="M150"/>
      <c r="N150"/>
      <c r="O150"/>
      <c r="P150"/>
      <c r="Q150"/>
      <c r="R150"/>
      <c r="S150"/>
      <c r="T150"/>
      <c r="U150"/>
      <c r="V150"/>
      <c r="W150"/>
      <c r="X150"/>
      <c r="Y150"/>
      <c r="Z150"/>
      <c r="AA150"/>
      <c r="AB150"/>
    </row>
    <row r="151" spans="1:28" s="749" customFormat="1" ht="24.95" customHeight="1" x14ac:dyDescent="0.35">
      <c r="A151" s="968">
        <v>46071</v>
      </c>
      <c r="B151" s="930" t="s">
        <v>772</v>
      </c>
      <c r="C151" s="925"/>
      <c r="D151" s="964" t="s">
        <v>92</v>
      </c>
      <c r="E151" s="964"/>
      <c r="F151" s="964"/>
      <c r="G151" s="964"/>
      <c r="H151" s="964" t="s">
        <v>787</v>
      </c>
      <c r="I151" s="965">
        <v>25036</v>
      </c>
      <c r="J151" s="965">
        <v>25036</v>
      </c>
      <c r="K151" s="1009"/>
      <c r="L151"/>
      <c r="M151"/>
      <c r="N151"/>
      <c r="O151"/>
      <c r="P151"/>
      <c r="Q151"/>
      <c r="R151"/>
      <c r="S151"/>
      <c r="T151"/>
      <c r="U151"/>
      <c r="V151"/>
      <c r="W151"/>
      <c r="X151"/>
      <c r="Y151"/>
      <c r="Z151"/>
      <c r="AA151"/>
      <c r="AB151"/>
    </row>
    <row r="152" spans="1:28" s="749" customFormat="1" ht="24.95" customHeight="1" x14ac:dyDescent="0.35">
      <c r="A152" s="968">
        <v>46119</v>
      </c>
      <c r="B152" s="930" t="s">
        <v>772</v>
      </c>
      <c r="C152" s="925"/>
      <c r="D152" s="964" t="s">
        <v>92</v>
      </c>
      <c r="E152" s="964"/>
      <c r="F152" s="964"/>
      <c r="G152" s="964"/>
      <c r="H152" s="964" t="s">
        <v>856</v>
      </c>
      <c r="I152" s="965">
        <v>23194</v>
      </c>
      <c r="J152" s="965">
        <v>23194</v>
      </c>
      <c r="K152" s="1009"/>
      <c r="L152"/>
      <c r="M152"/>
      <c r="N152"/>
      <c r="O152"/>
      <c r="P152"/>
      <c r="Q152"/>
      <c r="R152"/>
      <c r="S152"/>
      <c r="T152"/>
      <c r="U152"/>
      <c r="V152"/>
      <c r="W152"/>
      <c r="X152"/>
      <c r="Y152"/>
      <c r="Z152"/>
      <c r="AA152"/>
      <c r="AB152"/>
    </row>
    <row r="153" spans="1:28" s="749" customFormat="1" ht="24.95" customHeight="1" x14ac:dyDescent="0.35">
      <c r="A153" s="968">
        <v>46140</v>
      </c>
      <c r="B153" s="930" t="s">
        <v>772</v>
      </c>
      <c r="C153" s="925"/>
      <c r="D153" s="964" t="s">
        <v>92</v>
      </c>
      <c r="E153" s="964"/>
      <c r="F153" s="964"/>
      <c r="G153" s="964"/>
      <c r="H153" s="964" t="s">
        <v>857</v>
      </c>
      <c r="I153" s="965">
        <v>70381.600000000006</v>
      </c>
      <c r="J153" s="965">
        <v>70381.600000000006</v>
      </c>
      <c r="K153" s="1009"/>
      <c r="L153"/>
      <c r="M153"/>
      <c r="N153"/>
      <c r="O153"/>
      <c r="P153"/>
      <c r="Q153"/>
      <c r="R153"/>
      <c r="S153"/>
      <c r="T153"/>
      <c r="U153"/>
      <c r="V153"/>
      <c r="W153"/>
      <c r="X153"/>
      <c r="Y153"/>
      <c r="Z153"/>
      <c r="AA153"/>
      <c r="AB153"/>
    </row>
    <row r="154" spans="1:28" s="749" customFormat="1" ht="24.95" customHeight="1" x14ac:dyDescent="0.35">
      <c r="A154" s="968">
        <v>46168</v>
      </c>
      <c r="B154" s="930" t="s">
        <v>772</v>
      </c>
      <c r="C154" s="925"/>
      <c r="D154" s="964" t="s">
        <v>92</v>
      </c>
      <c r="E154" s="964"/>
      <c r="F154" s="964"/>
      <c r="G154" s="964"/>
      <c r="H154" s="964" t="s">
        <v>883</v>
      </c>
      <c r="I154" s="965">
        <v>20472.55</v>
      </c>
      <c r="J154" s="965">
        <v>20472.55</v>
      </c>
      <c r="K154" s="1009"/>
      <c r="L154"/>
      <c r="M154"/>
      <c r="N154"/>
      <c r="O154"/>
      <c r="P154"/>
      <c r="Q154"/>
      <c r="R154"/>
      <c r="S154"/>
      <c r="T154"/>
      <c r="U154"/>
      <c r="V154"/>
      <c r="W154"/>
      <c r="X154"/>
      <c r="Y154"/>
      <c r="Z154"/>
      <c r="AA154"/>
      <c r="AB154"/>
    </row>
    <row r="155" spans="1:28" s="749" customFormat="1" ht="24.95" customHeight="1" x14ac:dyDescent="0.35">
      <c r="A155" s="968">
        <v>46168</v>
      </c>
      <c r="B155" s="930" t="s">
        <v>772</v>
      </c>
      <c r="C155" s="925"/>
      <c r="D155" s="964" t="s">
        <v>92</v>
      </c>
      <c r="E155" s="964"/>
      <c r="F155" s="964"/>
      <c r="G155" s="964"/>
      <c r="H155" s="964" t="s">
        <v>884</v>
      </c>
      <c r="I155" s="965">
        <v>19454.650000000001</v>
      </c>
      <c r="J155" s="965">
        <v>19454.650000000001</v>
      </c>
      <c r="K155" s="1009"/>
      <c r="L155"/>
      <c r="M155"/>
      <c r="N155"/>
      <c r="O155"/>
      <c r="P155"/>
      <c r="Q155"/>
      <c r="R155"/>
      <c r="S155"/>
      <c r="T155"/>
      <c r="U155"/>
      <c r="V155"/>
      <c r="W155"/>
      <c r="X155"/>
      <c r="Y155"/>
      <c r="Z155"/>
      <c r="AA155"/>
      <c r="AB155"/>
    </row>
    <row r="156" spans="1:28" s="749" customFormat="1" ht="24.95" customHeight="1" x14ac:dyDescent="0.35">
      <c r="A156" s="968">
        <v>46059</v>
      </c>
      <c r="B156" s="930" t="s">
        <v>775</v>
      </c>
      <c r="C156" s="925"/>
      <c r="D156" s="964" t="s">
        <v>92</v>
      </c>
      <c r="E156" s="964"/>
      <c r="F156" s="964"/>
      <c r="G156" s="964"/>
      <c r="H156" s="964" t="s">
        <v>776</v>
      </c>
      <c r="I156" s="965" t="s">
        <v>419</v>
      </c>
      <c r="J156" s="965" t="s">
        <v>419</v>
      </c>
      <c r="K156" s="1009"/>
      <c r="L156"/>
      <c r="M156"/>
      <c r="N156"/>
      <c r="O156"/>
      <c r="P156"/>
      <c r="Q156"/>
      <c r="R156"/>
      <c r="S156"/>
      <c r="T156"/>
      <c r="U156"/>
      <c r="V156"/>
      <c r="W156"/>
      <c r="X156"/>
      <c r="Y156"/>
      <c r="Z156"/>
      <c r="AA156"/>
      <c r="AB156"/>
    </row>
    <row r="157" spans="1:28" s="749" customFormat="1" ht="24.95" customHeight="1" x14ac:dyDescent="0.35">
      <c r="A157" s="968"/>
      <c r="B157" s="930" t="s">
        <v>777</v>
      </c>
      <c r="C157" s="925"/>
      <c r="D157" s="964" t="s">
        <v>92</v>
      </c>
      <c r="E157" s="964"/>
      <c r="F157" s="964"/>
      <c r="G157" s="964"/>
      <c r="H157" s="964" t="s">
        <v>778</v>
      </c>
      <c r="I157" s="965" t="s">
        <v>419</v>
      </c>
      <c r="J157" s="965" t="s">
        <v>419</v>
      </c>
      <c r="K157" s="1009"/>
      <c r="L157"/>
      <c r="M157"/>
      <c r="N157"/>
      <c r="O157"/>
      <c r="P157"/>
      <c r="Q157"/>
      <c r="R157"/>
      <c r="S157"/>
      <c r="T157"/>
      <c r="U157"/>
      <c r="V157"/>
      <c r="W157"/>
      <c r="X157"/>
      <c r="Y157"/>
      <c r="Z157"/>
      <c r="AA157"/>
      <c r="AB157"/>
    </row>
    <row r="158" spans="1:28" s="749" customFormat="1" ht="24.95" customHeight="1" x14ac:dyDescent="0.35">
      <c r="A158" s="968">
        <v>46063</v>
      </c>
      <c r="B158" s="930" t="s">
        <v>777</v>
      </c>
      <c r="C158" s="925"/>
      <c r="D158" s="964" t="s">
        <v>92</v>
      </c>
      <c r="E158" s="964"/>
      <c r="F158" s="964"/>
      <c r="G158" s="964"/>
      <c r="H158" s="964" t="s">
        <v>779</v>
      </c>
      <c r="I158" s="965" t="s">
        <v>419</v>
      </c>
      <c r="J158" s="965" t="s">
        <v>419</v>
      </c>
      <c r="K158" s="1009"/>
      <c r="L158"/>
      <c r="M158"/>
      <c r="N158"/>
      <c r="O158"/>
      <c r="P158"/>
      <c r="Q158"/>
      <c r="R158"/>
      <c r="S158"/>
      <c r="T158"/>
      <c r="U158"/>
      <c r="V158"/>
      <c r="W158"/>
      <c r="X158"/>
      <c r="Y158"/>
      <c r="Z158"/>
      <c r="AA158"/>
      <c r="AB158"/>
    </row>
    <row r="159" spans="1:28" s="749" customFormat="1" ht="24.95" customHeight="1" x14ac:dyDescent="0.35">
      <c r="A159" s="968">
        <v>46063</v>
      </c>
      <c r="B159" s="930" t="s">
        <v>777</v>
      </c>
      <c r="C159" s="925"/>
      <c r="D159" s="964" t="s">
        <v>92</v>
      </c>
      <c r="E159" s="964"/>
      <c r="F159" s="964"/>
      <c r="G159" s="964"/>
      <c r="H159" s="964" t="s">
        <v>843</v>
      </c>
      <c r="I159" s="965" t="s">
        <v>419</v>
      </c>
      <c r="J159" s="965" t="s">
        <v>419</v>
      </c>
      <c r="K159" s="1009"/>
      <c r="L159"/>
      <c r="M159"/>
      <c r="N159"/>
      <c r="O159"/>
      <c r="P159"/>
      <c r="Q159"/>
      <c r="R159"/>
      <c r="S159"/>
      <c r="T159"/>
      <c r="U159"/>
      <c r="V159"/>
      <c r="W159"/>
      <c r="X159"/>
      <c r="Y159"/>
      <c r="Z159"/>
      <c r="AA159"/>
      <c r="AB159"/>
    </row>
    <row r="160" spans="1:28" s="749" customFormat="1" ht="24.95" customHeight="1" x14ac:dyDescent="0.35">
      <c r="A160" s="968">
        <v>46160</v>
      </c>
      <c r="B160" s="930" t="s">
        <v>777</v>
      </c>
      <c r="C160" s="925"/>
      <c r="D160" s="964" t="s">
        <v>92</v>
      </c>
      <c r="E160" s="964"/>
      <c r="F160" s="964"/>
      <c r="G160" s="964"/>
      <c r="H160" s="964" t="s">
        <v>864</v>
      </c>
      <c r="I160" s="965">
        <v>6400</v>
      </c>
      <c r="J160" s="965">
        <v>6400</v>
      </c>
      <c r="K160" s="1009"/>
      <c r="L160"/>
      <c r="M160"/>
      <c r="N160"/>
      <c r="O160"/>
      <c r="P160"/>
      <c r="Q160"/>
      <c r="R160"/>
      <c r="S160"/>
      <c r="T160"/>
      <c r="U160"/>
      <c r="V160"/>
      <c r="W160"/>
      <c r="X160"/>
      <c r="Y160"/>
      <c r="Z160"/>
      <c r="AA160"/>
      <c r="AB160"/>
    </row>
    <row r="161" spans="1:28" s="1005" customFormat="1" ht="24.95" customHeight="1" x14ac:dyDescent="0.25">
      <c r="A161" s="1000"/>
      <c r="B161" s="1007" t="s">
        <v>782</v>
      </c>
      <c r="C161" s="1002"/>
      <c r="D161" s="1003" t="s">
        <v>92</v>
      </c>
      <c r="E161" s="1003"/>
      <c r="F161" s="1003" t="s">
        <v>795</v>
      </c>
      <c r="G161" s="1003"/>
      <c r="H161" s="1003" t="s">
        <v>783</v>
      </c>
      <c r="I161" s="1004">
        <v>71420</v>
      </c>
      <c r="J161" s="1004"/>
      <c r="K161" s="1002" t="s">
        <v>908</v>
      </c>
      <c r="L161" s="1006"/>
      <c r="M161" s="1006"/>
      <c r="N161" s="1006"/>
      <c r="O161" s="1006"/>
      <c r="P161" s="1006"/>
      <c r="Q161" s="1006"/>
      <c r="R161" s="1006"/>
      <c r="S161" s="1006"/>
      <c r="T161" s="1006"/>
      <c r="U161" s="1006"/>
      <c r="V161" s="1006"/>
      <c r="W161" s="1006"/>
      <c r="X161" s="1006"/>
      <c r="Y161" s="1006"/>
      <c r="Z161" s="1006"/>
      <c r="AA161" s="1006"/>
      <c r="AB161" s="1006"/>
    </row>
    <row r="162" spans="1:28" s="749" customFormat="1" ht="24.95" customHeight="1" x14ac:dyDescent="0.35">
      <c r="A162" s="968">
        <v>46069</v>
      </c>
      <c r="B162" s="986" t="s">
        <v>785</v>
      </c>
      <c r="C162" s="925"/>
      <c r="D162" s="964" t="s">
        <v>92</v>
      </c>
      <c r="E162" s="964"/>
      <c r="F162" s="964"/>
      <c r="G162" s="964"/>
      <c r="H162" s="964" t="s">
        <v>788</v>
      </c>
      <c r="I162" s="965">
        <v>1800</v>
      </c>
      <c r="J162" s="965">
        <v>1800</v>
      </c>
      <c r="K162" s="1009"/>
      <c r="L162"/>
      <c r="M162"/>
      <c r="N162"/>
      <c r="O162"/>
      <c r="P162"/>
      <c r="Q162"/>
      <c r="R162"/>
      <c r="S162"/>
      <c r="T162"/>
      <c r="U162"/>
      <c r="V162"/>
      <c r="W162"/>
      <c r="X162"/>
      <c r="Y162"/>
      <c r="Z162"/>
      <c r="AA162"/>
      <c r="AB162"/>
    </row>
    <row r="163" spans="1:28" s="749" customFormat="1" ht="24.95" customHeight="1" x14ac:dyDescent="0.35">
      <c r="A163" s="968"/>
      <c r="B163" s="986" t="s">
        <v>822</v>
      </c>
      <c r="C163" s="925"/>
      <c r="D163" s="964" t="s">
        <v>92</v>
      </c>
      <c r="E163" s="964"/>
      <c r="F163" s="964"/>
      <c r="G163" s="964"/>
      <c r="H163" s="964" t="s">
        <v>823</v>
      </c>
      <c r="I163" s="965">
        <v>8815</v>
      </c>
      <c r="J163" s="965">
        <v>8815</v>
      </c>
      <c r="K163" s="1009"/>
      <c r="L163"/>
      <c r="M163"/>
      <c r="N163"/>
      <c r="O163"/>
      <c r="P163"/>
      <c r="Q163"/>
      <c r="R163"/>
      <c r="S163"/>
      <c r="T163"/>
      <c r="U163"/>
      <c r="V163"/>
      <c r="W163"/>
      <c r="X163"/>
      <c r="Y163"/>
      <c r="Z163"/>
      <c r="AA163"/>
      <c r="AB163"/>
    </row>
    <row r="164" spans="1:28" s="749" customFormat="1" ht="24.95" customHeight="1" x14ac:dyDescent="0.35">
      <c r="A164" s="968"/>
      <c r="B164" s="986" t="s">
        <v>785</v>
      </c>
      <c r="C164" s="925"/>
      <c r="D164" s="964" t="s">
        <v>92</v>
      </c>
      <c r="E164" s="964"/>
      <c r="F164" s="964"/>
      <c r="G164" s="964"/>
      <c r="H164" s="964" t="s">
        <v>826</v>
      </c>
      <c r="I164" s="965">
        <v>20560</v>
      </c>
      <c r="J164" s="965">
        <v>20560</v>
      </c>
      <c r="K164" s="1009" t="s">
        <v>912</v>
      </c>
      <c r="L164"/>
      <c r="M164"/>
      <c r="N164"/>
      <c r="O164"/>
      <c r="P164"/>
      <c r="Q164"/>
      <c r="R164"/>
      <c r="S164"/>
      <c r="T164"/>
      <c r="U164"/>
      <c r="V164"/>
      <c r="W164"/>
      <c r="X164"/>
      <c r="Y164"/>
      <c r="Z164"/>
      <c r="AA164"/>
      <c r="AB164"/>
    </row>
    <row r="165" spans="1:28" s="749" customFormat="1" ht="24.95" customHeight="1" x14ac:dyDescent="0.35">
      <c r="A165" s="968"/>
      <c r="B165" s="986" t="s">
        <v>785</v>
      </c>
      <c r="C165" s="925"/>
      <c r="D165" s="964" t="s">
        <v>92</v>
      </c>
      <c r="E165" s="964"/>
      <c r="F165" s="964"/>
      <c r="G165" s="964"/>
      <c r="H165" s="964" t="s">
        <v>827</v>
      </c>
      <c r="I165" s="965">
        <v>4340</v>
      </c>
      <c r="J165" s="965">
        <v>4340</v>
      </c>
      <c r="K165" s="1009" t="s">
        <v>912</v>
      </c>
      <c r="L165"/>
      <c r="M165"/>
      <c r="N165"/>
      <c r="O165"/>
      <c r="P165"/>
      <c r="Q165"/>
      <c r="R165"/>
      <c r="S165"/>
      <c r="T165"/>
      <c r="U165"/>
      <c r="V165"/>
      <c r="W165"/>
      <c r="X165"/>
      <c r="Y165"/>
      <c r="Z165"/>
      <c r="AA165"/>
      <c r="AB165"/>
    </row>
    <row r="166" spans="1:28" s="749" customFormat="1" ht="24.95" customHeight="1" x14ac:dyDescent="0.35">
      <c r="A166" s="968"/>
      <c r="B166" s="986" t="s">
        <v>785</v>
      </c>
      <c r="C166" s="925"/>
      <c r="D166" s="964" t="s">
        <v>92</v>
      </c>
      <c r="E166" s="964"/>
      <c r="F166" s="964"/>
      <c r="G166" s="964"/>
      <c r="H166" s="964" t="s">
        <v>899</v>
      </c>
      <c r="I166" s="965">
        <v>2689</v>
      </c>
      <c r="J166" s="965">
        <v>2689</v>
      </c>
      <c r="K166" s="1009"/>
      <c r="L166"/>
      <c r="M166"/>
      <c r="N166"/>
      <c r="O166"/>
      <c r="P166"/>
      <c r="Q166"/>
      <c r="R166"/>
      <c r="S166"/>
      <c r="T166"/>
      <c r="U166"/>
      <c r="V166"/>
      <c r="W166"/>
      <c r="X166"/>
      <c r="Y166"/>
      <c r="Z166"/>
      <c r="AA166"/>
      <c r="AB166"/>
    </row>
    <row r="167" spans="1:28" s="749" customFormat="1" ht="24.95" customHeight="1" x14ac:dyDescent="0.35">
      <c r="A167" s="968">
        <v>46205</v>
      </c>
      <c r="B167" s="986" t="s">
        <v>785</v>
      </c>
      <c r="C167" s="925"/>
      <c r="D167" s="964" t="s">
        <v>92</v>
      </c>
      <c r="E167" s="964"/>
      <c r="F167" s="964"/>
      <c r="G167" s="964"/>
      <c r="H167" s="964" t="s">
        <v>916</v>
      </c>
      <c r="I167" s="965">
        <v>7560</v>
      </c>
      <c r="J167" s="965">
        <v>7560</v>
      </c>
      <c r="K167" s="1009"/>
      <c r="L167"/>
      <c r="M167"/>
      <c r="N167"/>
      <c r="O167"/>
      <c r="P167"/>
      <c r="Q167"/>
      <c r="R167"/>
      <c r="S167"/>
      <c r="T167"/>
      <c r="U167"/>
      <c r="V167"/>
      <c r="W167"/>
      <c r="X167"/>
      <c r="Y167"/>
      <c r="Z167"/>
      <c r="AA167"/>
      <c r="AB167"/>
    </row>
    <row r="168" spans="1:28" s="749" customFormat="1" ht="24.95" customHeight="1" x14ac:dyDescent="0.35">
      <c r="A168" s="968">
        <v>46209</v>
      </c>
      <c r="B168" s="986" t="s">
        <v>785</v>
      </c>
      <c r="C168" s="925"/>
      <c r="D168" s="964" t="s">
        <v>92</v>
      </c>
      <c r="E168" s="964"/>
      <c r="F168" s="964"/>
      <c r="G168" s="964"/>
      <c r="H168" s="964" t="s">
        <v>929</v>
      </c>
      <c r="I168" s="965">
        <v>8230</v>
      </c>
      <c r="J168" s="965">
        <v>8230</v>
      </c>
      <c r="K168" s="1009"/>
      <c r="L168"/>
      <c r="M168"/>
      <c r="N168"/>
      <c r="O168"/>
      <c r="P168"/>
      <c r="Q168"/>
      <c r="R168"/>
      <c r="S168"/>
      <c r="T168"/>
      <c r="U168"/>
      <c r="V168"/>
      <c r="W168"/>
      <c r="X168"/>
      <c r="Y168"/>
      <c r="Z168"/>
      <c r="AA168"/>
      <c r="AB168"/>
    </row>
    <row r="169" spans="1:28" s="749" customFormat="1" ht="24.95" customHeight="1" x14ac:dyDescent="0.35">
      <c r="A169" s="968">
        <v>46071</v>
      </c>
      <c r="B169" s="986" t="s">
        <v>789</v>
      </c>
      <c r="C169" s="925"/>
      <c r="D169" s="964" t="s">
        <v>92</v>
      </c>
      <c r="E169" s="964"/>
      <c r="F169" s="964"/>
      <c r="G169" s="964"/>
      <c r="H169" s="964" t="s">
        <v>790</v>
      </c>
      <c r="I169" s="965">
        <v>254750</v>
      </c>
      <c r="J169" s="965">
        <v>254750</v>
      </c>
      <c r="K169" s="1009"/>
      <c r="L169"/>
      <c r="M169"/>
      <c r="N169"/>
      <c r="O169"/>
      <c r="P169"/>
      <c r="Q169"/>
      <c r="R169"/>
      <c r="S169"/>
      <c r="T169"/>
      <c r="U169"/>
      <c r="V169"/>
      <c r="W169"/>
      <c r="X169"/>
      <c r="Y169"/>
      <c r="Z169"/>
      <c r="AA169"/>
      <c r="AB169"/>
    </row>
    <row r="170" spans="1:28" s="749" customFormat="1" ht="24.95" customHeight="1" x14ac:dyDescent="0.35">
      <c r="A170" s="968"/>
      <c r="B170" s="986" t="s">
        <v>798</v>
      </c>
      <c r="C170" s="925"/>
      <c r="D170" s="964" t="s">
        <v>92</v>
      </c>
      <c r="E170" s="964"/>
      <c r="F170" s="964"/>
      <c r="G170" s="964"/>
      <c r="H170" s="964" t="s">
        <v>799</v>
      </c>
      <c r="I170" s="965" t="s">
        <v>419</v>
      </c>
      <c r="J170" s="965" t="s">
        <v>419</v>
      </c>
      <c r="K170" s="1009"/>
      <c r="L170"/>
      <c r="M170"/>
      <c r="N170"/>
      <c r="O170"/>
      <c r="P170"/>
      <c r="Q170"/>
      <c r="R170"/>
      <c r="S170"/>
      <c r="T170"/>
      <c r="U170"/>
      <c r="V170"/>
      <c r="W170"/>
      <c r="X170"/>
      <c r="Y170"/>
      <c r="Z170"/>
      <c r="AA170"/>
      <c r="AB170"/>
    </row>
    <row r="171" spans="1:28" s="749" customFormat="1" ht="24.95" customHeight="1" x14ac:dyDescent="0.35">
      <c r="A171" s="968">
        <v>46084</v>
      </c>
      <c r="B171" s="986" t="s">
        <v>430</v>
      </c>
      <c r="C171" s="925"/>
      <c r="D171" s="964" t="s">
        <v>92</v>
      </c>
      <c r="E171" s="964"/>
      <c r="F171" s="964"/>
      <c r="G171" s="964"/>
      <c r="H171" s="964" t="s">
        <v>807</v>
      </c>
      <c r="I171" s="965">
        <v>79500</v>
      </c>
      <c r="J171" s="965">
        <v>79500</v>
      </c>
      <c r="K171" s="1009"/>
      <c r="L171"/>
      <c r="M171"/>
      <c r="N171"/>
      <c r="O171"/>
      <c r="P171"/>
      <c r="Q171"/>
      <c r="R171"/>
      <c r="S171"/>
      <c r="T171"/>
      <c r="U171"/>
      <c r="V171"/>
      <c r="W171"/>
      <c r="X171"/>
      <c r="Y171"/>
      <c r="Z171"/>
      <c r="AA171"/>
      <c r="AB171"/>
    </row>
    <row r="172" spans="1:28" s="749" customFormat="1" ht="24.95" customHeight="1" x14ac:dyDescent="0.35">
      <c r="A172" s="968">
        <v>46083</v>
      </c>
      <c r="B172" s="986" t="s">
        <v>808</v>
      </c>
      <c r="C172" s="925"/>
      <c r="D172" s="964" t="s">
        <v>92</v>
      </c>
      <c r="E172" s="964"/>
      <c r="F172" s="964"/>
      <c r="G172" s="964"/>
      <c r="H172" s="964" t="s">
        <v>809</v>
      </c>
      <c r="I172" s="965">
        <v>30500</v>
      </c>
      <c r="J172" s="965">
        <v>30500</v>
      </c>
      <c r="K172" s="1009" t="s">
        <v>478</v>
      </c>
      <c r="L172"/>
      <c r="M172"/>
      <c r="N172"/>
      <c r="O172"/>
      <c r="P172"/>
      <c r="Q172"/>
      <c r="R172"/>
      <c r="S172"/>
      <c r="T172"/>
      <c r="U172"/>
      <c r="V172"/>
      <c r="W172"/>
      <c r="X172"/>
      <c r="Y172"/>
      <c r="Z172"/>
      <c r="AA172"/>
      <c r="AB172"/>
    </row>
    <row r="173" spans="1:28" s="749" customFormat="1" ht="24.95" customHeight="1" x14ac:dyDescent="0.35">
      <c r="A173" s="968">
        <v>46087</v>
      </c>
      <c r="B173" s="986" t="s">
        <v>808</v>
      </c>
      <c r="C173" s="925"/>
      <c r="D173" s="964" t="s">
        <v>92</v>
      </c>
      <c r="E173" s="964"/>
      <c r="F173" s="964"/>
      <c r="G173" s="964"/>
      <c r="H173" s="964" t="s">
        <v>863</v>
      </c>
      <c r="I173" s="965">
        <v>19500</v>
      </c>
      <c r="J173" s="965">
        <v>19500</v>
      </c>
      <c r="K173" s="1009" t="s">
        <v>478</v>
      </c>
      <c r="L173"/>
      <c r="M173"/>
      <c r="N173"/>
      <c r="O173"/>
      <c r="P173"/>
      <c r="Q173"/>
      <c r="R173"/>
      <c r="S173"/>
      <c r="T173"/>
      <c r="U173"/>
      <c r="V173"/>
      <c r="W173"/>
      <c r="X173"/>
      <c r="Y173"/>
      <c r="Z173"/>
      <c r="AA173"/>
      <c r="AB173"/>
    </row>
    <row r="174" spans="1:28" s="749" customFormat="1" ht="24.95" customHeight="1" x14ac:dyDescent="0.35">
      <c r="A174" s="968">
        <v>46093</v>
      </c>
      <c r="B174" s="986" t="s">
        <v>828</v>
      </c>
      <c r="C174" s="925"/>
      <c r="D174" s="964" t="s">
        <v>92</v>
      </c>
      <c r="E174" s="964"/>
      <c r="F174" s="964"/>
      <c r="G174" s="964"/>
      <c r="H174" s="964" t="s">
        <v>829</v>
      </c>
      <c r="I174" s="965">
        <v>2750</v>
      </c>
      <c r="J174" s="965">
        <v>2750</v>
      </c>
      <c r="K174" s="1009"/>
      <c r="L174"/>
      <c r="M174"/>
      <c r="N174"/>
      <c r="O174"/>
      <c r="P174"/>
      <c r="Q174"/>
      <c r="R174"/>
      <c r="S174"/>
      <c r="T174"/>
      <c r="U174"/>
      <c r="V174"/>
      <c r="W174"/>
      <c r="X174"/>
      <c r="Y174"/>
      <c r="Z174"/>
      <c r="AA174"/>
      <c r="AB174"/>
    </row>
    <row r="175" spans="1:28" s="749" customFormat="1" ht="24.95" customHeight="1" x14ac:dyDescent="0.35">
      <c r="A175" s="968">
        <v>46107</v>
      </c>
      <c r="B175" s="986" t="s">
        <v>838</v>
      </c>
      <c r="C175" s="925"/>
      <c r="D175" s="964" t="s">
        <v>92</v>
      </c>
      <c r="E175" s="964"/>
      <c r="F175" s="964"/>
      <c r="G175" s="964"/>
      <c r="H175" s="964" t="s">
        <v>839</v>
      </c>
      <c r="I175" s="965" t="s">
        <v>419</v>
      </c>
      <c r="J175" s="965" t="s">
        <v>419</v>
      </c>
      <c r="K175" s="1009"/>
      <c r="L175"/>
      <c r="M175"/>
      <c r="N175"/>
      <c r="O175"/>
      <c r="P175"/>
      <c r="Q175"/>
      <c r="R175"/>
      <c r="S175"/>
      <c r="T175"/>
      <c r="U175"/>
      <c r="V175"/>
      <c r="W175"/>
      <c r="X175"/>
      <c r="Y175"/>
      <c r="Z175"/>
      <c r="AA175"/>
      <c r="AB175"/>
    </row>
    <row r="176" spans="1:28" s="749" customFormat="1" ht="24.95" customHeight="1" x14ac:dyDescent="0.35">
      <c r="A176" s="968">
        <v>46111</v>
      </c>
      <c r="B176" s="986" t="s">
        <v>844</v>
      </c>
      <c r="C176" s="925"/>
      <c r="D176" s="964" t="s">
        <v>92</v>
      </c>
      <c r="E176" s="964"/>
      <c r="F176" s="964"/>
      <c r="G176" s="964"/>
      <c r="H176" s="964" t="s">
        <v>845</v>
      </c>
      <c r="I176" s="965">
        <v>24000</v>
      </c>
      <c r="J176" s="965">
        <v>24000</v>
      </c>
      <c r="K176" s="1009"/>
      <c r="L176"/>
      <c r="M176"/>
      <c r="N176"/>
      <c r="O176"/>
      <c r="P176"/>
      <c r="Q176"/>
      <c r="R176"/>
      <c r="S176"/>
      <c r="T176"/>
      <c r="U176"/>
      <c r="V176"/>
      <c r="W176"/>
      <c r="X176"/>
      <c r="Y176"/>
      <c r="Z176"/>
      <c r="AA176"/>
      <c r="AB176"/>
    </row>
    <row r="177" spans="1:28" s="1005" customFormat="1" ht="24.95" customHeight="1" x14ac:dyDescent="0.25">
      <c r="A177" s="1000">
        <v>46228</v>
      </c>
      <c r="B177" s="1001" t="s">
        <v>844</v>
      </c>
      <c r="C177" s="1002"/>
      <c r="D177" s="1003" t="s">
        <v>92</v>
      </c>
      <c r="E177" s="1003"/>
      <c r="F177" s="1003"/>
      <c r="G177" s="1003"/>
      <c r="H177" s="1003" t="s">
        <v>947</v>
      </c>
      <c r="I177" s="1004">
        <v>14000</v>
      </c>
      <c r="J177" s="1004"/>
      <c r="K177" s="1002" t="s">
        <v>948</v>
      </c>
      <c r="L177" s="1006"/>
      <c r="M177" s="1006"/>
      <c r="N177" s="1006"/>
      <c r="O177" s="1006"/>
      <c r="P177" s="1006"/>
      <c r="Q177" s="1006"/>
      <c r="R177" s="1006"/>
      <c r="S177" s="1006"/>
      <c r="T177" s="1006"/>
      <c r="U177" s="1006"/>
      <c r="V177" s="1006"/>
      <c r="W177" s="1006"/>
      <c r="X177" s="1006"/>
      <c r="Y177" s="1006"/>
      <c r="Z177" s="1006"/>
      <c r="AA177" s="1006"/>
      <c r="AB177" s="1006"/>
    </row>
    <row r="178" spans="1:28" s="749" customFormat="1" ht="24.95" customHeight="1" x14ac:dyDescent="0.35">
      <c r="A178" s="968">
        <v>46111</v>
      </c>
      <c r="B178" s="986" t="s">
        <v>847</v>
      </c>
      <c r="C178" s="925" t="s">
        <v>927</v>
      </c>
      <c r="D178" s="964" t="s">
        <v>848</v>
      </c>
      <c r="E178" s="964"/>
      <c r="F178" s="964" t="s">
        <v>926</v>
      </c>
      <c r="G178" s="964"/>
      <c r="H178" s="964" t="s">
        <v>849</v>
      </c>
      <c r="I178" s="965">
        <v>14616</v>
      </c>
      <c r="J178" s="965">
        <v>14616</v>
      </c>
      <c r="K178" s="1009"/>
      <c r="L178"/>
      <c r="M178"/>
      <c r="N178"/>
      <c r="O178"/>
      <c r="P178"/>
      <c r="Q178"/>
      <c r="R178"/>
      <c r="S178"/>
      <c r="T178"/>
      <c r="U178"/>
      <c r="V178"/>
      <c r="W178"/>
      <c r="X178"/>
      <c r="Y178"/>
      <c r="Z178"/>
      <c r="AA178"/>
      <c r="AB178"/>
    </row>
    <row r="179" spans="1:28" s="749" customFormat="1" ht="24.95" customHeight="1" x14ac:dyDescent="0.35">
      <c r="A179" s="968">
        <v>45964</v>
      </c>
      <c r="B179" s="986" t="s">
        <v>669</v>
      </c>
      <c r="C179" s="925"/>
      <c r="D179" s="964" t="s">
        <v>282</v>
      </c>
      <c r="E179" s="964"/>
      <c r="F179" s="964" t="s">
        <v>853</v>
      </c>
      <c r="G179" s="964"/>
      <c r="H179" s="964" t="s">
        <v>850</v>
      </c>
      <c r="I179" s="965">
        <v>216575</v>
      </c>
      <c r="J179" s="965">
        <v>216575</v>
      </c>
      <c r="K179" s="1009"/>
      <c r="L179"/>
      <c r="M179"/>
      <c r="N179"/>
      <c r="O179"/>
      <c r="P179"/>
      <c r="Q179"/>
      <c r="R179"/>
      <c r="S179"/>
      <c r="T179"/>
      <c r="U179"/>
      <c r="V179"/>
      <c r="W179"/>
      <c r="X179"/>
      <c r="Y179"/>
      <c r="Z179"/>
      <c r="AA179"/>
      <c r="AB179"/>
    </row>
    <row r="180" spans="1:28" s="749" customFormat="1" ht="24.95" customHeight="1" x14ac:dyDescent="0.35">
      <c r="A180" s="968">
        <v>46150</v>
      </c>
      <c r="B180" s="986" t="s">
        <v>669</v>
      </c>
      <c r="C180" s="925"/>
      <c r="D180" s="964" t="s">
        <v>282</v>
      </c>
      <c r="E180" s="964"/>
      <c r="F180" s="964"/>
      <c r="G180" s="964"/>
      <c r="H180" s="964" t="s">
        <v>861</v>
      </c>
      <c r="I180" s="965" t="s">
        <v>419</v>
      </c>
      <c r="J180" s="965" t="s">
        <v>419</v>
      </c>
      <c r="K180" s="1009"/>
      <c r="L180"/>
      <c r="M180"/>
      <c r="N180"/>
      <c r="O180"/>
      <c r="P180"/>
      <c r="Q180"/>
      <c r="R180"/>
      <c r="S180"/>
      <c r="T180"/>
      <c r="U180"/>
      <c r="V180"/>
      <c r="W180"/>
      <c r="X180"/>
      <c r="Y180"/>
      <c r="Z180"/>
      <c r="AA180"/>
      <c r="AB180"/>
    </row>
    <row r="181" spans="1:28" s="1005" customFormat="1" ht="24.95" customHeight="1" x14ac:dyDescent="0.25">
      <c r="A181" s="1000">
        <v>46146</v>
      </c>
      <c r="B181" s="1001" t="s">
        <v>869</v>
      </c>
      <c r="C181" s="1002"/>
      <c r="D181" s="1003" t="s">
        <v>282</v>
      </c>
      <c r="E181" s="1003"/>
      <c r="F181" s="1003" t="s">
        <v>898</v>
      </c>
      <c r="G181" s="1003"/>
      <c r="H181" s="1003" t="s">
        <v>865</v>
      </c>
      <c r="I181" s="1004">
        <v>401320</v>
      </c>
      <c r="J181" s="1004"/>
      <c r="K181" s="1002" t="s">
        <v>915</v>
      </c>
      <c r="L181" s="1006"/>
      <c r="M181" s="1006"/>
      <c r="N181" s="1006"/>
      <c r="O181" s="1006"/>
      <c r="P181" s="1006"/>
      <c r="Q181" s="1006"/>
      <c r="R181" s="1006"/>
      <c r="S181" s="1006"/>
      <c r="T181" s="1006"/>
      <c r="U181" s="1006"/>
      <c r="V181" s="1006"/>
      <c r="W181" s="1006"/>
      <c r="X181" s="1006"/>
      <c r="Y181" s="1006"/>
      <c r="Z181" s="1006"/>
      <c r="AA181" s="1006"/>
      <c r="AB181" s="1006"/>
    </row>
    <row r="182" spans="1:28" s="1005" customFormat="1" ht="24.95" customHeight="1" x14ac:dyDescent="0.25">
      <c r="A182" s="1000">
        <v>46151</v>
      </c>
      <c r="B182" s="1001" t="s">
        <v>869</v>
      </c>
      <c r="C182" s="1002"/>
      <c r="D182" s="1003" t="s">
        <v>282</v>
      </c>
      <c r="E182" s="1003"/>
      <c r="F182" s="1003" t="s">
        <v>897</v>
      </c>
      <c r="G182" s="1003"/>
      <c r="H182" s="1003" t="s">
        <v>862</v>
      </c>
      <c r="I182" s="1004">
        <v>258000</v>
      </c>
      <c r="J182" s="1004"/>
      <c r="K182" s="1002" t="s">
        <v>946</v>
      </c>
      <c r="L182" s="1006"/>
      <c r="M182" s="1006"/>
      <c r="N182" s="1006"/>
      <c r="O182" s="1006"/>
      <c r="P182" s="1006"/>
      <c r="Q182" s="1006"/>
      <c r="R182" s="1006"/>
      <c r="S182" s="1006"/>
      <c r="T182" s="1006"/>
      <c r="U182" s="1006"/>
      <c r="V182" s="1006"/>
      <c r="W182" s="1006"/>
      <c r="X182" s="1006"/>
      <c r="Y182" s="1006"/>
      <c r="Z182" s="1006"/>
      <c r="AA182" s="1006"/>
      <c r="AB182" s="1006"/>
    </row>
    <row r="183" spans="1:28" s="749" customFormat="1" ht="24.95" customHeight="1" x14ac:dyDescent="0.35">
      <c r="A183" s="968">
        <v>46164</v>
      </c>
      <c r="B183" s="986" t="s">
        <v>869</v>
      </c>
      <c r="C183" s="925"/>
      <c r="D183" s="964" t="s">
        <v>282</v>
      </c>
      <c r="E183" s="964"/>
      <c r="F183" s="964"/>
      <c r="G183" s="964"/>
      <c r="H183" s="964" t="s">
        <v>870</v>
      </c>
      <c r="I183" s="965">
        <v>68000</v>
      </c>
      <c r="J183" s="965">
        <v>68000</v>
      </c>
      <c r="K183" s="1009"/>
      <c r="L183"/>
      <c r="M183"/>
      <c r="N183"/>
      <c r="O183"/>
      <c r="P183"/>
      <c r="Q183"/>
      <c r="R183"/>
      <c r="S183"/>
      <c r="T183"/>
      <c r="U183"/>
      <c r="V183"/>
      <c r="W183"/>
      <c r="X183"/>
      <c r="Y183"/>
      <c r="Z183"/>
      <c r="AA183"/>
      <c r="AB183"/>
    </row>
    <row r="184" spans="1:28" s="749" customFormat="1" ht="24.95" customHeight="1" x14ac:dyDescent="0.35">
      <c r="A184" s="968">
        <v>46167</v>
      </c>
      <c r="B184" s="986" t="s">
        <v>869</v>
      </c>
      <c r="C184" s="925"/>
      <c r="D184" s="964" t="s">
        <v>282</v>
      </c>
      <c r="E184" s="964"/>
      <c r="F184" s="964"/>
      <c r="G184" s="964"/>
      <c r="H184" s="964" t="s">
        <v>873</v>
      </c>
      <c r="I184" s="965">
        <v>39200</v>
      </c>
      <c r="J184" s="965">
        <v>39200</v>
      </c>
      <c r="K184" s="1009"/>
      <c r="L184"/>
      <c r="M184"/>
      <c r="N184"/>
      <c r="O184"/>
      <c r="P184"/>
      <c r="Q184"/>
      <c r="R184"/>
      <c r="S184"/>
      <c r="T184"/>
      <c r="U184"/>
      <c r="V184"/>
      <c r="W184"/>
      <c r="X184"/>
      <c r="Y184"/>
      <c r="Z184"/>
      <c r="AA184"/>
      <c r="AB184"/>
    </row>
    <row r="185" spans="1:28" s="749" customFormat="1" ht="24.95" customHeight="1" x14ac:dyDescent="0.35">
      <c r="A185" s="968">
        <v>46205</v>
      </c>
      <c r="B185" s="986" t="s">
        <v>869</v>
      </c>
      <c r="C185" s="925"/>
      <c r="D185" s="964" t="s">
        <v>92</v>
      </c>
      <c r="E185" s="964"/>
      <c r="F185" s="964"/>
      <c r="G185" s="964"/>
      <c r="H185" s="964" t="s">
        <v>917</v>
      </c>
      <c r="I185" s="965">
        <v>65000</v>
      </c>
      <c r="J185" s="965">
        <v>65000</v>
      </c>
      <c r="K185" s="1009"/>
      <c r="L185"/>
      <c r="M185"/>
      <c r="N185"/>
      <c r="O185"/>
      <c r="P185"/>
      <c r="Q185"/>
      <c r="R185"/>
      <c r="S185"/>
      <c r="T185"/>
      <c r="U185"/>
      <c r="V185"/>
      <c r="W185"/>
      <c r="X185"/>
      <c r="Y185"/>
      <c r="Z185"/>
      <c r="AA185"/>
      <c r="AB185"/>
    </row>
    <row r="186" spans="1:28" s="749" customFormat="1" ht="24.95" customHeight="1" x14ac:dyDescent="0.35">
      <c r="A186" s="968">
        <v>46146</v>
      </c>
      <c r="B186" s="986" t="s">
        <v>858</v>
      </c>
      <c r="C186" s="925"/>
      <c r="D186" s="964" t="s">
        <v>90</v>
      </c>
      <c r="E186" s="964"/>
      <c r="F186" s="964"/>
      <c r="G186" s="964"/>
      <c r="H186" s="964" t="s">
        <v>859</v>
      </c>
      <c r="I186" s="965" t="s">
        <v>419</v>
      </c>
      <c r="J186" s="965" t="s">
        <v>419</v>
      </c>
      <c r="K186" s="1009"/>
      <c r="L186"/>
      <c r="M186"/>
      <c r="N186"/>
      <c r="O186"/>
      <c r="P186"/>
      <c r="Q186"/>
      <c r="R186"/>
      <c r="S186"/>
      <c r="T186"/>
      <c r="U186"/>
      <c r="V186"/>
      <c r="W186"/>
      <c r="X186"/>
      <c r="Y186"/>
      <c r="Z186"/>
      <c r="AA186"/>
      <c r="AB186"/>
    </row>
    <row r="187" spans="1:28" s="749" customFormat="1" ht="24.95" customHeight="1" x14ac:dyDescent="0.35">
      <c r="A187" s="968">
        <v>46154</v>
      </c>
      <c r="B187" s="986" t="s">
        <v>858</v>
      </c>
      <c r="C187" s="925"/>
      <c r="D187" s="964" t="s">
        <v>90</v>
      </c>
      <c r="E187" s="964"/>
      <c r="F187" s="964"/>
      <c r="G187" s="964"/>
      <c r="H187" s="964" t="s">
        <v>860</v>
      </c>
      <c r="I187" s="965" t="s">
        <v>419</v>
      </c>
      <c r="J187" s="965" t="s">
        <v>419</v>
      </c>
      <c r="K187" s="1009"/>
      <c r="L187"/>
      <c r="M187"/>
      <c r="N187"/>
      <c r="O187"/>
      <c r="P187"/>
      <c r="Q187"/>
      <c r="R187"/>
      <c r="S187"/>
      <c r="T187"/>
      <c r="U187"/>
      <c r="V187"/>
      <c r="W187"/>
      <c r="X187"/>
      <c r="Y187"/>
      <c r="Z187"/>
      <c r="AA187"/>
      <c r="AB187"/>
    </row>
    <row r="188" spans="1:28" s="749" customFormat="1" ht="24.95" customHeight="1" x14ac:dyDescent="0.35">
      <c r="A188" s="968">
        <v>46157</v>
      </c>
      <c r="B188" s="986" t="s">
        <v>866</v>
      </c>
      <c r="C188" s="925"/>
      <c r="D188" s="964" t="s">
        <v>90</v>
      </c>
      <c r="E188" s="964"/>
      <c r="F188" s="964"/>
      <c r="G188" s="964"/>
      <c r="H188" s="964" t="s">
        <v>867</v>
      </c>
      <c r="I188" s="965">
        <v>22300</v>
      </c>
      <c r="J188" s="965">
        <v>22300</v>
      </c>
      <c r="K188" s="1009"/>
      <c r="L188"/>
      <c r="M188"/>
      <c r="N188"/>
      <c r="O188"/>
      <c r="P188"/>
      <c r="Q188"/>
      <c r="R188"/>
      <c r="S188"/>
      <c r="T188"/>
      <c r="U188"/>
      <c r="V188"/>
      <c r="W188"/>
      <c r="X188"/>
      <c r="Y188"/>
      <c r="Z188"/>
      <c r="AA188"/>
      <c r="AB188"/>
    </row>
    <row r="189" spans="1:28" s="749" customFormat="1" ht="24.95" customHeight="1" x14ac:dyDescent="0.35">
      <c r="A189" s="968">
        <v>46177</v>
      </c>
      <c r="B189" s="986" t="s">
        <v>866</v>
      </c>
      <c r="C189" s="925"/>
      <c r="D189" s="964" t="s">
        <v>90</v>
      </c>
      <c r="E189" s="964"/>
      <c r="F189" s="964"/>
      <c r="G189" s="964"/>
      <c r="H189" s="964" t="s">
        <v>885</v>
      </c>
      <c r="I189" s="965">
        <v>135000</v>
      </c>
      <c r="J189" s="965">
        <v>135000</v>
      </c>
      <c r="K189" s="1009"/>
      <c r="L189"/>
      <c r="M189"/>
      <c r="N189"/>
      <c r="O189"/>
      <c r="P189"/>
      <c r="Q189"/>
      <c r="R189"/>
      <c r="S189"/>
      <c r="T189"/>
      <c r="U189"/>
      <c r="V189"/>
      <c r="W189"/>
      <c r="X189"/>
      <c r="Y189"/>
      <c r="Z189"/>
      <c r="AA189"/>
      <c r="AB189"/>
    </row>
    <row r="190" spans="1:28" s="1005" customFormat="1" ht="24.95" customHeight="1" x14ac:dyDescent="0.25">
      <c r="A190" s="1000">
        <v>46150</v>
      </c>
      <c r="B190" s="1001" t="s">
        <v>876</v>
      </c>
      <c r="C190" s="1002" t="s">
        <v>931</v>
      </c>
      <c r="D190" s="1003" t="s">
        <v>221</v>
      </c>
      <c r="E190" s="1003"/>
      <c r="F190" s="1003"/>
      <c r="G190" s="1003"/>
      <c r="H190" s="1003" t="s">
        <v>877</v>
      </c>
      <c r="I190" s="1004">
        <v>28547.62</v>
      </c>
      <c r="J190" s="1004"/>
      <c r="K190" s="1002" t="s">
        <v>930</v>
      </c>
      <c r="L190" s="1006"/>
      <c r="M190" s="1006"/>
      <c r="N190" s="1006"/>
      <c r="O190" s="1006"/>
      <c r="P190" s="1006"/>
      <c r="Q190" s="1006"/>
      <c r="R190" s="1006"/>
      <c r="S190" s="1006"/>
      <c r="T190" s="1006"/>
      <c r="U190" s="1006"/>
      <c r="V190" s="1006"/>
      <c r="W190" s="1006"/>
      <c r="X190" s="1006"/>
      <c r="Y190" s="1006"/>
      <c r="Z190" s="1006"/>
      <c r="AA190" s="1006"/>
      <c r="AB190" s="1006"/>
    </row>
    <row r="191" spans="1:28" s="1005" customFormat="1" ht="24.95" customHeight="1" x14ac:dyDescent="0.25">
      <c r="A191" s="1000">
        <v>46150</v>
      </c>
      <c r="B191" s="1001" t="s">
        <v>876</v>
      </c>
      <c r="C191" s="1002" t="s">
        <v>932</v>
      </c>
      <c r="D191" s="1003" t="s">
        <v>221</v>
      </c>
      <c r="E191" s="1003"/>
      <c r="F191" s="1003"/>
      <c r="G191" s="1003"/>
      <c r="H191" s="1003" t="s">
        <v>878</v>
      </c>
      <c r="I191" s="1004">
        <v>99946.66</v>
      </c>
      <c r="J191" s="1004"/>
      <c r="K191" s="1002" t="s">
        <v>930</v>
      </c>
      <c r="L191" s="1006"/>
      <c r="M191" s="1006"/>
      <c r="N191" s="1006"/>
      <c r="O191" s="1006"/>
      <c r="P191" s="1006"/>
      <c r="Q191" s="1006"/>
      <c r="R191" s="1006"/>
      <c r="S191" s="1006"/>
      <c r="T191" s="1006"/>
      <c r="U191" s="1006"/>
      <c r="V191" s="1006"/>
      <c r="W191" s="1006"/>
      <c r="X191" s="1006"/>
      <c r="Y191" s="1006"/>
      <c r="Z191" s="1006"/>
      <c r="AA191" s="1006"/>
      <c r="AB191" s="1006"/>
    </row>
    <row r="192" spans="1:28" s="749" customFormat="1" ht="24.95" customHeight="1" x14ac:dyDescent="0.35">
      <c r="A192" s="968">
        <v>46160</v>
      </c>
      <c r="B192" s="986" t="s">
        <v>879</v>
      </c>
      <c r="C192" s="925" t="s">
        <v>924</v>
      </c>
      <c r="D192" s="964" t="s">
        <v>221</v>
      </c>
      <c r="E192" s="964"/>
      <c r="F192" s="964"/>
      <c r="G192" s="964"/>
      <c r="H192" s="964" t="s">
        <v>880</v>
      </c>
      <c r="I192" s="965">
        <v>54500</v>
      </c>
      <c r="J192" s="965">
        <v>54500</v>
      </c>
      <c r="K192" s="1009"/>
      <c r="L192"/>
      <c r="M192"/>
      <c r="N192"/>
      <c r="O192"/>
      <c r="P192"/>
      <c r="Q192"/>
      <c r="R192"/>
      <c r="S192"/>
      <c r="T192"/>
      <c r="U192"/>
      <c r="V192"/>
      <c r="W192"/>
      <c r="X192"/>
      <c r="Y192"/>
      <c r="Z192"/>
      <c r="AA192"/>
      <c r="AB192"/>
    </row>
    <row r="193" spans="1:28" s="749" customFormat="1" ht="24.95" customHeight="1" x14ac:dyDescent="0.35">
      <c r="A193" s="968">
        <v>46207</v>
      </c>
      <c r="B193" s="986" t="s">
        <v>879</v>
      </c>
      <c r="C193" s="925" t="s">
        <v>923</v>
      </c>
      <c r="D193" s="964" t="s">
        <v>221</v>
      </c>
      <c r="E193" s="964"/>
      <c r="F193" s="964"/>
      <c r="G193" s="964"/>
      <c r="H193" s="964" t="s">
        <v>922</v>
      </c>
      <c r="I193" s="965">
        <v>105500</v>
      </c>
      <c r="J193" s="965">
        <v>105500</v>
      </c>
      <c r="K193" s="1009"/>
      <c r="L193"/>
      <c r="M193"/>
      <c r="N193"/>
      <c r="O193"/>
      <c r="P193"/>
      <c r="Q193"/>
      <c r="R193"/>
      <c r="S193"/>
      <c r="T193"/>
      <c r="U193"/>
      <c r="V193"/>
      <c r="W193"/>
      <c r="X193"/>
      <c r="Y193"/>
      <c r="Z193"/>
      <c r="AA193"/>
      <c r="AB193"/>
    </row>
    <row r="194" spans="1:28" s="749" customFormat="1" ht="24.95" customHeight="1" x14ac:dyDescent="0.35">
      <c r="A194" s="968">
        <v>46181</v>
      </c>
      <c r="B194" s="986" t="s">
        <v>886</v>
      </c>
      <c r="C194" s="925"/>
      <c r="D194" s="964" t="s">
        <v>92</v>
      </c>
      <c r="E194" s="964"/>
      <c r="F194" s="964"/>
      <c r="G194" s="964"/>
      <c r="H194" s="964" t="s">
        <v>887</v>
      </c>
      <c r="I194" s="965">
        <v>165000</v>
      </c>
      <c r="J194" s="965">
        <v>165000</v>
      </c>
      <c r="K194" s="1009"/>
      <c r="L194"/>
      <c r="M194"/>
      <c r="N194"/>
      <c r="O194"/>
      <c r="P194"/>
      <c r="Q194"/>
      <c r="R194"/>
      <c r="S194"/>
      <c r="T194"/>
      <c r="U194"/>
      <c r="V194"/>
      <c r="W194"/>
      <c r="X194"/>
      <c r="Y194"/>
      <c r="Z194"/>
      <c r="AA194"/>
      <c r="AB194"/>
    </row>
    <row r="195" spans="1:28" s="749" customFormat="1" ht="24.95" customHeight="1" x14ac:dyDescent="0.35">
      <c r="A195" s="968">
        <v>46190</v>
      </c>
      <c r="B195" s="986" t="s">
        <v>893</v>
      </c>
      <c r="C195" s="925"/>
      <c r="D195" s="964" t="s">
        <v>476</v>
      </c>
      <c r="E195" s="964"/>
      <c r="F195" s="964"/>
      <c r="G195" s="964"/>
      <c r="H195" s="964" t="s">
        <v>894</v>
      </c>
      <c r="I195" s="965">
        <v>262790</v>
      </c>
      <c r="J195" s="965">
        <v>262790</v>
      </c>
      <c r="K195" s="1009"/>
      <c r="L195"/>
      <c r="M195"/>
      <c r="N195"/>
      <c r="O195"/>
      <c r="P195"/>
      <c r="Q195"/>
      <c r="R195"/>
      <c r="S195"/>
      <c r="T195"/>
      <c r="U195"/>
      <c r="V195"/>
      <c r="W195"/>
      <c r="X195"/>
      <c r="Y195"/>
      <c r="Z195"/>
      <c r="AA195"/>
      <c r="AB195"/>
    </row>
    <row r="196" spans="1:28" s="1015" customFormat="1" ht="24.95" customHeight="1" x14ac:dyDescent="0.25">
      <c r="A196" s="1010">
        <v>46196</v>
      </c>
      <c r="B196" s="1011" t="s">
        <v>907</v>
      </c>
      <c r="C196" s="1012"/>
      <c r="D196" s="1013" t="s">
        <v>90</v>
      </c>
      <c r="E196" s="1013"/>
      <c r="F196" s="1013" t="s">
        <v>910</v>
      </c>
      <c r="G196" s="1013"/>
      <c r="H196" s="1013" t="s">
        <v>909</v>
      </c>
      <c r="I196" s="1014">
        <v>133400</v>
      </c>
      <c r="J196" s="1014"/>
      <c r="K196" s="1012" t="s">
        <v>911</v>
      </c>
      <c r="L196" s="1006"/>
      <c r="M196" s="1006"/>
      <c r="N196" s="1006"/>
      <c r="O196" s="1006"/>
      <c r="P196" s="1006"/>
      <c r="Q196" s="1006"/>
      <c r="R196" s="1006"/>
      <c r="S196" s="1006"/>
      <c r="T196" s="1006"/>
      <c r="U196" s="1006"/>
      <c r="V196" s="1006"/>
      <c r="W196" s="1006"/>
      <c r="X196" s="1006"/>
      <c r="Y196" s="1006"/>
      <c r="Z196" s="1006"/>
      <c r="AA196" s="1006"/>
      <c r="AB196" s="1006"/>
    </row>
    <row r="197" spans="1:28" s="1002" customFormat="1" ht="24.95" customHeight="1" x14ac:dyDescent="0.25">
      <c r="A197" s="1025">
        <v>46213</v>
      </c>
      <c r="B197" s="1026" t="s">
        <v>907</v>
      </c>
      <c r="D197" s="1003" t="s">
        <v>90</v>
      </c>
      <c r="E197" s="1003"/>
      <c r="F197" s="1003" t="s">
        <v>939</v>
      </c>
      <c r="G197" s="1003"/>
      <c r="H197" s="1003" t="s">
        <v>940</v>
      </c>
      <c r="I197" s="1004">
        <v>15000</v>
      </c>
      <c r="J197" s="1004"/>
      <c r="K197" s="1002" t="s">
        <v>938</v>
      </c>
    </row>
    <row r="198" spans="1:28" s="565" customFormat="1" ht="24.95" customHeight="1" x14ac:dyDescent="0.35">
      <c r="A198" s="1024"/>
      <c r="B198" s="565" t="s">
        <v>936</v>
      </c>
      <c r="D198" s="964" t="s">
        <v>92</v>
      </c>
      <c r="E198" s="964"/>
      <c r="F198" s="964"/>
      <c r="G198" s="964"/>
      <c r="H198" s="964" t="s">
        <v>937</v>
      </c>
      <c r="I198" s="925" t="s">
        <v>419</v>
      </c>
    </row>
    <row r="199" spans="1:28" s="1036" customFormat="1" ht="24.95" customHeight="1" x14ac:dyDescent="0.25">
      <c r="A199" s="1040">
        <v>46228</v>
      </c>
      <c r="B199" s="1036" t="s">
        <v>949</v>
      </c>
      <c r="D199" s="1037" t="s">
        <v>92</v>
      </c>
      <c r="E199" s="1037"/>
      <c r="F199" s="1037"/>
      <c r="G199" s="1037"/>
      <c r="H199" s="1037" t="s">
        <v>950</v>
      </c>
      <c r="I199" s="1038">
        <v>44500</v>
      </c>
      <c r="K199" s="1036" t="s">
        <v>948</v>
      </c>
      <c r="L199" s="1039"/>
      <c r="M199" s="1039"/>
      <c r="N199" s="1039"/>
      <c r="O199" s="1039"/>
      <c r="P199" s="1039"/>
      <c r="Q199" s="1039"/>
      <c r="R199" s="1039"/>
      <c r="S199" s="1039"/>
      <c r="T199" s="1039"/>
      <c r="U199" s="1039"/>
      <c r="V199" s="1039"/>
      <c r="W199" s="1039"/>
      <c r="X199" s="1039"/>
      <c r="Y199" s="1039"/>
      <c r="Z199" s="1039"/>
      <c r="AA199" s="1039"/>
      <c r="AB199" s="1039"/>
    </row>
    <row r="200" spans="1:28" s="1036" customFormat="1" ht="24.95" customHeight="1" x14ac:dyDescent="0.25">
      <c r="A200" s="1040">
        <v>46217</v>
      </c>
      <c r="B200" s="1036" t="s">
        <v>954</v>
      </c>
      <c r="D200" s="1037" t="s">
        <v>92</v>
      </c>
      <c r="E200" s="1037"/>
      <c r="F200" s="1037"/>
      <c r="G200" s="1037"/>
      <c r="H200" s="1037" t="s">
        <v>955</v>
      </c>
      <c r="I200" s="1038">
        <v>112500</v>
      </c>
      <c r="K200" s="1036" t="s">
        <v>956</v>
      </c>
      <c r="L200" s="1039"/>
      <c r="M200" s="1039"/>
      <c r="N200" s="1039"/>
      <c r="O200" s="1039"/>
      <c r="P200" s="1039"/>
      <c r="Q200" s="1039"/>
      <c r="R200" s="1039"/>
      <c r="S200" s="1039"/>
      <c r="T200" s="1039"/>
      <c r="U200" s="1039"/>
      <c r="V200" s="1039"/>
      <c r="W200" s="1039"/>
      <c r="X200" s="1039"/>
      <c r="Y200" s="1039"/>
      <c r="Z200" s="1039"/>
      <c r="AA200" s="1039"/>
      <c r="AB200" s="1039"/>
    </row>
    <row r="201" spans="1:28" s="1042" customFormat="1" ht="24.95" customHeight="1" x14ac:dyDescent="0.25">
      <c r="A201" s="1041">
        <v>46212</v>
      </c>
      <c r="B201" s="1042" t="s">
        <v>957</v>
      </c>
      <c r="D201" s="1043" t="s">
        <v>92</v>
      </c>
      <c r="E201" s="1043"/>
      <c r="F201" s="1043"/>
      <c r="G201" s="1043"/>
      <c r="H201" s="1043" t="s">
        <v>958</v>
      </c>
      <c r="I201" s="1044">
        <v>64601.599999999999</v>
      </c>
      <c r="K201" s="1042" t="s">
        <v>959</v>
      </c>
      <c r="L201" s="1039"/>
      <c r="M201" s="1039"/>
      <c r="N201" s="1039"/>
      <c r="O201" s="1039"/>
      <c r="P201" s="1039"/>
      <c r="Q201" s="1039"/>
      <c r="R201" s="1039"/>
      <c r="S201" s="1039"/>
      <c r="T201" s="1039"/>
      <c r="U201" s="1039"/>
      <c r="V201" s="1039"/>
      <c r="W201" s="1039"/>
      <c r="X201" s="1039"/>
      <c r="Y201" s="1039"/>
      <c r="Z201" s="1039"/>
      <c r="AA201" s="1039"/>
      <c r="AB201" s="1039"/>
    </row>
    <row r="202" spans="1:28" s="429" customFormat="1" ht="24.95" customHeight="1" x14ac:dyDescent="0.35">
      <c r="A202" s="1058">
        <v>46231</v>
      </c>
      <c r="B202" s="429" t="s">
        <v>960</v>
      </c>
      <c r="D202" s="1048" t="s">
        <v>92</v>
      </c>
      <c r="E202" s="1045"/>
      <c r="F202" s="1045"/>
      <c r="G202" s="1045"/>
      <c r="H202" s="1048" t="s">
        <v>961</v>
      </c>
      <c r="I202" s="1057">
        <v>94475</v>
      </c>
    </row>
    <row r="203" spans="1:28" s="1036" customFormat="1" ht="24.95" customHeight="1" x14ac:dyDescent="0.25">
      <c r="A203" s="1040">
        <v>46231</v>
      </c>
      <c r="B203" s="1036" t="s">
        <v>962</v>
      </c>
      <c r="D203" s="1037" t="s">
        <v>221</v>
      </c>
      <c r="E203" s="1059"/>
      <c r="F203" s="1037" t="s">
        <v>963</v>
      </c>
      <c r="G203" s="1059"/>
      <c r="H203" s="1037" t="s">
        <v>964</v>
      </c>
      <c r="I203" s="1060">
        <v>342000.01</v>
      </c>
      <c r="K203" s="1036" t="s">
        <v>965</v>
      </c>
      <c r="L203" s="1039"/>
      <c r="M203" s="1039"/>
      <c r="N203" s="1039"/>
      <c r="O203" s="1039"/>
      <c r="P203" s="1039"/>
      <c r="Q203" s="1039"/>
      <c r="R203" s="1039"/>
      <c r="S203" s="1039"/>
      <c r="T203" s="1039"/>
      <c r="U203" s="1039"/>
      <c r="V203" s="1039"/>
      <c r="W203" s="1039"/>
      <c r="X203" s="1039"/>
      <c r="Y203" s="1039"/>
      <c r="Z203" s="1039"/>
      <c r="AA203" s="1039"/>
      <c r="AB203" s="1039"/>
    </row>
    <row r="204" spans="1:28" s="1023" customFormat="1" ht="24.95" customHeight="1" x14ac:dyDescent="0.35">
      <c r="A204" s="1016"/>
      <c r="B204" s="1017" t="s">
        <v>7</v>
      </c>
      <c r="C204" s="1018"/>
      <c r="D204" s="1049" t="s">
        <v>140</v>
      </c>
      <c r="E204" s="1019"/>
      <c r="F204" s="1018"/>
      <c r="G204" s="1018"/>
      <c r="H204" s="1051"/>
      <c r="I204" s="1021">
        <f>SUM(I8:I203)</f>
        <v>25657826.820000008</v>
      </c>
      <c r="J204" s="1021">
        <f>SUM(J8:J202)</f>
        <v>20280808.550000001</v>
      </c>
      <c r="K204" s="1022"/>
      <c r="L204"/>
      <c r="M204"/>
      <c r="N204"/>
      <c r="O204"/>
      <c r="P204"/>
      <c r="Q204"/>
      <c r="R204"/>
      <c r="S204"/>
      <c r="T204"/>
      <c r="U204"/>
      <c r="V204"/>
      <c r="W204"/>
      <c r="X204"/>
      <c r="Y204"/>
      <c r="Z204"/>
      <c r="AA204"/>
      <c r="AB204"/>
    </row>
    <row r="205" spans="1:28" ht="24.95" customHeight="1" x14ac:dyDescent="0.35">
      <c r="A205" s="940" t="s">
        <v>64</v>
      </c>
      <c r="G205" s="658" t="s">
        <v>64</v>
      </c>
    </row>
    <row r="206" spans="1:28" ht="24.95" customHeight="1" x14ac:dyDescent="0.35"/>
    <row r="207" spans="1:28" ht="24.95" customHeight="1" x14ac:dyDescent="0.35">
      <c r="F207" s="524" t="s">
        <v>486</v>
      </c>
    </row>
    <row r="208" spans="1:28" ht="24.95" customHeight="1" x14ac:dyDescent="0.35">
      <c r="G208" s="658" t="s">
        <v>64</v>
      </c>
    </row>
    <row r="209" spans="4:10" ht="23.25" customHeight="1" x14ac:dyDescent="0.35">
      <c r="D209" s="658"/>
      <c r="E209" s="524"/>
      <c r="I209" s="658"/>
      <c r="J209" s="524"/>
    </row>
    <row r="210" spans="4:10" ht="24.95" customHeight="1" x14ac:dyDescent="0.35"/>
    <row r="211" spans="4:10" ht="24.95" customHeight="1" x14ac:dyDescent="0.35"/>
    <row r="212" spans="4:10" ht="24.95" customHeight="1" x14ac:dyDescent="0.35"/>
    <row r="213" spans="4:10" ht="24.95" customHeight="1" x14ac:dyDescent="0.35"/>
    <row r="214" spans="4:10" ht="24.95" customHeight="1" x14ac:dyDescent="0.35"/>
    <row r="215" spans="4:10" ht="24.95" customHeight="1" x14ac:dyDescent="0.35"/>
    <row r="216" spans="4:10" ht="24.95" customHeight="1" x14ac:dyDescent="0.35"/>
    <row r="217" spans="4:10" ht="24.95" customHeight="1" x14ac:dyDescent="0.35"/>
    <row r="218" spans="4:10" ht="24.95" customHeight="1" x14ac:dyDescent="0.35"/>
    <row r="219" spans="4:10" ht="24.95" customHeight="1" x14ac:dyDescent="0.35"/>
    <row r="220" spans="4:10" ht="24.95" customHeight="1" x14ac:dyDescent="0.35"/>
    <row r="221" spans="4:10" ht="24.95" customHeight="1" x14ac:dyDescent="0.35"/>
    <row r="222" spans="4:10" ht="24.95" customHeight="1" x14ac:dyDescent="0.35"/>
  </sheetData>
  <pageMargins left="0.70866141732283472" right="0.70866141732283472" top="0.74803149606299213" bottom="0.74803149606299213" header="0.31496062992125984" footer="0.31496062992125984"/>
  <pageSetup paperSize="9" scale="45" orientation="landscape"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37"/>
  <sheetViews>
    <sheetView tabSelected="1" topLeftCell="B1" workbookViewId="0">
      <pane ySplit="6" topLeftCell="A40" activePane="bottomLeft" state="frozen"/>
      <selection pane="bottomLeft" activeCell="L51" sqref="L51"/>
    </sheetView>
  </sheetViews>
  <sheetFormatPr defaultColWidth="23.85546875" defaultRowHeight="23.25" x14ac:dyDescent="0.35"/>
  <cols>
    <col min="1" max="1" width="23.85546875" style="940"/>
    <col min="2" max="2" width="72.140625" style="657" customWidth="1"/>
    <col min="3" max="3" width="19.42578125" style="524" customWidth="1"/>
    <col min="4" max="4" width="13" style="1050" customWidth="1"/>
    <col min="5" max="5" width="10.42578125" style="657" customWidth="1"/>
    <col min="6" max="7" width="12.140625" style="524" customWidth="1"/>
    <col min="8" max="8" width="9.7109375" style="658" customWidth="1"/>
    <col min="9" max="9" width="11.140625" style="658" customWidth="1"/>
    <col min="10" max="10" width="51.42578125" style="658" customWidth="1"/>
    <col min="11" max="11" width="26" style="1056" customWidth="1"/>
    <col min="12" max="12" width="26" style="661" customWidth="1"/>
    <col min="13" max="13" width="29.7109375" style="336" customWidth="1"/>
    <col min="31" max="16384" width="23.85546875" style="524"/>
  </cols>
  <sheetData>
    <row r="1" spans="1:30" ht="24.95" customHeight="1" x14ac:dyDescent="0.35">
      <c r="A1" s="935" t="s">
        <v>598</v>
      </c>
      <c r="B1" s="517"/>
      <c r="C1" s="518"/>
      <c r="D1" s="1046"/>
      <c r="E1" s="942"/>
      <c r="F1" s="516"/>
      <c r="G1" s="516"/>
      <c r="H1" s="516"/>
      <c r="I1" s="516"/>
      <c r="J1" s="516"/>
      <c r="K1" s="1052"/>
      <c r="L1" s="520"/>
    </row>
    <row r="2" spans="1:30" ht="24.95" customHeight="1" x14ac:dyDescent="0.35">
      <c r="A2" s="936" t="s">
        <v>9</v>
      </c>
      <c r="B2" s="528"/>
      <c r="C2" s="529"/>
      <c r="D2" s="1047"/>
      <c r="E2" s="943"/>
      <c r="F2" s="527"/>
      <c r="G2" s="527"/>
      <c r="H2" s="527"/>
      <c r="I2" s="527"/>
      <c r="J2" s="527"/>
      <c r="K2" s="1053"/>
      <c r="L2" s="531"/>
    </row>
    <row r="3" spans="1:30" ht="24.95" customHeight="1" x14ac:dyDescent="0.35">
      <c r="A3" s="936" t="s">
        <v>10</v>
      </c>
      <c r="B3" s="528"/>
      <c r="C3" s="529"/>
      <c r="D3" s="1047"/>
      <c r="E3" s="943"/>
      <c r="F3" s="527"/>
      <c r="G3" s="527"/>
      <c r="H3" s="527"/>
      <c r="I3" s="527"/>
      <c r="J3" s="527"/>
      <c r="K3" s="1054"/>
      <c r="L3" s="535"/>
    </row>
    <row r="4" spans="1:30" ht="24.95" customHeight="1" x14ac:dyDescent="0.35">
      <c r="A4" s="936" t="s">
        <v>977</v>
      </c>
      <c r="B4" s="528"/>
      <c r="C4" s="529"/>
      <c r="D4" s="1047"/>
      <c r="E4" s="943"/>
      <c r="F4" s="527"/>
      <c r="G4" s="527"/>
      <c r="H4" s="527"/>
      <c r="I4" s="527"/>
      <c r="J4" s="527"/>
      <c r="K4" s="1054"/>
      <c r="L4" s="535"/>
    </row>
    <row r="5" spans="1:30" ht="24.95" customHeight="1" x14ac:dyDescent="0.35">
      <c r="A5" s="938"/>
      <c r="B5" s="528"/>
      <c r="C5" s="527"/>
      <c r="D5" s="1047"/>
      <c r="E5" s="528"/>
      <c r="F5" s="527"/>
      <c r="G5" s="527"/>
      <c r="H5" s="527"/>
      <c r="I5" s="527"/>
      <c r="J5" s="527"/>
      <c r="K5" s="1055"/>
      <c r="L5" s="541"/>
    </row>
    <row r="6" spans="1:30" s="565" customFormat="1" ht="24.95" customHeight="1" x14ac:dyDescent="0.4">
      <c r="A6" s="937" t="s">
        <v>0</v>
      </c>
      <c r="B6" s="547" t="s">
        <v>1</v>
      </c>
      <c r="C6" s="546" t="s">
        <v>739</v>
      </c>
      <c r="D6" s="545" t="s">
        <v>89</v>
      </c>
      <c r="E6" s="545" t="s">
        <v>933</v>
      </c>
      <c r="F6" s="546" t="s">
        <v>934</v>
      </c>
      <c r="G6" s="546" t="s">
        <v>985</v>
      </c>
      <c r="H6" s="546" t="s">
        <v>935</v>
      </c>
      <c r="I6" s="546" t="s">
        <v>991</v>
      </c>
      <c r="J6" s="546" t="s">
        <v>4</v>
      </c>
      <c r="K6" s="550" t="s">
        <v>11</v>
      </c>
      <c r="L6" s="550" t="s">
        <v>941</v>
      </c>
      <c r="M6" s="1008" t="s">
        <v>901</v>
      </c>
      <c r="N6"/>
      <c r="O6"/>
      <c r="P6"/>
      <c r="Q6"/>
      <c r="R6"/>
      <c r="S6"/>
      <c r="T6"/>
      <c r="U6"/>
      <c r="V6"/>
      <c r="W6"/>
      <c r="X6"/>
      <c r="Y6"/>
      <c r="Z6"/>
      <c r="AA6"/>
      <c r="AB6"/>
      <c r="AC6"/>
      <c r="AD6"/>
    </row>
    <row r="7" spans="1:30" s="565" customFormat="1" ht="24.95" customHeight="1" x14ac:dyDescent="0.4">
      <c r="A7" s="937"/>
      <c r="B7" s="547"/>
      <c r="C7" s="546"/>
      <c r="D7" s="545"/>
      <c r="E7" s="545"/>
      <c r="F7" s="546"/>
      <c r="G7" s="546"/>
      <c r="H7" s="546"/>
      <c r="I7" s="546"/>
      <c r="J7" s="546"/>
      <c r="K7" s="550"/>
      <c r="L7" s="550"/>
      <c r="M7" s="1008"/>
      <c r="N7"/>
      <c r="O7"/>
      <c r="P7"/>
      <c r="Q7"/>
      <c r="R7"/>
      <c r="S7"/>
      <c r="T7"/>
      <c r="U7"/>
      <c r="V7"/>
      <c r="W7"/>
      <c r="X7"/>
      <c r="Y7"/>
      <c r="Z7"/>
      <c r="AA7"/>
      <c r="AB7"/>
      <c r="AC7"/>
      <c r="AD7"/>
    </row>
    <row r="8" spans="1:30" s="760" customFormat="1" ht="24.95" customHeight="1" x14ac:dyDescent="0.35">
      <c r="A8" s="967">
        <v>43878</v>
      </c>
      <c r="B8" s="930" t="s">
        <v>63</v>
      </c>
      <c r="C8" s="925"/>
      <c r="D8" s="925" t="s">
        <v>90</v>
      </c>
      <c r="E8" s="925"/>
      <c r="F8" s="925"/>
      <c r="G8" s="925"/>
      <c r="H8" s="925"/>
      <c r="I8" s="925"/>
      <c r="J8" s="925" t="s">
        <v>102</v>
      </c>
      <c r="K8" s="965">
        <v>33421.01</v>
      </c>
      <c r="L8" s="965">
        <v>33421.01</v>
      </c>
      <c r="M8" s="1009"/>
      <c r="N8"/>
      <c r="O8"/>
      <c r="P8"/>
      <c r="Q8"/>
      <c r="R8"/>
      <c r="S8"/>
      <c r="T8"/>
      <c r="U8"/>
      <c r="V8"/>
      <c r="W8"/>
      <c r="X8"/>
      <c r="Y8"/>
      <c r="Z8"/>
      <c r="AA8"/>
      <c r="AB8"/>
      <c r="AC8"/>
      <c r="AD8"/>
    </row>
    <row r="9" spans="1:30" s="771" customFormat="1" ht="24.95" customHeight="1" x14ac:dyDescent="0.35">
      <c r="A9" s="968">
        <v>44092</v>
      </c>
      <c r="B9" s="930" t="s">
        <v>647</v>
      </c>
      <c r="C9" s="925"/>
      <c r="D9" s="925" t="s">
        <v>92</v>
      </c>
      <c r="E9" s="925"/>
      <c r="F9" s="925"/>
      <c r="G9" s="925"/>
      <c r="H9" s="964"/>
      <c r="I9" s="964"/>
      <c r="J9" s="964" t="s">
        <v>648</v>
      </c>
      <c r="K9" s="966">
        <v>108000</v>
      </c>
      <c r="L9" s="966">
        <v>108000</v>
      </c>
      <c r="M9" s="1009"/>
      <c r="N9"/>
      <c r="O9"/>
      <c r="P9"/>
      <c r="Q9"/>
      <c r="R9"/>
      <c r="S9"/>
      <c r="T9"/>
      <c r="U9"/>
      <c r="V9"/>
      <c r="W9"/>
      <c r="X9"/>
      <c r="Y9"/>
      <c r="Z9"/>
      <c r="AA9"/>
      <c r="AB9"/>
      <c r="AC9"/>
      <c r="AD9"/>
    </row>
    <row r="10" spans="1:30" s="782" customFormat="1" ht="24.95" customHeight="1" x14ac:dyDescent="0.35">
      <c r="A10" s="968">
        <v>44352</v>
      </c>
      <c r="B10" s="930" t="s">
        <v>107</v>
      </c>
      <c r="C10" s="925"/>
      <c r="D10" s="925" t="s">
        <v>90</v>
      </c>
      <c r="E10" s="925"/>
      <c r="F10" s="964"/>
      <c r="G10" s="964"/>
      <c r="H10" s="964">
        <v>1918</v>
      </c>
      <c r="I10" s="964"/>
      <c r="J10" s="964">
        <v>4457</v>
      </c>
      <c r="K10" s="966">
        <v>36289.599999999999</v>
      </c>
      <c r="L10" s="966">
        <v>36289.599999999999</v>
      </c>
      <c r="M10" s="1009"/>
      <c r="N10"/>
      <c r="O10"/>
      <c r="P10"/>
      <c r="Q10"/>
      <c r="R10"/>
      <c r="S10"/>
      <c r="T10"/>
      <c r="U10"/>
      <c r="V10"/>
      <c r="W10"/>
      <c r="X10"/>
      <c r="Y10"/>
      <c r="Z10"/>
      <c r="AA10"/>
      <c r="AB10"/>
      <c r="AC10"/>
      <c r="AD10"/>
    </row>
    <row r="11" spans="1:30" s="782" customFormat="1" ht="24.95" customHeight="1" x14ac:dyDescent="0.35">
      <c r="A11" s="968">
        <v>44413</v>
      </c>
      <c r="B11" s="930" t="s">
        <v>107</v>
      </c>
      <c r="C11" s="925"/>
      <c r="D11" s="925" t="s">
        <v>90</v>
      </c>
      <c r="E11" s="925"/>
      <c r="F11" s="964"/>
      <c r="G11" s="964"/>
      <c r="H11" s="964"/>
      <c r="I11" s="964"/>
      <c r="J11" s="964">
        <v>4457</v>
      </c>
      <c r="K11" s="966">
        <v>176976.8</v>
      </c>
      <c r="L11" s="966">
        <v>176976.8</v>
      </c>
      <c r="M11" s="1009"/>
      <c r="N11"/>
      <c r="O11"/>
      <c r="P11"/>
      <c r="Q11"/>
      <c r="R11"/>
      <c r="S11"/>
      <c r="T11"/>
      <c r="U11"/>
      <c r="V11"/>
      <c r="W11"/>
      <c r="X11"/>
      <c r="Y11"/>
      <c r="Z11"/>
      <c r="AA11"/>
      <c r="AB11"/>
      <c r="AC11"/>
      <c r="AD11"/>
    </row>
    <row r="12" spans="1:30" s="782" customFormat="1" ht="24.95" customHeight="1" x14ac:dyDescent="0.35">
      <c r="A12" s="968">
        <v>44420</v>
      </c>
      <c r="B12" s="930" t="s">
        <v>108</v>
      </c>
      <c r="C12" s="925"/>
      <c r="D12" s="925" t="s">
        <v>90</v>
      </c>
      <c r="E12" s="925"/>
      <c r="F12" s="964"/>
      <c r="G12" s="964"/>
      <c r="H12" s="964"/>
      <c r="I12" s="964"/>
      <c r="J12" s="964" t="s">
        <v>120</v>
      </c>
      <c r="K12" s="965">
        <v>470000</v>
      </c>
      <c r="L12" s="965">
        <v>470000</v>
      </c>
      <c r="M12" s="1009"/>
      <c r="N12"/>
      <c r="O12"/>
      <c r="P12"/>
      <c r="Q12"/>
      <c r="R12"/>
      <c r="S12"/>
      <c r="T12"/>
      <c r="U12"/>
      <c r="V12"/>
      <c r="W12"/>
      <c r="X12"/>
      <c r="Y12"/>
      <c r="Z12"/>
      <c r="AA12"/>
      <c r="AB12"/>
      <c r="AC12"/>
      <c r="AD12"/>
    </row>
    <row r="13" spans="1:30" s="775" customFormat="1" ht="24.95" customHeight="1" x14ac:dyDescent="0.35">
      <c r="A13" s="968">
        <v>44480</v>
      </c>
      <c r="B13" s="930" t="s">
        <v>43</v>
      </c>
      <c r="C13" s="925"/>
      <c r="D13" s="964" t="s">
        <v>90</v>
      </c>
      <c r="E13" s="964"/>
      <c r="F13" s="964"/>
      <c r="G13" s="964"/>
      <c r="H13" s="925">
        <v>2019</v>
      </c>
      <c r="I13" s="925"/>
      <c r="J13" s="964" t="s">
        <v>132</v>
      </c>
      <c r="K13" s="965">
        <v>147281.20000000001</v>
      </c>
      <c r="L13" s="965">
        <v>147281.20000000001</v>
      </c>
      <c r="M13" s="1009"/>
      <c r="N13"/>
      <c r="O13"/>
      <c r="P13"/>
      <c r="Q13"/>
      <c r="R13"/>
      <c r="S13"/>
      <c r="T13"/>
      <c r="U13"/>
      <c r="V13"/>
      <c r="W13"/>
      <c r="X13"/>
      <c r="Y13"/>
      <c r="Z13"/>
      <c r="AA13"/>
      <c r="AB13"/>
      <c r="AC13"/>
      <c r="AD13"/>
    </row>
    <row r="14" spans="1:30" s="775" customFormat="1" ht="24.95" customHeight="1" x14ac:dyDescent="0.35">
      <c r="A14" s="968">
        <v>44824</v>
      </c>
      <c r="B14" s="930" t="s">
        <v>43</v>
      </c>
      <c r="C14" s="925"/>
      <c r="D14" s="964" t="s">
        <v>90</v>
      </c>
      <c r="E14" s="964"/>
      <c r="F14" s="964"/>
      <c r="G14" s="964"/>
      <c r="H14" s="925">
        <v>2162</v>
      </c>
      <c r="I14" s="925"/>
      <c r="J14" s="964">
        <v>5218</v>
      </c>
      <c r="K14" s="965">
        <v>54650</v>
      </c>
      <c r="L14" s="965">
        <v>54650</v>
      </c>
      <c r="M14" s="1009"/>
      <c r="N14"/>
      <c r="O14"/>
      <c r="P14"/>
      <c r="Q14"/>
      <c r="R14"/>
      <c r="S14"/>
      <c r="T14"/>
      <c r="U14"/>
      <c r="V14"/>
      <c r="W14"/>
      <c r="X14"/>
      <c r="Y14"/>
      <c r="Z14"/>
      <c r="AA14"/>
      <c r="AB14"/>
      <c r="AC14"/>
      <c r="AD14"/>
    </row>
    <row r="15" spans="1:30" s="775" customFormat="1" ht="24.95" customHeight="1" x14ac:dyDescent="0.35">
      <c r="A15" s="968">
        <v>44839</v>
      </c>
      <c r="B15" s="930" t="s">
        <v>43</v>
      </c>
      <c r="C15" s="925"/>
      <c r="D15" s="964" t="s">
        <v>90</v>
      </c>
      <c r="E15" s="964"/>
      <c r="F15" s="964"/>
      <c r="G15" s="964"/>
      <c r="H15" s="925">
        <v>2140</v>
      </c>
      <c r="I15" s="925"/>
      <c r="J15" s="964">
        <v>5248</v>
      </c>
      <c r="K15" s="965">
        <v>25000</v>
      </c>
      <c r="L15" s="965">
        <v>25000</v>
      </c>
      <c r="M15" s="1009"/>
      <c r="N15"/>
      <c r="O15"/>
      <c r="P15"/>
      <c r="Q15"/>
      <c r="R15"/>
      <c r="S15"/>
      <c r="T15"/>
      <c r="U15"/>
      <c r="V15"/>
      <c r="W15"/>
      <c r="X15"/>
      <c r="Y15"/>
      <c r="Z15"/>
      <c r="AA15"/>
      <c r="AB15"/>
      <c r="AC15"/>
      <c r="AD15"/>
    </row>
    <row r="16" spans="1:30" s="775" customFormat="1" ht="24.95" customHeight="1" x14ac:dyDescent="0.35">
      <c r="A16" s="968">
        <v>45458</v>
      </c>
      <c r="B16" s="930" t="s">
        <v>43</v>
      </c>
      <c r="C16" s="925"/>
      <c r="D16" s="964" t="s">
        <v>90</v>
      </c>
      <c r="E16" s="964"/>
      <c r="F16" s="964"/>
      <c r="G16" s="964"/>
      <c r="H16" s="925">
        <v>2355</v>
      </c>
      <c r="I16" s="925"/>
      <c r="J16" s="964" t="s">
        <v>290</v>
      </c>
      <c r="K16" s="965">
        <v>11059.82</v>
      </c>
      <c r="L16" s="965">
        <v>11059.82</v>
      </c>
      <c r="M16" s="1009"/>
      <c r="N16"/>
      <c r="O16"/>
      <c r="P16"/>
      <c r="Q16"/>
      <c r="R16"/>
      <c r="S16"/>
      <c r="T16"/>
      <c r="U16"/>
      <c r="V16"/>
      <c r="W16"/>
      <c r="X16"/>
      <c r="Y16"/>
      <c r="Z16"/>
      <c r="AA16"/>
      <c r="AB16"/>
      <c r="AC16"/>
      <c r="AD16"/>
    </row>
    <row r="17" spans="1:30" s="775" customFormat="1" ht="24.95" customHeight="1" x14ac:dyDescent="0.35">
      <c r="A17" s="968" t="s">
        <v>421</v>
      </c>
      <c r="B17" s="930" t="s">
        <v>43</v>
      </c>
      <c r="C17" s="925"/>
      <c r="D17" s="964" t="s">
        <v>90</v>
      </c>
      <c r="E17" s="964"/>
      <c r="F17" s="964"/>
      <c r="G17" s="964"/>
      <c r="H17" s="925"/>
      <c r="I17" s="925"/>
      <c r="J17" s="964">
        <v>5987</v>
      </c>
      <c r="K17" s="965" t="s">
        <v>419</v>
      </c>
      <c r="L17" s="965" t="s">
        <v>419</v>
      </c>
      <c r="M17" s="1009"/>
      <c r="N17"/>
      <c r="O17"/>
      <c r="P17"/>
      <c r="Q17"/>
      <c r="R17"/>
      <c r="S17"/>
      <c r="T17"/>
      <c r="U17"/>
      <c r="V17"/>
      <c r="W17"/>
      <c r="X17"/>
      <c r="Y17"/>
      <c r="Z17"/>
      <c r="AA17"/>
      <c r="AB17"/>
      <c r="AC17"/>
      <c r="AD17"/>
    </row>
    <row r="18" spans="1:30" s="775" customFormat="1" ht="24.95" customHeight="1" x14ac:dyDescent="0.35">
      <c r="A18" s="968">
        <v>46087</v>
      </c>
      <c r="B18" s="930" t="s">
        <v>43</v>
      </c>
      <c r="C18" s="925"/>
      <c r="D18" s="964" t="s">
        <v>90</v>
      </c>
      <c r="E18" s="964"/>
      <c r="F18" s="964"/>
      <c r="G18" s="964"/>
      <c r="H18" s="925"/>
      <c r="I18" s="925"/>
      <c r="J18" s="964" t="s">
        <v>817</v>
      </c>
      <c r="K18" s="965">
        <v>144000</v>
      </c>
      <c r="L18" s="965">
        <v>144000</v>
      </c>
      <c r="M18" s="1009"/>
      <c r="N18"/>
      <c r="O18"/>
      <c r="P18"/>
      <c r="Q18"/>
      <c r="R18"/>
      <c r="S18"/>
      <c r="T18"/>
      <c r="U18"/>
      <c r="V18"/>
      <c r="W18"/>
      <c r="X18"/>
      <c r="Y18"/>
      <c r="Z18"/>
      <c r="AA18"/>
      <c r="AB18"/>
      <c r="AC18"/>
      <c r="AD18"/>
    </row>
    <row r="19" spans="1:30" s="782" customFormat="1" ht="24.95" customHeight="1" x14ac:dyDescent="0.35">
      <c r="A19" s="968">
        <v>44589</v>
      </c>
      <c r="B19" s="930" t="s">
        <v>125</v>
      </c>
      <c r="C19" s="925"/>
      <c r="D19" s="925" t="s">
        <v>90</v>
      </c>
      <c r="E19" s="925"/>
      <c r="F19" s="964"/>
      <c r="G19" s="964"/>
      <c r="H19" s="964"/>
      <c r="I19" s="964"/>
      <c r="J19" s="964">
        <v>4880</v>
      </c>
      <c r="K19" s="965">
        <v>37000</v>
      </c>
      <c r="L19" s="965">
        <v>37000</v>
      </c>
      <c r="M19" s="1009"/>
      <c r="N19"/>
      <c r="O19"/>
      <c r="P19"/>
      <c r="Q19"/>
      <c r="R19"/>
      <c r="S19"/>
      <c r="T19"/>
      <c r="U19"/>
      <c r="V19"/>
      <c r="W19"/>
      <c r="X19"/>
      <c r="Y19"/>
      <c r="Z19"/>
      <c r="AA19"/>
      <c r="AB19"/>
      <c r="AC19"/>
      <c r="AD19"/>
    </row>
    <row r="20" spans="1:30" s="782" customFormat="1" ht="24.95" customHeight="1" x14ac:dyDescent="0.35">
      <c r="A20" s="968">
        <v>44607</v>
      </c>
      <c r="B20" s="930" t="s">
        <v>649</v>
      </c>
      <c r="C20" s="925"/>
      <c r="D20" s="925" t="s">
        <v>90</v>
      </c>
      <c r="E20" s="925">
        <v>736</v>
      </c>
      <c r="F20" s="964"/>
      <c r="G20" s="964"/>
      <c r="H20" s="964"/>
      <c r="I20" s="964"/>
      <c r="J20" s="964" t="s">
        <v>902</v>
      </c>
      <c r="K20" s="965">
        <v>16076.04</v>
      </c>
      <c r="L20" s="965">
        <v>16076.04</v>
      </c>
      <c r="M20" s="1009"/>
      <c r="N20"/>
      <c r="O20"/>
      <c r="P20"/>
      <c r="Q20"/>
      <c r="R20"/>
      <c r="S20"/>
      <c r="T20"/>
      <c r="U20"/>
      <c r="V20"/>
      <c r="W20"/>
      <c r="X20"/>
      <c r="Y20"/>
      <c r="Z20"/>
      <c r="AA20"/>
      <c r="AB20"/>
      <c r="AC20"/>
      <c r="AD20"/>
    </row>
    <row r="21" spans="1:30" s="749" customFormat="1" ht="24.95" customHeight="1" x14ac:dyDescent="0.35">
      <c r="A21" s="968">
        <v>44609</v>
      </c>
      <c r="B21" s="930" t="s">
        <v>649</v>
      </c>
      <c r="C21" s="925"/>
      <c r="D21" s="964" t="s">
        <v>90</v>
      </c>
      <c r="E21" s="964">
        <v>734</v>
      </c>
      <c r="F21" s="964"/>
      <c r="G21" s="964"/>
      <c r="H21" s="964"/>
      <c r="I21" s="964"/>
      <c r="J21" s="964" t="s">
        <v>118</v>
      </c>
      <c r="K21" s="965">
        <v>7186.99</v>
      </c>
      <c r="L21" s="965">
        <v>7186.99</v>
      </c>
      <c r="M21" s="1009"/>
      <c r="N21"/>
      <c r="O21"/>
      <c r="P21"/>
      <c r="Q21"/>
      <c r="R21"/>
      <c r="S21"/>
      <c r="T21"/>
      <c r="U21"/>
      <c r="V21"/>
      <c r="W21"/>
      <c r="X21"/>
      <c r="Y21"/>
      <c r="Z21"/>
      <c r="AA21"/>
      <c r="AB21"/>
      <c r="AC21"/>
      <c r="AD21"/>
    </row>
    <row r="22" spans="1:30" s="749" customFormat="1" ht="24.95" customHeight="1" x14ac:dyDescent="0.35">
      <c r="A22" s="968">
        <v>44714</v>
      </c>
      <c r="B22" s="930" t="s">
        <v>649</v>
      </c>
      <c r="C22" s="925"/>
      <c r="D22" s="964" t="s">
        <v>90</v>
      </c>
      <c r="E22" s="964"/>
      <c r="F22" s="964"/>
      <c r="G22" s="964"/>
      <c r="H22" s="964">
        <v>2062</v>
      </c>
      <c r="I22" s="964"/>
      <c r="J22" s="964" t="s">
        <v>118</v>
      </c>
      <c r="K22" s="965">
        <v>77456</v>
      </c>
      <c r="L22" s="965">
        <v>77456</v>
      </c>
      <c r="M22" s="1009"/>
      <c r="N22"/>
      <c r="O22"/>
      <c r="P22"/>
      <c r="Q22"/>
      <c r="R22"/>
      <c r="S22"/>
      <c r="T22"/>
      <c r="U22"/>
      <c r="V22"/>
      <c r="W22"/>
      <c r="X22"/>
      <c r="Y22"/>
      <c r="Z22"/>
      <c r="AA22"/>
      <c r="AB22"/>
      <c r="AC22"/>
      <c r="AD22"/>
    </row>
    <row r="23" spans="1:30" s="749" customFormat="1" ht="24.95" customHeight="1" x14ac:dyDescent="0.35">
      <c r="A23" s="968">
        <v>44734</v>
      </c>
      <c r="B23" s="930" t="s">
        <v>649</v>
      </c>
      <c r="C23" s="925"/>
      <c r="D23" s="964" t="s">
        <v>90</v>
      </c>
      <c r="E23" s="964">
        <v>743</v>
      </c>
      <c r="F23" s="964"/>
      <c r="G23" s="964"/>
      <c r="H23" s="964"/>
      <c r="I23" s="964"/>
      <c r="J23" s="964" t="s">
        <v>118</v>
      </c>
      <c r="K23" s="965">
        <v>72499.08</v>
      </c>
      <c r="L23" s="965">
        <v>72499.08</v>
      </c>
      <c r="M23" s="1009"/>
      <c r="N23"/>
      <c r="O23"/>
      <c r="P23"/>
      <c r="Q23"/>
      <c r="R23"/>
      <c r="S23"/>
      <c r="T23"/>
      <c r="U23"/>
      <c r="V23"/>
      <c r="W23"/>
      <c r="X23"/>
      <c r="Y23"/>
      <c r="Z23"/>
      <c r="AA23"/>
      <c r="AB23"/>
      <c r="AC23"/>
      <c r="AD23"/>
    </row>
    <row r="24" spans="1:30" s="749" customFormat="1" ht="24.95" customHeight="1" x14ac:dyDescent="0.35">
      <c r="A24" s="968">
        <v>44741</v>
      </c>
      <c r="B24" s="930" t="s">
        <v>649</v>
      </c>
      <c r="C24" s="925"/>
      <c r="D24" s="964" t="s">
        <v>90</v>
      </c>
      <c r="E24" s="964">
        <v>757</v>
      </c>
      <c r="F24" s="964"/>
      <c r="G24" s="964"/>
      <c r="H24" s="964"/>
      <c r="I24" s="964"/>
      <c r="J24" s="964">
        <v>5908</v>
      </c>
      <c r="K24" s="965">
        <v>510</v>
      </c>
      <c r="L24" s="965">
        <v>510</v>
      </c>
      <c r="M24" s="1009"/>
      <c r="N24"/>
      <c r="O24"/>
      <c r="P24"/>
      <c r="Q24"/>
      <c r="R24"/>
      <c r="S24"/>
      <c r="T24"/>
      <c r="U24"/>
      <c r="V24"/>
      <c r="W24"/>
      <c r="X24"/>
      <c r="Y24"/>
      <c r="Z24"/>
      <c r="AA24"/>
      <c r="AB24"/>
      <c r="AC24"/>
      <c r="AD24"/>
    </row>
    <row r="25" spans="1:30" s="749" customFormat="1" ht="24.95" customHeight="1" x14ac:dyDescent="0.35">
      <c r="A25" s="968">
        <v>44855</v>
      </c>
      <c r="B25" s="930" t="s">
        <v>649</v>
      </c>
      <c r="C25" s="925"/>
      <c r="D25" s="964" t="s">
        <v>90</v>
      </c>
      <c r="E25" s="964">
        <v>755</v>
      </c>
      <c r="F25" s="964"/>
      <c r="G25" s="964"/>
      <c r="H25" s="964"/>
      <c r="I25" s="964"/>
      <c r="J25" s="964">
        <v>5739</v>
      </c>
      <c r="K25" s="965">
        <v>6650</v>
      </c>
      <c r="L25" s="965">
        <v>6650</v>
      </c>
      <c r="M25" s="1009"/>
      <c r="N25"/>
      <c r="O25"/>
      <c r="P25"/>
      <c r="Q25"/>
      <c r="R25"/>
      <c r="S25"/>
      <c r="T25"/>
      <c r="U25"/>
      <c r="V25"/>
      <c r="W25"/>
      <c r="X25"/>
      <c r="Y25"/>
      <c r="Z25"/>
      <c r="AA25"/>
      <c r="AB25"/>
      <c r="AC25"/>
      <c r="AD25"/>
    </row>
    <row r="26" spans="1:30" s="749" customFormat="1" ht="24.95" customHeight="1" x14ac:dyDescent="0.35">
      <c r="A26" s="968">
        <v>44855</v>
      </c>
      <c r="B26" s="930" t="s">
        <v>649</v>
      </c>
      <c r="C26" s="925"/>
      <c r="D26" s="964" t="s">
        <v>90</v>
      </c>
      <c r="E26" s="964">
        <v>758</v>
      </c>
      <c r="F26" s="964"/>
      <c r="G26" s="964"/>
      <c r="H26" s="964"/>
      <c r="I26" s="964"/>
      <c r="J26" s="964" t="s">
        <v>118</v>
      </c>
      <c r="K26" s="965">
        <v>3000</v>
      </c>
      <c r="L26" s="965">
        <v>3000</v>
      </c>
      <c r="M26" s="1009"/>
      <c r="N26"/>
      <c r="O26"/>
      <c r="P26"/>
      <c r="Q26"/>
      <c r="R26"/>
      <c r="S26"/>
      <c r="T26"/>
      <c r="U26"/>
      <c r="V26"/>
      <c r="W26"/>
      <c r="X26"/>
      <c r="Y26"/>
      <c r="Z26"/>
      <c r="AA26"/>
      <c r="AB26"/>
      <c r="AC26"/>
      <c r="AD26"/>
    </row>
    <row r="27" spans="1:30" s="749" customFormat="1" ht="24.95" customHeight="1" x14ac:dyDescent="0.35">
      <c r="A27" s="968">
        <v>44916</v>
      </c>
      <c r="B27" s="930" t="s">
        <v>649</v>
      </c>
      <c r="C27" s="925"/>
      <c r="D27" s="964" t="s">
        <v>90</v>
      </c>
      <c r="E27" s="964"/>
      <c r="F27" s="964"/>
      <c r="G27" s="964"/>
      <c r="H27" s="964">
        <v>2176</v>
      </c>
      <c r="I27" s="964"/>
      <c r="J27" s="964" t="s">
        <v>118</v>
      </c>
      <c r="K27" s="965">
        <v>186146</v>
      </c>
      <c r="L27" s="965">
        <v>186146</v>
      </c>
      <c r="M27" s="1009"/>
      <c r="N27"/>
      <c r="O27"/>
      <c r="P27"/>
      <c r="Q27"/>
      <c r="R27"/>
      <c r="S27"/>
      <c r="T27"/>
      <c r="U27"/>
      <c r="V27"/>
      <c r="W27"/>
      <c r="X27"/>
      <c r="Y27"/>
      <c r="Z27"/>
      <c r="AA27"/>
      <c r="AB27"/>
      <c r="AC27"/>
      <c r="AD27"/>
    </row>
    <row r="28" spans="1:30" s="749" customFormat="1" ht="24.95" customHeight="1" x14ac:dyDescent="0.35">
      <c r="A28" s="968">
        <v>45343</v>
      </c>
      <c r="B28" s="930" t="s">
        <v>649</v>
      </c>
      <c r="C28" s="925"/>
      <c r="D28" s="964" t="s">
        <v>90</v>
      </c>
      <c r="E28" s="964">
        <v>826</v>
      </c>
      <c r="F28" s="964"/>
      <c r="G28" s="964"/>
      <c r="H28" s="964"/>
      <c r="I28" s="964"/>
      <c r="J28" s="964" t="s">
        <v>118</v>
      </c>
      <c r="K28" s="965">
        <v>22500</v>
      </c>
      <c r="L28" s="965">
        <v>22500</v>
      </c>
      <c r="M28" s="1009"/>
      <c r="N28"/>
      <c r="O28"/>
      <c r="P28"/>
      <c r="Q28"/>
      <c r="R28"/>
      <c r="S28"/>
      <c r="T28"/>
      <c r="U28"/>
      <c r="V28"/>
      <c r="W28"/>
      <c r="X28"/>
      <c r="Y28"/>
      <c r="Z28"/>
      <c r="AA28"/>
      <c r="AB28"/>
      <c r="AC28"/>
      <c r="AD28"/>
    </row>
    <row r="29" spans="1:30" s="782" customFormat="1" ht="27.75" customHeight="1" x14ac:dyDescent="0.35">
      <c r="A29" s="968">
        <v>44614</v>
      </c>
      <c r="B29" s="930" t="s">
        <v>650</v>
      </c>
      <c r="C29" s="925"/>
      <c r="D29" s="925" t="s">
        <v>92</v>
      </c>
      <c r="E29" s="925"/>
      <c r="F29" s="964"/>
      <c r="G29" s="964"/>
      <c r="H29" s="964"/>
      <c r="I29" s="964"/>
      <c r="J29" s="964" t="s">
        <v>376</v>
      </c>
      <c r="K29" s="965">
        <v>526625</v>
      </c>
      <c r="L29" s="965">
        <v>526625</v>
      </c>
      <c r="M29" s="1009"/>
      <c r="N29"/>
      <c r="O29"/>
      <c r="P29"/>
      <c r="Q29"/>
      <c r="R29"/>
      <c r="S29"/>
      <c r="T29"/>
      <c r="U29"/>
      <c r="V29"/>
      <c r="W29"/>
      <c r="X29"/>
      <c r="Y29"/>
      <c r="Z29"/>
      <c r="AA29"/>
      <c r="AB29"/>
      <c r="AC29"/>
      <c r="AD29"/>
    </row>
    <row r="30" spans="1:30" s="782" customFormat="1" ht="24.95" customHeight="1" x14ac:dyDescent="0.35">
      <c r="A30" s="968">
        <v>44631</v>
      </c>
      <c r="B30" s="930" t="s">
        <v>650</v>
      </c>
      <c r="C30" s="925"/>
      <c r="D30" s="925" t="s">
        <v>92</v>
      </c>
      <c r="E30" s="925"/>
      <c r="F30" s="964"/>
      <c r="G30" s="964"/>
      <c r="H30" s="964"/>
      <c r="I30" s="964"/>
      <c r="J30" s="964">
        <v>4943</v>
      </c>
      <c r="K30" s="965">
        <v>5975</v>
      </c>
      <c r="L30" s="965">
        <v>5975</v>
      </c>
      <c r="M30" s="1009"/>
      <c r="N30"/>
      <c r="O30"/>
      <c r="P30"/>
      <c r="Q30"/>
      <c r="R30"/>
      <c r="S30"/>
      <c r="T30"/>
      <c r="U30"/>
      <c r="V30"/>
      <c r="W30"/>
      <c r="X30"/>
      <c r="Y30"/>
      <c r="Z30"/>
      <c r="AA30"/>
      <c r="AB30"/>
      <c r="AC30"/>
      <c r="AD30"/>
    </row>
    <row r="31" spans="1:30" s="800" customFormat="1" ht="24.95" customHeight="1" x14ac:dyDescent="0.35">
      <c r="A31" s="968">
        <v>44638</v>
      </c>
      <c r="B31" s="930" t="s">
        <v>650</v>
      </c>
      <c r="C31" s="925"/>
      <c r="D31" s="925" t="s">
        <v>92</v>
      </c>
      <c r="E31" s="925"/>
      <c r="F31" s="964"/>
      <c r="G31" s="964"/>
      <c r="H31" s="964"/>
      <c r="I31" s="964"/>
      <c r="J31" s="964">
        <v>4953</v>
      </c>
      <c r="K31" s="965">
        <v>4950</v>
      </c>
      <c r="L31" s="965">
        <v>4950</v>
      </c>
      <c r="M31" s="1009"/>
      <c r="N31"/>
      <c r="O31"/>
      <c r="P31"/>
      <c r="Q31"/>
      <c r="R31"/>
      <c r="S31"/>
      <c r="T31"/>
      <c r="U31"/>
      <c r="V31"/>
      <c r="W31"/>
      <c r="X31"/>
      <c r="Y31"/>
      <c r="Z31"/>
      <c r="AA31"/>
      <c r="AB31"/>
      <c r="AC31"/>
      <c r="AD31"/>
    </row>
    <row r="32" spans="1:30" s="800" customFormat="1" ht="24.95" customHeight="1" x14ac:dyDescent="0.35">
      <c r="A32" s="968">
        <v>44711</v>
      </c>
      <c r="B32" s="930" t="s">
        <v>153</v>
      </c>
      <c r="C32" s="925"/>
      <c r="D32" s="925" t="s">
        <v>92</v>
      </c>
      <c r="E32" s="925"/>
      <c r="F32" s="964"/>
      <c r="G32" s="964"/>
      <c r="H32" s="964"/>
      <c r="I32" s="964"/>
      <c r="J32" s="964" t="s">
        <v>181</v>
      </c>
      <c r="K32" s="965">
        <v>164667</v>
      </c>
      <c r="L32" s="965">
        <v>164667</v>
      </c>
      <c r="M32" s="1009"/>
      <c r="N32"/>
      <c r="O32"/>
      <c r="P32"/>
      <c r="Q32"/>
      <c r="R32"/>
      <c r="S32"/>
      <c r="T32"/>
      <c r="U32"/>
      <c r="V32"/>
      <c r="W32"/>
      <c r="X32"/>
      <c r="Y32"/>
      <c r="Z32"/>
      <c r="AA32"/>
      <c r="AB32"/>
      <c r="AC32"/>
      <c r="AD32"/>
    </row>
    <row r="33" spans="1:30" s="800" customFormat="1" ht="24.95" customHeight="1" x14ac:dyDescent="0.35">
      <c r="A33" s="968">
        <v>44768</v>
      </c>
      <c r="B33" s="930" t="s">
        <v>651</v>
      </c>
      <c r="C33" s="925"/>
      <c r="D33" s="925" t="s">
        <v>90</v>
      </c>
      <c r="E33" s="925"/>
      <c r="F33" s="964"/>
      <c r="G33" s="964"/>
      <c r="H33" s="964"/>
      <c r="I33" s="964"/>
      <c r="J33" s="964" t="s">
        <v>151</v>
      </c>
      <c r="K33" s="965">
        <v>847950.4</v>
      </c>
      <c r="L33" s="965">
        <v>847950.4</v>
      </c>
      <c r="M33" s="1009"/>
      <c r="N33"/>
      <c r="O33"/>
      <c r="P33"/>
      <c r="Q33"/>
      <c r="R33"/>
      <c r="S33"/>
      <c r="T33"/>
      <c r="U33"/>
      <c r="V33"/>
      <c r="W33"/>
      <c r="X33"/>
      <c r="Y33"/>
      <c r="Z33"/>
      <c r="AA33"/>
      <c r="AB33"/>
      <c r="AC33"/>
      <c r="AD33"/>
    </row>
    <row r="34" spans="1:30" s="800" customFormat="1" ht="24.95" customHeight="1" x14ac:dyDescent="0.35">
      <c r="A34" s="968">
        <v>45946</v>
      </c>
      <c r="B34" s="930" t="s">
        <v>651</v>
      </c>
      <c r="C34" s="925"/>
      <c r="D34" s="925" t="s">
        <v>90</v>
      </c>
      <c r="E34" s="925"/>
      <c r="F34" s="964"/>
      <c r="G34" s="964"/>
      <c r="H34" s="964"/>
      <c r="I34" s="964"/>
      <c r="J34" s="964" t="s">
        <v>641</v>
      </c>
      <c r="K34" s="965" t="s">
        <v>419</v>
      </c>
      <c r="L34" s="965" t="s">
        <v>419</v>
      </c>
      <c r="M34" s="1009"/>
      <c r="N34"/>
      <c r="O34"/>
      <c r="P34"/>
      <c r="Q34"/>
      <c r="R34"/>
      <c r="S34"/>
      <c r="T34"/>
      <c r="U34"/>
      <c r="V34"/>
      <c r="W34"/>
      <c r="X34"/>
      <c r="Y34"/>
      <c r="Z34"/>
      <c r="AA34"/>
      <c r="AB34"/>
      <c r="AC34"/>
      <c r="AD34"/>
    </row>
    <row r="35" spans="1:30" s="800" customFormat="1" ht="24.95" customHeight="1" x14ac:dyDescent="0.35">
      <c r="A35" s="968">
        <v>44786</v>
      </c>
      <c r="B35" s="930" t="s">
        <v>652</v>
      </c>
      <c r="C35" s="925"/>
      <c r="D35" s="925" t="s">
        <v>94</v>
      </c>
      <c r="E35" s="925"/>
      <c r="F35" s="964"/>
      <c r="G35" s="964"/>
      <c r="H35" s="964">
        <v>2136</v>
      </c>
      <c r="I35" s="964"/>
      <c r="J35" s="964" t="s">
        <v>170</v>
      </c>
      <c r="K35" s="965">
        <v>193400</v>
      </c>
      <c r="L35" s="965">
        <v>193400</v>
      </c>
      <c r="M35" s="1009"/>
      <c r="N35"/>
      <c r="O35"/>
      <c r="P35"/>
      <c r="Q35"/>
      <c r="R35"/>
      <c r="S35"/>
      <c r="T35"/>
      <c r="U35"/>
      <c r="V35"/>
      <c r="W35"/>
      <c r="X35"/>
      <c r="Y35"/>
      <c r="Z35"/>
      <c r="AA35"/>
      <c r="AB35"/>
      <c r="AC35"/>
      <c r="AD35"/>
    </row>
    <row r="36" spans="1:30" s="800" customFormat="1" ht="24.95" customHeight="1" x14ac:dyDescent="0.35">
      <c r="A36" s="968">
        <v>44954</v>
      </c>
      <c r="B36" s="930" t="s">
        <v>480</v>
      </c>
      <c r="C36" s="925"/>
      <c r="D36" s="925" t="s">
        <v>92</v>
      </c>
      <c r="E36" s="925">
        <v>832</v>
      </c>
      <c r="F36" s="964"/>
      <c r="G36" s="964"/>
      <c r="H36" s="964"/>
      <c r="I36" s="964"/>
      <c r="J36" s="964">
        <v>5373</v>
      </c>
      <c r="K36" s="965">
        <v>666000</v>
      </c>
      <c r="L36" s="965">
        <v>666000</v>
      </c>
      <c r="M36" s="1009"/>
      <c r="N36"/>
      <c r="O36"/>
      <c r="P36"/>
      <c r="Q36"/>
      <c r="R36"/>
      <c r="S36"/>
      <c r="T36"/>
      <c r="U36"/>
      <c r="V36"/>
      <c r="W36"/>
      <c r="X36"/>
      <c r="Y36"/>
      <c r="Z36"/>
      <c r="AA36"/>
      <c r="AB36"/>
      <c r="AC36"/>
      <c r="AD36"/>
    </row>
    <row r="37" spans="1:30" s="800" customFormat="1" ht="24.95" customHeight="1" x14ac:dyDescent="0.35">
      <c r="A37" s="968">
        <v>44954</v>
      </c>
      <c r="B37" s="930" t="s">
        <v>480</v>
      </c>
      <c r="C37" s="925"/>
      <c r="D37" s="925" t="s">
        <v>92</v>
      </c>
      <c r="E37" s="925">
        <v>833</v>
      </c>
      <c r="F37" s="964"/>
      <c r="G37" s="964"/>
      <c r="H37" s="964"/>
      <c r="I37" s="964"/>
      <c r="J37" s="964">
        <v>5374</v>
      </c>
      <c r="K37" s="965">
        <v>657658.5</v>
      </c>
      <c r="L37" s="965">
        <v>657658.5</v>
      </c>
      <c r="M37" s="1009"/>
      <c r="N37"/>
      <c r="O37"/>
      <c r="P37"/>
      <c r="Q37"/>
      <c r="R37"/>
      <c r="S37"/>
      <c r="T37"/>
      <c r="U37"/>
      <c r="V37"/>
      <c r="W37"/>
      <c r="X37"/>
      <c r="Y37"/>
      <c r="Z37"/>
      <c r="AA37"/>
      <c r="AB37"/>
      <c r="AC37"/>
      <c r="AD37"/>
    </row>
    <row r="38" spans="1:30" s="800" customFormat="1" ht="24.95" customHeight="1" x14ac:dyDescent="0.35">
      <c r="A38" s="968">
        <v>45017</v>
      </c>
      <c r="B38" s="930" t="s">
        <v>480</v>
      </c>
      <c r="C38" s="925"/>
      <c r="D38" s="925" t="s">
        <v>92</v>
      </c>
      <c r="E38" s="925"/>
      <c r="F38" s="964"/>
      <c r="G38" s="964"/>
      <c r="H38" s="964"/>
      <c r="I38" s="964"/>
      <c r="J38" s="964">
        <v>5460</v>
      </c>
      <c r="K38" s="965">
        <v>413995.98</v>
      </c>
      <c r="L38" s="965">
        <v>413995.98</v>
      </c>
      <c r="M38" s="1009"/>
      <c r="N38"/>
      <c r="O38"/>
      <c r="P38"/>
      <c r="Q38"/>
      <c r="R38"/>
      <c r="S38"/>
      <c r="T38"/>
      <c r="U38"/>
      <c r="V38"/>
      <c r="W38"/>
      <c r="X38"/>
      <c r="Y38"/>
      <c r="Z38"/>
      <c r="AA38"/>
      <c r="AB38"/>
      <c r="AC38"/>
      <c r="AD38"/>
    </row>
    <row r="39" spans="1:30" s="800" customFormat="1" ht="24.95" customHeight="1" x14ac:dyDescent="0.35">
      <c r="A39" s="968">
        <v>45181</v>
      </c>
      <c r="B39" s="930" t="s">
        <v>480</v>
      </c>
      <c r="C39" s="925"/>
      <c r="D39" s="925" t="s">
        <v>92</v>
      </c>
      <c r="E39" s="925"/>
      <c r="F39" s="964" t="s">
        <v>654</v>
      </c>
      <c r="G39" s="964"/>
      <c r="H39" s="964"/>
      <c r="I39" s="964"/>
      <c r="J39" s="964">
        <v>5606</v>
      </c>
      <c r="K39" s="965">
        <v>676930.8</v>
      </c>
      <c r="L39" s="965">
        <v>676930.8</v>
      </c>
      <c r="M39" s="1009"/>
      <c r="N39"/>
      <c r="O39"/>
      <c r="P39"/>
      <c r="Q39"/>
      <c r="R39"/>
      <c r="S39"/>
      <c r="T39"/>
      <c r="U39"/>
      <c r="V39"/>
      <c r="W39"/>
      <c r="X39"/>
      <c r="Y39"/>
      <c r="Z39"/>
      <c r="AA39"/>
      <c r="AB39"/>
      <c r="AC39"/>
      <c r="AD39"/>
    </row>
    <row r="40" spans="1:30" s="800" customFormat="1" ht="24.95" customHeight="1" x14ac:dyDescent="0.35">
      <c r="A40" s="968">
        <v>45386</v>
      </c>
      <c r="B40" s="930" t="s">
        <v>480</v>
      </c>
      <c r="C40" s="925"/>
      <c r="D40" s="925" t="s">
        <v>90</v>
      </c>
      <c r="E40" s="925"/>
      <c r="F40" s="964"/>
      <c r="G40" s="964"/>
      <c r="H40" s="964"/>
      <c r="I40" s="964"/>
      <c r="J40" s="964">
        <v>5776</v>
      </c>
      <c r="K40" s="965">
        <v>455997.92</v>
      </c>
      <c r="L40" s="965">
        <v>455997.92</v>
      </c>
      <c r="M40" s="1009"/>
      <c r="N40"/>
      <c r="O40"/>
      <c r="P40"/>
      <c r="Q40"/>
      <c r="R40"/>
      <c r="S40"/>
      <c r="T40"/>
      <c r="U40"/>
      <c r="V40"/>
      <c r="W40"/>
      <c r="X40"/>
      <c r="Y40"/>
      <c r="Z40"/>
      <c r="AA40"/>
      <c r="AB40"/>
      <c r="AC40"/>
      <c r="AD40"/>
    </row>
    <row r="41" spans="1:30" s="800" customFormat="1" ht="24.95" customHeight="1" x14ac:dyDescent="0.35">
      <c r="A41" s="968">
        <v>45601</v>
      </c>
      <c r="B41" s="930" t="s">
        <v>480</v>
      </c>
      <c r="C41" s="925"/>
      <c r="D41" s="925" t="s">
        <v>90</v>
      </c>
      <c r="E41" s="925"/>
      <c r="F41" s="964"/>
      <c r="G41" s="964"/>
      <c r="H41" s="964"/>
      <c r="I41" s="964"/>
      <c r="J41" s="964">
        <v>5920</v>
      </c>
      <c r="K41" s="965">
        <v>310000</v>
      </c>
      <c r="L41" s="965">
        <v>310000</v>
      </c>
      <c r="M41" s="1009"/>
      <c r="N41"/>
      <c r="O41"/>
      <c r="P41"/>
      <c r="Q41"/>
      <c r="R41"/>
      <c r="S41"/>
      <c r="T41"/>
      <c r="U41"/>
      <c r="V41"/>
      <c r="W41"/>
      <c r="X41"/>
      <c r="Y41"/>
      <c r="Z41"/>
      <c r="AA41"/>
      <c r="AB41"/>
      <c r="AC41"/>
      <c r="AD41"/>
    </row>
    <row r="42" spans="1:30" s="800" customFormat="1" ht="24.95" customHeight="1" x14ac:dyDescent="0.35">
      <c r="A42" s="968">
        <v>45680</v>
      </c>
      <c r="B42" s="930" t="s">
        <v>480</v>
      </c>
      <c r="C42" s="925"/>
      <c r="D42" s="925" t="s">
        <v>90</v>
      </c>
      <c r="E42" s="925"/>
      <c r="F42" s="964"/>
      <c r="G42" s="964"/>
      <c r="H42" s="964">
        <v>2343</v>
      </c>
      <c r="I42" s="964"/>
      <c r="J42" s="964">
        <v>5979</v>
      </c>
      <c r="K42" s="965">
        <v>45000</v>
      </c>
      <c r="L42" s="965">
        <v>45000</v>
      </c>
      <c r="M42" s="1009"/>
      <c r="N42"/>
      <c r="O42"/>
      <c r="P42"/>
      <c r="Q42"/>
      <c r="R42"/>
      <c r="S42"/>
      <c r="T42"/>
      <c r="U42"/>
      <c r="V42"/>
      <c r="W42"/>
      <c r="X42"/>
      <c r="Y42"/>
      <c r="Z42"/>
      <c r="AA42"/>
      <c r="AB42"/>
      <c r="AC42"/>
      <c r="AD42"/>
    </row>
    <row r="43" spans="1:30" s="800" customFormat="1" ht="24.95" customHeight="1" x14ac:dyDescent="0.35">
      <c r="A43" s="968">
        <v>45731</v>
      </c>
      <c r="B43" s="930" t="s">
        <v>480</v>
      </c>
      <c r="C43" s="925"/>
      <c r="D43" s="925" t="s">
        <v>90</v>
      </c>
      <c r="E43" s="925"/>
      <c r="F43" s="964"/>
      <c r="G43" s="964"/>
      <c r="H43" s="964"/>
      <c r="I43" s="964"/>
      <c r="J43" s="964" t="s">
        <v>481</v>
      </c>
      <c r="K43" s="965" t="s">
        <v>419</v>
      </c>
      <c r="L43" s="965" t="s">
        <v>419</v>
      </c>
      <c r="M43" s="1009"/>
      <c r="N43"/>
      <c r="O43"/>
      <c r="P43"/>
      <c r="Q43"/>
      <c r="R43"/>
      <c r="S43"/>
      <c r="T43"/>
      <c r="U43"/>
      <c r="V43"/>
      <c r="W43"/>
      <c r="X43"/>
      <c r="Y43"/>
      <c r="Z43"/>
      <c r="AA43"/>
      <c r="AB43"/>
      <c r="AC43"/>
      <c r="AD43"/>
    </row>
    <row r="44" spans="1:30" s="800" customFormat="1" ht="24.95" customHeight="1" x14ac:dyDescent="0.35">
      <c r="A44" s="968">
        <v>2023</v>
      </c>
      <c r="B44" s="930" t="s">
        <v>191</v>
      </c>
      <c r="C44" s="925"/>
      <c r="D44" s="925" t="s">
        <v>92</v>
      </c>
      <c r="E44" s="925"/>
      <c r="F44" s="964"/>
      <c r="G44" s="964"/>
      <c r="H44" s="964"/>
      <c r="I44" s="964"/>
      <c r="J44" s="964" t="s">
        <v>118</v>
      </c>
      <c r="K44" s="965">
        <v>67000</v>
      </c>
      <c r="L44" s="965">
        <v>67000</v>
      </c>
      <c r="M44" s="1009"/>
      <c r="N44"/>
      <c r="O44"/>
      <c r="P44"/>
      <c r="Q44"/>
      <c r="R44"/>
      <c r="S44"/>
      <c r="T44"/>
      <c r="U44"/>
      <c r="V44"/>
      <c r="W44"/>
      <c r="X44"/>
      <c r="Y44"/>
      <c r="Z44"/>
      <c r="AA44"/>
      <c r="AB44"/>
      <c r="AC44"/>
      <c r="AD44"/>
    </row>
    <row r="45" spans="1:30" s="782" customFormat="1" ht="24.95" customHeight="1" x14ac:dyDescent="0.35">
      <c r="A45" s="968">
        <v>45147</v>
      </c>
      <c r="B45" s="930" t="s">
        <v>653</v>
      </c>
      <c r="C45" s="925"/>
      <c r="D45" s="925" t="s">
        <v>92</v>
      </c>
      <c r="E45" s="925"/>
      <c r="F45" s="964"/>
      <c r="G45" s="964"/>
      <c r="H45" s="964"/>
      <c r="I45" s="964"/>
      <c r="J45" s="964">
        <v>5568</v>
      </c>
      <c r="K45" s="965">
        <v>10000</v>
      </c>
      <c r="L45" s="965">
        <v>10000</v>
      </c>
      <c r="M45" s="1009"/>
      <c r="N45"/>
      <c r="O45"/>
      <c r="P45"/>
      <c r="Q45"/>
      <c r="R45"/>
      <c r="S45"/>
      <c r="T45"/>
      <c r="U45"/>
      <c r="V45"/>
      <c r="W45"/>
      <c r="X45"/>
      <c r="Y45"/>
      <c r="Z45"/>
      <c r="AA45"/>
      <c r="AB45"/>
      <c r="AC45"/>
      <c r="AD45"/>
    </row>
    <row r="46" spans="1:30" s="782" customFormat="1" ht="24.95" customHeight="1" x14ac:dyDescent="0.35">
      <c r="A46" s="968">
        <v>45195</v>
      </c>
      <c r="B46" s="930" t="s">
        <v>271</v>
      </c>
      <c r="C46" s="925"/>
      <c r="D46" s="925" t="s">
        <v>92</v>
      </c>
      <c r="E46" s="925"/>
      <c r="F46" s="964"/>
      <c r="G46" s="964"/>
      <c r="H46" s="964"/>
      <c r="I46" s="964"/>
      <c r="J46" s="964" t="s">
        <v>272</v>
      </c>
      <c r="K46" s="965">
        <v>2339.29</v>
      </c>
      <c r="L46" s="965">
        <v>2339.29</v>
      </c>
      <c r="M46" s="1009"/>
      <c r="N46"/>
      <c r="O46"/>
      <c r="P46"/>
      <c r="Q46"/>
      <c r="R46"/>
      <c r="S46"/>
      <c r="T46"/>
      <c r="U46"/>
      <c r="V46"/>
      <c r="W46"/>
      <c r="X46"/>
      <c r="Y46"/>
      <c r="Z46"/>
      <c r="AA46"/>
      <c r="AB46"/>
      <c r="AC46"/>
      <c r="AD46"/>
    </row>
    <row r="47" spans="1:30" s="782" customFormat="1" ht="24.95" customHeight="1" x14ac:dyDescent="0.35">
      <c r="A47" s="968">
        <v>45859</v>
      </c>
      <c r="B47" s="930" t="s">
        <v>271</v>
      </c>
      <c r="C47" s="925"/>
      <c r="D47" s="925" t="s">
        <v>282</v>
      </c>
      <c r="E47" s="925"/>
      <c r="F47" s="964"/>
      <c r="G47" s="964"/>
      <c r="H47" s="964"/>
      <c r="I47" s="964"/>
      <c r="J47" s="964" t="s">
        <v>572</v>
      </c>
      <c r="K47" s="965">
        <v>9850</v>
      </c>
      <c r="L47" s="965">
        <v>9850</v>
      </c>
      <c r="M47" s="1009"/>
      <c r="N47"/>
      <c r="O47"/>
      <c r="P47"/>
      <c r="Q47"/>
      <c r="R47"/>
      <c r="S47"/>
      <c r="T47"/>
      <c r="U47"/>
      <c r="V47"/>
      <c r="W47"/>
      <c r="X47"/>
      <c r="Y47"/>
      <c r="Z47"/>
      <c r="AA47"/>
      <c r="AB47"/>
      <c r="AC47"/>
      <c r="AD47"/>
    </row>
    <row r="48" spans="1:30" s="782" customFormat="1" ht="24.95" customHeight="1" x14ac:dyDescent="0.35">
      <c r="A48" s="968">
        <v>46254</v>
      </c>
      <c r="B48" s="930" t="s">
        <v>271</v>
      </c>
      <c r="C48" s="925"/>
      <c r="D48" s="925" t="s">
        <v>282</v>
      </c>
      <c r="E48" s="925"/>
      <c r="F48" s="964"/>
      <c r="G48" s="964"/>
      <c r="H48" s="964"/>
      <c r="I48" s="964"/>
      <c r="J48" s="964" t="s">
        <v>1013</v>
      </c>
      <c r="K48" s="965">
        <v>380000</v>
      </c>
      <c r="L48" s="965">
        <v>380000</v>
      </c>
      <c r="M48" s="1009"/>
      <c r="N48"/>
      <c r="O48"/>
      <c r="P48"/>
      <c r="Q48"/>
      <c r="R48"/>
      <c r="S48"/>
      <c r="T48"/>
      <c r="U48"/>
      <c r="V48"/>
      <c r="W48"/>
      <c r="X48"/>
      <c r="Y48"/>
      <c r="Z48"/>
      <c r="AA48"/>
      <c r="AB48"/>
      <c r="AC48"/>
      <c r="AD48"/>
    </row>
    <row r="49" spans="1:30" s="782" customFormat="1" ht="24.95" customHeight="1" x14ac:dyDescent="0.35">
      <c r="A49" s="968">
        <v>46254</v>
      </c>
      <c r="B49" s="930" t="s">
        <v>271</v>
      </c>
      <c r="C49" s="925"/>
      <c r="D49" s="925" t="s">
        <v>282</v>
      </c>
      <c r="E49" s="925"/>
      <c r="F49" s="964"/>
      <c r="G49" s="964"/>
      <c r="H49" s="964"/>
      <c r="I49" s="964"/>
      <c r="J49" s="964" t="s">
        <v>1014</v>
      </c>
      <c r="K49" s="965">
        <v>243560</v>
      </c>
      <c r="L49" s="965">
        <v>243560</v>
      </c>
      <c r="M49" s="1009"/>
      <c r="N49"/>
      <c r="O49"/>
      <c r="P49"/>
      <c r="Q49"/>
      <c r="R49"/>
      <c r="S49"/>
      <c r="T49"/>
      <c r="U49"/>
      <c r="V49"/>
      <c r="W49"/>
      <c r="X49"/>
      <c r="Y49"/>
      <c r="Z49"/>
      <c r="AA49"/>
      <c r="AB49"/>
      <c r="AC49"/>
      <c r="AD49"/>
    </row>
    <row r="50" spans="1:30" s="782" customFormat="1" ht="24.95" customHeight="1" x14ac:dyDescent="0.35">
      <c r="A50" s="968">
        <v>46254</v>
      </c>
      <c r="B50" s="930" t="s">
        <v>271</v>
      </c>
      <c r="C50" s="925"/>
      <c r="D50" s="925" t="s">
        <v>282</v>
      </c>
      <c r="E50" s="925"/>
      <c r="F50" s="964"/>
      <c r="G50" s="964"/>
      <c r="H50" s="964"/>
      <c r="I50" s="964"/>
      <c r="J50" s="964" t="s">
        <v>1015</v>
      </c>
      <c r="K50" s="965">
        <v>224890</v>
      </c>
      <c r="L50" s="965">
        <v>224890</v>
      </c>
      <c r="M50" s="1009"/>
      <c r="N50"/>
      <c r="O50"/>
      <c r="P50"/>
      <c r="Q50"/>
      <c r="R50"/>
      <c r="S50"/>
      <c r="T50"/>
      <c r="U50"/>
      <c r="V50"/>
      <c r="W50"/>
      <c r="X50"/>
      <c r="Y50"/>
      <c r="Z50"/>
      <c r="AA50"/>
      <c r="AB50"/>
      <c r="AC50"/>
      <c r="AD50"/>
    </row>
    <row r="51" spans="1:30" s="782" customFormat="1" ht="24.95" customHeight="1" x14ac:dyDescent="0.35">
      <c r="A51" s="968" t="s">
        <v>421</v>
      </c>
      <c r="B51" s="930" t="s">
        <v>417</v>
      </c>
      <c r="C51" s="925"/>
      <c r="D51" s="925" t="s">
        <v>90</v>
      </c>
      <c r="E51" s="925"/>
      <c r="F51" s="964"/>
      <c r="G51" s="964"/>
      <c r="H51" s="964"/>
      <c r="I51" s="964"/>
      <c r="J51" s="964" t="s">
        <v>456</v>
      </c>
      <c r="K51" s="965" t="s">
        <v>419</v>
      </c>
      <c r="L51" s="965" t="s">
        <v>419</v>
      </c>
      <c r="M51" s="1009"/>
      <c r="N51"/>
      <c r="O51"/>
      <c r="P51"/>
      <c r="Q51"/>
      <c r="R51"/>
      <c r="S51"/>
      <c r="T51"/>
      <c r="U51"/>
      <c r="V51"/>
      <c r="W51"/>
      <c r="X51"/>
      <c r="Y51"/>
      <c r="Z51"/>
      <c r="AA51"/>
      <c r="AB51"/>
      <c r="AC51"/>
      <c r="AD51"/>
    </row>
    <row r="52" spans="1:30" s="782" customFormat="1" ht="24.95" customHeight="1" x14ac:dyDescent="0.35">
      <c r="A52" s="968">
        <v>45897</v>
      </c>
      <c r="B52" s="930" t="s">
        <v>417</v>
      </c>
      <c r="C52" s="925"/>
      <c r="D52" s="925" t="s">
        <v>90</v>
      </c>
      <c r="E52" s="925"/>
      <c r="F52" s="964"/>
      <c r="G52" s="964"/>
      <c r="H52" s="964"/>
      <c r="I52" s="964"/>
      <c r="J52" s="964" t="s">
        <v>609</v>
      </c>
      <c r="K52" s="965" t="s">
        <v>419</v>
      </c>
      <c r="L52" s="965" t="s">
        <v>419</v>
      </c>
      <c r="M52" s="1009"/>
      <c r="N52"/>
      <c r="O52"/>
      <c r="P52"/>
      <c r="Q52"/>
      <c r="R52"/>
      <c r="S52"/>
      <c r="T52"/>
      <c r="U52"/>
      <c r="V52"/>
      <c r="W52"/>
      <c r="X52"/>
      <c r="Y52"/>
      <c r="Z52"/>
      <c r="AA52"/>
      <c r="AB52"/>
      <c r="AC52"/>
      <c r="AD52"/>
    </row>
    <row r="53" spans="1:30" s="782" customFormat="1" ht="24.95" customHeight="1" x14ac:dyDescent="0.35">
      <c r="A53" s="968">
        <v>45985</v>
      </c>
      <c r="B53" s="930" t="s">
        <v>417</v>
      </c>
      <c r="C53" s="925"/>
      <c r="D53" s="925" t="s">
        <v>90</v>
      </c>
      <c r="E53" s="925"/>
      <c r="F53" s="964"/>
      <c r="G53" s="964"/>
      <c r="H53" s="964"/>
      <c r="I53" s="964"/>
      <c r="J53" s="964" t="s">
        <v>688</v>
      </c>
      <c r="K53" s="965" t="s">
        <v>419</v>
      </c>
      <c r="L53" s="965" t="s">
        <v>419</v>
      </c>
      <c r="M53" s="1009"/>
      <c r="N53"/>
      <c r="O53"/>
      <c r="P53"/>
      <c r="Q53"/>
      <c r="R53"/>
      <c r="S53"/>
      <c r="T53"/>
      <c r="U53"/>
      <c r="V53"/>
      <c r="W53"/>
      <c r="X53"/>
      <c r="Y53"/>
      <c r="Z53"/>
      <c r="AA53"/>
      <c r="AB53"/>
      <c r="AC53"/>
      <c r="AD53"/>
    </row>
    <row r="54" spans="1:30" s="749" customFormat="1" ht="24.95" customHeight="1" x14ac:dyDescent="0.35">
      <c r="A54" s="968">
        <v>46041</v>
      </c>
      <c r="B54" s="930" t="s">
        <v>417</v>
      </c>
      <c r="C54" s="925"/>
      <c r="D54" s="964" t="s">
        <v>90</v>
      </c>
      <c r="E54" s="964"/>
      <c r="F54" s="964"/>
      <c r="G54" s="964"/>
      <c r="H54" s="964"/>
      <c r="I54" s="964"/>
      <c r="J54" s="964" t="s">
        <v>724</v>
      </c>
      <c r="K54" s="965" t="s">
        <v>419</v>
      </c>
      <c r="L54" s="965" t="s">
        <v>419</v>
      </c>
      <c r="M54" s="1009"/>
      <c r="N54"/>
      <c r="O54"/>
      <c r="P54"/>
      <c r="Q54"/>
      <c r="R54"/>
      <c r="S54"/>
      <c r="T54"/>
      <c r="U54"/>
      <c r="V54"/>
      <c r="W54"/>
      <c r="X54"/>
      <c r="Y54"/>
      <c r="Z54"/>
      <c r="AA54"/>
      <c r="AB54"/>
      <c r="AC54"/>
      <c r="AD54"/>
    </row>
    <row r="55" spans="1:30" s="782" customFormat="1" ht="24.95" customHeight="1" x14ac:dyDescent="0.35">
      <c r="A55" s="968">
        <v>45313</v>
      </c>
      <c r="B55" s="930" t="s">
        <v>230</v>
      </c>
      <c r="C55" s="925"/>
      <c r="D55" s="925" t="s">
        <v>92</v>
      </c>
      <c r="E55" s="925"/>
      <c r="F55" s="964"/>
      <c r="G55" s="964"/>
      <c r="H55" s="964"/>
      <c r="I55" s="964"/>
      <c r="J55" s="964">
        <v>5715</v>
      </c>
      <c r="K55" s="965">
        <v>78</v>
      </c>
      <c r="L55" s="965">
        <v>78</v>
      </c>
      <c r="M55" s="1009"/>
      <c r="N55"/>
      <c r="O55"/>
      <c r="P55"/>
      <c r="Q55"/>
      <c r="R55"/>
      <c r="S55"/>
      <c r="T55"/>
      <c r="U55"/>
      <c r="V55"/>
      <c r="W55"/>
      <c r="X55"/>
      <c r="Y55"/>
      <c r="Z55"/>
      <c r="AA55"/>
      <c r="AB55"/>
      <c r="AC55"/>
      <c r="AD55"/>
    </row>
    <row r="56" spans="1:30" s="782" customFormat="1" ht="24.95" customHeight="1" x14ac:dyDescent="0.35">
      <c r="A56" s="968">
        <v>45371</v>
      </c>
      <c r="B56" s="930" t="s">
        <v>655</v>
      </c>
      <c r="C56" s="925"/>
      <c r="D56" s="925" t="s">
        <v>221</v>
      </c>
      <c r="E56" s="925"/>
      <c r="F56" s="964"/>
      <c r="G56" s="964"/>
      <c r="H56" s="964"/>
      <c r="I56" s="964"/>
      <c r="J56" s="964">
        <v>5769</v>
      </c>
      <c r="K56" s="965">
        <v>250</v>
      </c>
      <c r="L56" s="965">
        <v>250</v>
      </c>
      <c r="M56" s="1009"/>
      <c r="N56"/>
      <c r="O56"/>
      <c r="P56"/>
      <c r="Q56"/>
      <c r="R56"/>
      <c r="S56"/>
      <c r="T56"/>
      <c r="U56"/>
      <c r="V56"/>
      <c r="W56"/>
      <c r="X56"/>
      <c r="Y56"/>
      <c r="Z56"/>
      <c r="AA56"/>
      <c r="AB56"/>
      <c r="AC56"/>
      <c r="AD56"/>
    </row>
    <row r="57" spans="1:30" s="782" customFormat="1" ht="24.95" customHeight="1" x14ac:dyDescent="0.35">
      <c r="A57" s="968">
        <v>45421</v>
      </c>
      <c r="B57" s="930" t="s">
        <v>545</v>
      </c>
      <c r="C57" s="925"/>
      <c r="D57" s="925" t="s">
        <v>90</v>
      </c>
      <c r="E57" s="925"/>
      <c r="F57" s="964"/>
      <c r="G57" s="964"/>
      <c r="H57" s="964"/>
      <c r="I57" s="964"/>
      <c r="J57" s="964">
        <v>5799</v>
      </c>
      <c r="K57" s="965">
        <v>101150</v>
      </c>
      <c r="L57" s="965">
        <v>101150</v>
      </c>
      <c r="M57" s="1009"/>
      <c r="N57"/>
      <c r="O57"/>
      <c r="P57"/>
      <c r="Q57"/>
      <c r="R57"/>
      <c r="S57"/>
      <c r="T57"/>
      <c r="U57"/>
      <c r="V57"/>
      <c r="W57"/>
      <c r="X57"/>
      <c r="Y57"/>
      <c r="Z57"/>
      <c r="AA57"/>
      <c r="AB57"/>
      <c r="AC57"/>
      <c r="AD57"/>
    </row>
    <row r="58" spans="1:30" s="782" customFormat="1" ht="24.95" customHeight="1" x14ac:dyDescent="0.35">
      <c r="A58" s="968">
        <v>45512</v>
      </c>
      <c r="B58" s="930" t="s">
        <v>545</v>
      </c>
      <c r="C58" s="925"/>
      <c r="D58" s="925" t="s">
        <v>90</v>
      </c>
      <c r="E58" s="925"/>
      <c r="F58" s="964" t="s">
        <v>486</v>
      </c>
      <c r="G58" s="964"/>
      <c r="H58" s="964"/>
      <c r="I58" s="964"/>
      <c r="J58" s="964">
        <v>5860</v>
      </c>
      <c r="K58" s="965">
        <v>194000</v>
      </c>
      <c r="L58" s="965">
        <v>194000</v>
      </c>
      <c r="M58" s="1009"/>
      <c r="N58"/>
      <c r="O58"/>
      <c r="P58"/>
      <c r="Q58"/>
      <c r="R58"/>
      <c r="S58"/>
      <c r="T58"/>
      <c r="U58"/>
      <c r="V58"/>
      <c r="W58"/>
      <c r="X58"/>
      <c r="Y58"/>
      <c r="Z58"/>
      <c r="AA58"/>
      <c r="AB58"/>
      <c r="AC58"/>
      <c r="AD58"/>
    </row>
    <row r="59" spans="1:30" s="813" customFormat="1" ht="24.95" customHeight="1" x14ac:dyDescent="0.35">
      <c r="A59" s="968">
        <v>45539</v>
      </c>
      <c r="B59" s="930" t="s">
        <v>545</v>
      </c>
      <c r="C59" s="925"/>
      <c r="D59" s="925" t="s">
        <v>90</v>
      </c>
      <c r="E59" s="925"/>
      <c r="F59" s="964"/>
      <c r="G59" s="964"/>
      <c r="H59" s="964"/>
      <c r="I59" s="964"/>
      <c r="J59" s="964">
        <v>5881</v>
      </c>
      <c r="K59" s="965" t="s">
        <v>419</v>
      </c>
      <c r="L59" s="965" t="s">
        <v>419</v>
      </c>
      <c r="M59" s="1009"/>
      <c r="N59"/>
      <c r="O59"/>
      <c r="P59"/>
      <c r="Q59"/>
      <c r="R59"/>
      <c r="S59"/>
      <c r="T59"/>
      <c r="U59"/>
      <c r="V59"/>
      <c r="W59"/>
      <c r="X59"/>
      <c r="Y59"/>
      <c r="Z59"/>
      <c r="AA59"/>
      <c r="AB59"/>
      <c r="AC59"/>
      <c r="AD59"/>
    </row>
    <row r="60" spans="1:30" s="813" customFormat="1" ht="24.95" customHeight="1" x14ac:dyDescent="0.35">
      <c r="A60" s="968" t="s">
        <v>658</v>
      </c>
      <c r="B60" s="930" t="s">
        <v>545</v>
      </c>
      <c r="C60" s="925"/>
      <c r="D60" s="925" t="s">
        <v>90</v>
      </c>
      <c r="E60" s="925"/>
      <c r="F60" s="964"/>
      <c r="G60" s="964"/>
      <c r="H60" s="964"/>
      <c r="I60" s="964"/>
      <c r="J60" s="964" t="s">
        <v>498</v>
      </c>
      <c r="K60" s="965">
        <v>167500</v>
      </c>
      <c r="L60" s="965">
        <v>167500</v>
      </c>
      <c r="M60" s="1009"/>
      <c r="N60"/>
      <c r="O60"/>
      <c r="P60"/>
      <c r="Q60"/>
      <c r="R60"/>
      <c r="S60"/>
      <c r="T60"/>
      <c r="U60"/>
      <c r="V60"/>
      <c r="W60"/>
      <c r="X60"/>
      <c r="Y60"/>
      <c r="Z60"/>
      <c r="AA60"/>
      <c r="AB60"/>
      <c r="AC60"/>
      <c r="AD60"/>
    </row>
    <row r="61" spans="1:30" s="1005" customFormat="1" ht="24.95" customHeight="1" x14ac:dyDescent="0.25">
      <c r="A61" s="1000" t="s">
        <v>421</v>
      </c>
      <c r="B61" s="1007" t="s">
        <v>545</v>
      </c>
      <c r="C61" s="1002"/>
      <c r="D61" s="1002" t="s">
        <v>90</v>
      </c>
      <c r="E61" s="1002"/>
      <c r="F61" s="1003"/>
      <c r="G61" s="1003"/>
      <c r="H61" s="1003"/>
      <c r="I61" s="1003"/>
      <c r="J61" s="1003" t="s">
        <v>582</v>
      </c>
      <c r="K61" s="1004">
        <v>948000</v>
      </c>
      <c r="L61" s="1004"/>
      <c r="M61" s="1002" t="s">
        <v>943</v>
      </c>
      <c r="N61" s="1006"/>
      <c r="O61" s="1006"/>
      <c r="P61" s="1006"/>
      <c r="Q61" s="1006"/>
      <c r="R61" s="1006"/>
      <c r="S61" s="1006"/>
      <c r="T61" s="1006"/>
      <c r="U61" s="1006"/>
      <c r="V61" s="1006"/>
      <c r="W61" s="1006"/>
      <c r="X61" s="1006"/>
      <c r="Y61" s="1006"/>
      <c r="Z61" s="1006"/>
      <c r="AA61" s="1006"/>
      <c r="AB61" s="1006"/>
      <c r="AC61" s="1006"/>
      <c r="AD61" s="1006"/>
    </row>
    <row r="62" spans="1:30" s="813" customFormat="1" ht="24.95" customHeight="1" x14ac:dyDescent="0.35">
      <c r="A62" s="968" t="s">
        <v>421</v>
      </c>
      <c r="B62" s="930" t="s">
        <v>545</v>
      </c>
      <c r="C62" s="925"/>
      <c r="D62" s="925" t="s">
        <v>90</v>
      </c>
      <c r="E62" s="925"/>
      <c r="F62" s="964" t="s">
        <v>676</v>
      </c>
      <c r="G62" s="964"/>
      <c r="H62" s="964"/>
      <c r="I62" s="964"/>
      <c r="J62" s="964" t="s">
        <v>603</v>
      </c>
      <c r="K62" s="965">
        <v>685000</v>
      </c>
      <c r="L62" s="965">
        <v>685000</v>
      </c>
      <c r="M62" s="1009"/>
      <c r="N62"/>
      <c r="O62"/>
      <c r="P62"/>
      <c r="Q62"/>
      <c r="R62"/>
      <c r="S62"/>
      <c r="T62"/>
      <c r="U62"/>
      <c r="V62"/>
      <c r="W62"/>
      <c r="X62"/>
      <c r="Y62"/>
      <c r="Z62"/>
      <c r="AA62"/>
      <c r="AB62"/>
      <c r="AC62"/>
      <c r="AD62"/>
    </row>
    <row r="63" spans="1:30" s="813" customFormat="1" ht="24.95" customHeight="1" x14ac:dyDescent="0.35">
      <c r="A63" s="968">
        <v>45952</v>
      </c>
      <c r="B63" s="930" t="s">
        <v>545</v>
      </c>
      <c r="C63" s="925"/>
      <c r="D63" s="925" t="s">
        <v>90</v>
      </c>
      <c r="E63" s="925"/>
      <c r="F63" s="964"/>
      <c r="G63" s="964"/>
      <c r="H63" s="964"/>
      <c r="I63" s="964"/>
      <c r="J63" s="964" t="s">
        <v>645</v>
      </c>
      <c r="K63" s="965" t="s">
        <v>419</v>
      </c>
      <c r="L63" s="965" t="s">
        <v>419</v>
      </c>
      <c r="M63" s="1009"/>
      <c r="N63"/>
      <c r="O63"/>
      <c r="P63"/>
      <c r="Q63"/>
      <c r="R63"/>
      <c r="S63"/>
      <c r="T63"/>
      <c r="U63"/>
      <c r="V63"/>
      <c r="W63"/>
      <c r="X63"/>
      <c r="Y63"/>
      <c r="Z63"/>
      <c r="AA63"/>
      <c r="AB63"/>
      <c r="AC63"/>
      <c r="AD63"/>
    </row>
    <row r="64" spans="1:30" s="813" customFormat="1" ht="24.95" customHeight="1" x14ac:dyDescent="0.35">
      <c r="A64" s="968">
        <v>45985</v>
      </c>
      <c r="B64" s="930" t="s">
        <v>545</v>
      </c>
      <c r="C64" s="925"/>
      <c r="D64" s="925" t="s">
        <v>90</v>
      </c>
      <c r="E64" s="925"/>
      <c r="F64" s="964"/>
      <c r="G64" s="964"/>
      <c r="H64" s="964"/>
      <c r="I64" s="964"/>
      <c r="J64" s="964" t="s">
        <v>819</v>
      </c>
      <c r="K64" s="965" t="s">
        <v>419</v>
      </c>
      <c r="L64" s="965" t="s">
        <v>419</v>
      </c>
      <c r="M64" s="1009"/>
      <c r="N64"/>
      <c r="O64"/>
      <c r="P64"/>
      <c r="Q64"/>
      <c r="R64"/>
      <c r="S64"/>
      <c r="T64"/>
      <c r="U64"/>
      <c r="V64"/>
      <c r="W64"/>
      <c r="X64"/>
      <c r="Y64"/>
      <c r="Z64"/>
      <c r="AA64"/>
      <c r="AB64"/>
      <c r="AC64"/>
      <c r="AD64"/>
    </row>
    <row r="65" spans="1:30" s="813" customFormat="1" ht="24.95" customHeight="1" x14ac:dyDescent="0.35">
      <c r="A65" s="968">
        <v>45986</v>
      </c>
      <c r="B65" s="930" t="s">
        <v>545</v>
      </c>
      <c r="C65" s="925"/>
      <c r="D65" s="925" t="s">
        <v>90</v>
      </c>
      <c r="E65" s="925"/>
      <c r="F65" s="964"/>
      <c r="G65" s="964"/>
      <c r="H65" s="964"/>
      <c r="I65" s="964"/>
      <c r="J65" s="964" t="s">
        <v>689</v>
      </c>
      <c r="K65" s="965" t="s">
        <v>419</v>
      </c>
      <c r="L65" s="965" t="s">
        <v>419</v>
      </c>
      <c r="M65" s="1009"/>
      <c r="N65"/>
      <c r="O65"/>
      <c r="P65"/>
      <c r="Q65"/>
      <c r="R65"/>
      <c r="S65"/>
      <c r="T65"/>
      <c r="U65"/>
      <c r="V65"/>
      <c r="W65"/>
      <c r="X65"/>
      <c r="Y65"/>
      <c r="Z65"/>
      <c r="AA65"/>
      <c r="AB65"/>
      <c r="AC65"/>
      <c r="AD65"/>
    </row>
    <row r="66" spans="1:30" s="813" customFormat="1" ht="24.95" customHeight="1" x14ac:dyDescent="0.35">
      <c r="A66" s="968">
        <v>46042</v>
      </c>
      <c r="B66" s="930" t="s">
        <v>545</v>
      </c>
      <c r="C66" s="925"/>
      <c r="D66" s="925" t="s">
        <v>90</v>
      </c>
      <c r="E66" s="925"/>
      <c r="F66" s="964"/>
      <c r="G66" s="964"/>
      <c r="H66" s="964"/>
      <c r="I66" s="964"/>
      <c r="J66" s="964" t="s">
        <v>728</v>
      </c>
      <c r="K66" s="965" t="s">
        <v>419</v>
      </c>
      <c r="L66" s="965" t="s">
        <v>419</v>
      </c>
      <c r="M66" s="1009"/>
      <c r="N66"/>
      <c r="O66"/>
      <c r="P66"/>
      <c r="Q66"/>
      <c r="R66"/>
      <c r="S66"/>
      <c r="T66"/>
      <c r="U66"/>
      <c r="V66"/>
      <c r="W66"/>
      <c r="X66"/>
      <c r="Y66"/>
      <c r="Z66"/>
      <c r="AA66"/>
      <c r="AB66"/>
      <c r="AC66"/>
      <c r="AD66"/>
    </row>
    <row r="67" spans="1:30" s="813" customFormat="1" ht="24.95" customHeight="1" x14ac:dyDescent="0.35">
      <c r="A67" s="968">
        <v>46042</v>
      </c>
      <c r="B67" s="930" t="s">
        <v>545</v>
      </c>
      <c r="C67" s="925"/>
      <c r="D67" s="925" t="s">
        <v>90</v>
      </c>
      <c r="E67" s="925"/>
      <c r="F67" s="964"/>
      <c r="G67" s="964"/>
      <c r="H67" s="964"/>
      <c r="I67" s="964"/>
      <c r="J67" s="964" t="s">
        <v>729</v>
      </c>
      <c r="K67" s="965" t="s">
        <v>419</v>
      </c>
      <c r="L67" s="965" t="s">
        <v>419</v>
      </c>
      <c r="M67" s="1009"/>
      <c r="N67"/>
      <c r="O67"/>
      <c r="P67"/>
      <c r="Q67"/>
      <c r="R67"/>
      <c r="S67"/>
      <c r="T67"/>
      <c r="U67"/>
      <c r="V67"/>
      <c r="W67"/>
      <c r="X67"/>
      <c r="Y67"/>
      <c r="Z67"/>
      <c r="AA67"/>
      <c r="AB67"/>
      <c r="AC67"/>
      <c r="AD67"/>
    </row>
    <row r="68" spans="1:30" s="813" customFormat="1" ht="24.95" customHeight="1" x14ac:dyDescent="0.35">
      <c r="A68" s="968">
        <v>46057</v>
      </c>
      <c r="B68" s="930" t="s">
        <v>545</v>
      </c>
      <c r="C68" s="925"/>
      <c r="D68" s="925" t="s">
        <v>90</v>
      </c>
      <c r="E68" s="925"/>
      <c r="F68" s="964"/>
      <c r="G68" s="964"/>
      <c r="H68" s="964"/>
      <c r="I68" s="964"/>
      <c r="J68" s="964" t="s">
        <v>768</v>
      </c>
      <c r="K68" s="965">
        <v>1702500</v>
      </c>
      <c r="L68" s="965">
        <v>1702500</v>
      </c>
      <c r="M68" s="1009"/>
      <c r="N68"/>
      <c r="O68"/>
      <c r="P68"/>
      <c r="Q68"/>
      <c r="R68"/>
      <c r="S68"/>
      <c r="T68"/>
      <c r="U68"/>
      <c r="V68"/>
      <c r="W68"/>
      <c r="X68"/>
      <c r="Y68"/>
      <c r="Z68"/>
      <c r="AA68"/>
      <c r="AB68"/>
      <c r="AC68"/>
      <c r="AD68"/>
    </row>
    <row r="69" spans="1:30" s="813" customFormat="1" ht="24.95" customHeight="1" x14ac:dyDescent="0.35">
      <c r="A69" s="968"/>
      <c r="B69" s="930" t="s">
        <v>545</v>
      </c>
      <c r="C69" s="925"/>
      <c r="D69" s="925" t="s">
        <v>90</v>
      </c>
      <c r="E69" s="925"/>
      <c r="F69" s="964"/>
      <c r="G69" s="964"/>
      <c r="H69" s="964"/>
      <c r="I69" s="964"/>
      <c r="J69" s="964" t="s">
        <v>780</v>
      </c>
      <c r="K69" s="965" t="s">
        <v>419</v>
      </c>
      <c r="L69" s="965" t="s">
        <v>419</v>
      </c>
      <c r="M69" s="1009"/>
      <c r="N69"/>
      <c r="O69"/>
      <c r="P69"/>
      <c r="Q69"/>
      <c r="R69"/>
      <c r="S69"/>
      <c r="T69"/>
      <c r="U69"/>
      <c r="V69"/>
      <c r="W69"/>
      <c r="X69"/>
      <c r="Y69"/>
      <c r="Z69"/>
      <c r="AA69"/>
      <c r="AB69"/>
      <c r="AC69"/>
      <c r="AD69"/>
    </row>
    <row r="70" spans="1:30" s="813" customFormat="1" ht="24.95" customHeight="1" x14ac:dyDescent="0.35">
      <c r="A70" s="968"/>
      <c r="B70" s="930" t="s">
        <v>545</v>
      </c>
      <c r="C70" s="925"/>
      <c r="D70" s="925" t="s">
        <v>90</v>
      </c>
      <c r="E70" s="925"/>
      <c r="F70" s="964"/>
      <c r="G70" s="964"/>
      <c r="H70" s="964"/>
      <c r="I70" s="964"/>
      <c r="J70" s="964" t="s">
        <v>781</v>
      </c>
      <c r="K70" s="965" t="s">
        <v>419</v>
      </c>
      <c r="L70" s="965" t="s">
        <v>419</v>
      </c>
      <c r="M70" s="1009"/>
      <c r="N70"/>
      <c r="O70"/>
      <c r="P70"/>
      <c r="Q70"/>
      <c r="R70"/>
      <c r="S70"/>
      <c r="T70"/>
      <c r="U70"/>
      <c r="V70"/>
      <c r="W70"/>
      <c r="X70"/>
      <c r="Y70"/>
      <c r="Z70"/>
      <c r="AA70"/>
      <c r="AB70"/>
      <c r="AC70"/>
      <c r="AD70"/>
    </row>
    <row r="71" spans="1:30" s="813" customFormat="1" ht="24.95" customHeight="1" x14ac:dyDescent="0.35">
      <c r="A71" s="968">
        <v>46106</v>
      </c>
      <c r="B71" s="930" t="s">
        <v>545</v>
      </c>
      <c r="C71" s="925"/>
      <c r="D71" s="925" t="s">
        <v>90</v>
      </c>
      <c r="E71" s="925"/>
      <c r="F71" s="964"/>
      <c r="G71" s="964"/>
      <c r="H71" s="964"/>
      <c r="I71" s="964"/>
      <c r="J71" s="964" t="s">
        <v>836</v>
      </c>
      <c r="K71" s="965" t="s">
        <v>419</v>
      </c>
      <c r="L71" s="965" t="s">
        <v>419</v>
      </c>
      <c r="M71" s="1009"/>
      <c r="N71"/>
      <c r="O71"/>
      <c r="P71"/>
      <c r="Q71"/>
      <c r="R71"/>
      <c r="S71"/>
      <c r="T71"/>
      <c r="U71"/>
      <c r="V71"/>
      <c r="W71"/>
      <c r="X71"/>
      <c r="Y71"/>
      <c r="Z71"/>
      <c r="AA71"/>
      <c r="AB71"/>
      <c r="AC71"/>
      <c r="AD71"/>
    </row>
    <row r="72" spans="1:30" s="813" customFormat="1" ht="24.95" customHeight="1" x14ac:dyDescent="0.35">
      <c r="A72" s="968">
        <v>46106</v>
      </c>
      <c r="B72" s="930" t="s">
        <v>545</v>
      </c>
      <c r="C72" s="925"/>
      <c r="D72" s="925" t="s">
        <v>90</v>
      </c>
      <c r="E72" s="925"/>
      <c r="F72" s="964"/>
      <c r="G72" s="964"/>
      <c r="H72" s="964"/>
      <c r="I72" s="964"/>
      <c r="J72" s="964" t="s">
        <v>837</v>
      </c>
      <c r="K72" s="965" t="s">
        <v>419</v>
      </c>
      <c r="L72" s="965" t="s">
        <v>419</v>
      </c>
      <c r="M72" s="1009"/>
      <c r="N72"/>
      <c r="O72"/>
      <c r="P72"/>
      <c r="Q72"/>
      <c r="R72"/>
      <c r="S72"/>
      <c r="T72"/>
      <c r="U72"/>
      <c r="V72"/>
      <c r="W72"/>
      <c r="X72"/>
      <c r="Y72"/>
      <c r="Z72"/>
      <c r="AA72"/>
      <c r="AB72"/>
      <c r="AC72"/>
      <c r="AD72"/>
    </row>
    <row r="73" spans="1:30" s="813" customFormat="1" ht="24.95" customHeight="1" x14ac:dyDescent="0.35">
      <c r="A73" s="968">
        <v>46195</v>
      </c>
      <c r="B73" s="930" t="s">
        <v>545</v>
      </c>
      <c r="C73" s="925"/>
      <c r="D73" s="925" t="s">
        <v>90</v>
      </c>
      <c r="E73" s="925"/>
      <c r="F73" s="964"/>
      <c r="G73" s="964"/>
      <c r="H73" s="964"/>
      <c r="I73" s="964"/>
      <c r="J73" s="964" t="s">
        <v>904</v>
      </c>
      <c r="K73" s="965" t="s">
        <v>419</v>
      </c>
      <c r="L73" s="965" t="s">
        <v>419</v>
      </c>
      <c r="M73" s="1009"/>
      <c r="N73"/>
      <c r="O73"/>
      <c r="P73"/>
      <c r="Q73"/>
      <c r="R73"/>
      <c r="S73"/>
      <c r="T73"/>
      <c r="U73"/>
      <c r="V73"/>
      <c r="W73"/>
      <c r="X73"/>
      <c r="Y73"/>
      <c r="Z73"/>
      <c r="AA73"/>
      <c r="AB73"/>
      <c r="AC73"/>
      <c r="AD73"/>
    </row>
    <row r="74" spans="1:30" s="813" customFormat="1" ht="24.95" customHeight="1" x14ac:dyDescent="0.35">
      <c r="A74" s="968">
        <v>46195</v>
      </c>
      <c r="B74" s="930" t="s">
        <v>545</v>
      </c>
      <c r="C74" s="925"/>
      <c r="D74" s="925" t="s">
        <v>90</v>
      </c>
      <c r="E74" s="925"/>
      <c r="F74" s="964"/>
      <c r="G74" s="964"/>
      <c r="H74" s="964"/>
      <c r="I74" s="964"/>
      <c r="J74" s="964" t="s">
        <v>905</v>
      </c>
      <c r="K74" s="965" t="s">
        <v>419</v>
      </c>
      <c r="L74" s="965" t="s">
        <v>419</v>
      </c>
      <c r="M74" s="1009"/>
      <c r="N74"/>
      <c r="O74"/>
      <c r="P74"/>
      <c r="Q74"/>
      <c r="R74"/>
      <c r="S74"/>
      <c r="T74"/>
      <c r="U74"/>
      <c r="V74"/>
      <c r="W74"/>
      <c r="X74"/>
      <c r="Y74"/>
      <c r="Z74"/>
      <c r="AA74"/>
      <c r="AB74"/>
      <c r="AC74"/>
      <c r="AD74"/>
    </row>
    <row r="75" spans="1:30" s="813" customFormat="1" ht="24.95" customHeight="1" x14ac:dyDescent="0.35">
      <c r="A75" s="968">
        <v>46195</v>
      </c>
      <c r="B75" s="930" t="s">
        <v>545</v>
      </c>
      <c r="C75" s="925"/>
      <c r="D75" s="925" t="s">
        <v>90</v>
      </c>
      <c r="E75" s="925"/>
      <c r="F75" s="964"/>
      <c r="G75" s="964"/>
      <c r="H75" s="964"/>
      <c r="I75" s="964"/>
      <c r="J75" s="964" t="s">
        <v>906</v>
      </c>
      <c r="K75" s="965" t="s">
        <v>419</v>
      </c>
      <c r="L75" s="965" t="s">
        <v>419</v>
      </c>
      <c r="M75" s="1009"/>
      <c r="N75"/>
      <c r="O75"/>
      <c r="P75"/>
      <c r="Q75"/>
      <c r="R75"/>
      <c r="S75"/>
      <c r="T75"/>
      <c r="U75"/>
      <c r="V75"/>
      <c r="W75"/>
      <c r="X75"/>
      <c r="Y75"/>
      <c r="Z75"/>
      <c r="AA75"/>
      <c r="AB75"/>
      <c r="AC75"/>
      <c r="AD75"/>
    </row>
    <row r="76" spans="1:30" s="813" customFormat="1" ht="24.95" customHeight="1" x14ac:dyDescent="0.35">
      <c r="A76" s="968">
        <v>45630</v>
      </c>
      <c r="B76" s="930" t="s">
        <v>466</v>
      </c>
      <c r="C76" s="925"/>
      <c r="D76" s="925" t="s">
        <v>92</v>
      </c>
      <c r="E76" s="925"/>
      <c r="F76" s="964"/>
      <c r="G76" s="964"/>
      <c r="H76" s="964"/>
      <c r="I76" s="964"/>
      <c r="J76" s="964">
        <v>5939</v>
      </c>
      <c r="K76" s="965">
        <v>297900</v>
      </c>
      <c r="L76" s="965">
        <v>297900</v>
      </c>
      <c r="M76" s="1009"/>
      <c r="N76"/>
      <c r="O76"/>
      <c r="P76"/>
      <c r="Q76"/>
      <c r="R76"/>
      <c r="S76"/>
      <c r="T76"/>
      <c r="U76"/>
      <c r="V76"/>
      <c r="W76"/>
      <c r="X76"/>
      <c r="Y76"/>
      <c r="Z76"/>
      <c r="AA76"/>
      <c r="AB76"/>
      <c r="AC76"/>
      <c r="AD76"/>
    </row>
    <row r="77" spans="1:30" s="813" customFormat="1" ht="24.95" customHeight="1" x14ac:dyDescent="0.35">
      <c r="A77" s="968" t="s">
        <v>421</v>
      </c>
      <c r="B77" s="930" t="s">
        <v>270</v>
      </c>
      <c r="C77" s="925"/>
      <c r="D77" s="925" t="s">
        <v>90</v>
      </c>
      <c r="E77" s="925"/>
      <c r="F77" s="964"/>
      <c r="G77" s="964"/>
      <c r="H77" s="964"/>
      <c r="I77" s="964"/>
      <c r="J77" s="964">
        <v>5950</v>
      </c>
      <c r="K77" s="965" t="s">
        <v>419</v>
      </c>
      <c r="L77" s="965" t="s">
        <v>419</v>
      </c>
      <c r="M77" s="1009"/>
      <c r="N77"/>
      <c r="O77"/>
      <c r="P77"/>
      <c r="Q77"/>
      <c r="R77"/>
      <c r="S77"/>
      <c r="T77"/>
      <c r="U77"/>
      <c r="V77"/>
      <c r="W77"/>
      <c r="X77"/>
      <c r="Y77"/>
      <c r="Z77"/>
      <c r="AA77"/>
      <c r="AB77"/>
      <c r="AC77"/>
      <c r="AD77"/>
    </row>
    <row r="78" spans="1:30" s="813" customFormat="1" ht="24.95" customHeight="1" x14ac:dyDescent="0.35">
      <c r="A78" s="968">
        <v>45700</v>
      </c>
      <c r="B78" s="930" t="s">
        <v>270</v>
      </c>
      <c r="C78" s="925"/>
      <c r="D78" s="925" t="s">
        <v>90</v>
      </c>
      <c r="E78" s="925"/>
      <c r="F78" s="964"/>
      <c r="G78" s="964"/>
      <c r="H78" s="964"/>
      <c r="I78" s="964"/>
      <c r="J78" s="964">
        <v>5990</v>
      </c>
      <c r="K78" s="965">
        <v>1200</v>
      </c>
      <c r="L78" s="965">
        <v>1200</v>
      </c>
      <c r="M78" s="1009"/>
      <c r="N78"/>
      <c r="O78"/>
      <c r="P78"/>
      <c r="Q78"/>
      <c r="R78"/>
      <c r="S78"/>
      <c r="T78"/>
      <c r="U78"/>
      <c r="V78"/>
      <c r="W78"/>
      <c r="X78"/>
      <c r="Y78"/>
      <c r="Z78"/>
      <c r="AA78"/>
      <c r="AB78"/>
      <c r="AC78"/>
      <c r="AD78"/>
    </row>
    <row r="79" spans="1:30" s="813" customFormat="1" ht="24.95" customHeight="1" x14ac:dyDescent="0.35">
      <c r="A79" s="968">
        <v>45896</v>
      </c>
      <c r="B79" s="930" t="s">
        <v>270</v>
      </c>
      <c r="C79" s="925"/>
      <c r="D79" s="925" t="s">
        <v>90</v>
      </c>
      <c r="E79" s="925"/>
      <c r="F79" s="964"/>
      <c r="G79" s="964"/>
      <c r="H79" s="964"/>
      <c r="I79" s="964"/>
      <c r="J79" s="964" t="s">
        <v>601</v>
      </c>
      <c r="K79" s="965" t="s">
        <v>419</v>
      </c>
      <c r="L79" s="965" t="s">
        <v>419</v>
      </c>
      <c r="M79" s="1009"/>
      <c r="N79"/>
      <c r="O79"/>
      <c r="P79"/>
      <c r="Q79"/>
      <c r="R79"/>
      <c r="S79"/>
      <c r="T79"/>
      <c r="U79"/>
      <c r="V79"/>
      <c r="W79"/>
      <c r="X79"/>
      <c r="Y79"/>
      <c r="Z79"/>
      <c r="AA79"/>
      <c r="AB79"/>
      <c r="AC79"/>
      <c r="AD79"/>
    </row>
    <row r="80" spans="1:30" s="813" customFormat="1" ht="24.95" customHeight="1" x14ac:dyDescent="0.35">
      <c r="A80" s="968">
        <v>45946</v>
      </c>
      <c r="B80" s="930" t="s">
        <v>270</v>
      </c>
      <c r="C80" s="925"/>
      <c r="D80" s="925" t="s">
        <v>90</v>
      </c>
      <c r="E80" s="925"/>
      <c r="F80" s="964"/>
      <c r="G80" s="964"/>
      <c r="H80" s="964"/>
      <c r="I80" s="964"/>
      <c r="J80" s="964" t="s">
        <v>638</v>
      </c>
      <c r="K80" s="965">
        <v>100000</v>
      </c>
      <c r="L80" s="965">
        <v>100000</v>
      </c>
      <c r="M80" s="1009"/>
      <c r="N80"/>
      <c r="O80"/>
      <c r="P80"/>
      <c r="Q80"/>
      <c r="R80"/>
      <c r="S80"/>
      <c r="T80"/>
      <c r="U80"/>
      <c r="V80"/>
      <c r="W80"/>
      <c r="X80"/>
      <c r="Y80"/>
      <c r="Z80"/>
      <c r="AA80"/>
      <c r="AB80"/>
      <c r="AC80"/>
      <c r="AD80"/>
    </row>
    <row r="81" spans="1:30" s="813" customFormat="1" ht="24.95" customHeight="1" x14ac:dyDescent="0.35">
      <c r="A81" s="968">
        <v>45946</v>
      </c>
      <c r="B81" s="930" t="s">
        <v>270</v>
      </c>
      <c r="C81" s="925"/>
      <c r="D81" s="925" t="s">
        <v>90</v>
      </c>
      <c r="E81" s="925"/>
      <c r="F81" s="964"/>
      <c r="G81" s="964"/>
      <c r="H81" s="964"/>
      <c r="I81" s="964"/>
      <c r="J81" s="964" t="s">
        <v>639</v>
      </c>
      <c r="K81" s="965">
        <v>89000</v>
      </c>
      <c r="L81" s="965">
        <v>89000</v>
      </c>
      <c r="M81" s="1009"/>
      <c r="N81"/>
      <c r="O81"/>
      <c r="P81"/>
      <c r="Q81"/>
      <c r="R81"/>
      <c r="S81"/>
      <c r="T81"/>
      <c r="U81"/>
      <c r="V81"/>
      <c r="W81"/>
      <c r="X81"/>
      <c r="Y81"/>
      <c r="Z81"/>
      <c r="AA81"/>
      <c r="AB81"/>
      <c r="AC81"/>
      <c r="AD81"/>
    </row>
    <row r="82" spans="1:30" s="813" customFormat="1" ht="24.95" customHeight="1" x14ac:dyDescent="0.35">
      <c r="A82" s="968">
        <v>45946</v>
      </c>
      <c r="B82" s="930" t="s">
        <v>270</v>
      </c>
      <c r="C82" s="925"/>
      <c r="D82" s="925" t="s">
        <v>90</v>
      </c>
      <c r="E82" s="925"/>
      <c r="F82" s="964"/>
      <c r="G82" s="964"/>
      <c r="H82" s="964"/>
      <c r="I82" s="964"/>
      <c r="J82" s="964" t="s">
        <v>640</v>
      </c>
      <c r="K82" s="965">
        <v>105000</v>
      </c>
      <c r="L82" s="965">
        <v>105000</v>
      </c>
      <c r="M82" s="1009"/>
      <c r="N82"/>
      <c r="O82"/>
      <c r="P82"/>
      <c r="Q82"/>
      <c r="R82"/>
      <c r="S82"/>
      <c r="T82"/>
      <c r="U82"/>
      <c r="V82"/>
      <c r="W82"/>
      <c r="X82"/>
      <c r="Y82"/>
      <c r="Z82"/>
      <c r="AA82"/>
      <c r="AB82"/>
      <c r="AC82"/>
      <c r="AD82"/>
    </row>
    <row r="83" spans="1:30" s="813" customFormat="1" ht="24.95" customHeight="1" x14ac:dyDescent="0.35">
      <c r="A83" s="968">
        <v>45817</v>
      </c>
      <c r="B83" s="983" t="s">
        <v>560</v>
      </c>
      <c r="C83" s="925"/>
      <c r="D83" s="964" t="s">
        <v>90</v>
      </c>
      <c r="E83" s="964"/>
      <c r="F83" s="964"/>
      <c r="G83" s="964"/>
      <c r="H83" s="964"/>
      <c r="I83" s="964"/>
      <c r="J83" s="964" t="s">
        <v>556</v>
      </c>
      <c r="K83" s="965" t="s">
        <v>419</v>
      </c>
      <c r="L83" s="965" t="s">
        <v>419</v>
      </c>
      <c r="M83" s="1009"/>
      <c r="N83"/>
      <c r="O83"/>
      <c r="P83"/>
      <c r="Q83"/>
      <c r="R83"/>
      <c r="S83"/>
      <c r="T83"/>
      <c r="U83"/>
      <c r="V83"/>
      <c r="W83"/>
      <c r="X83"/>
      <c r="Y83"/>
      <c r="Z83"/>
      <c r="AA83"/>
      <c r="AB83"/>
      <c r="AC83"/>
      <c r="AD83"/>
    </row>
    <row r="84" spans="1:30" s="813" customFormat="1" ht="24.95" customHeight="1" x14ac:dyDescent="0.35">
      <c r="A84" s="968">
        <v>45854</v>
      </c>
      <c r="B84" s="983" t="s">
        <v>560</v>
      </c>
      <c r="C84" s="925"/>
      <c r="D84" s="964" t="s">
        <v>90</v>
      </c>
      <c r="E84" s="964"/>
      <c r="F84" s="964"/>
      <c r="G84" s="964"/>
      <c r="H84" s="964"/>
      <c r="I84" s="964"/>
      <c r="J84" s="964" t="s">
        <v>562</v>
      </c>
      <c r="K84" s="965" t="s">
        <v>419</v>
      </c>
      <c r="L84" s="965" t="s">
        <v>419</v>
      </c>
      <c r="M84" s="1009"/>
      <c r="N84"/>
      <c r="O84"/>
      <c r="P84"/>
      <c r="Q84"/>
      <c r="R84"/>
      <c r="S84"/>
      <c r="T84"/>
      <c r="U84"/>
      <c r="V84"/>
      <c r="W84"/>
      <c r="X84"/>
      <c r="Y84"/>
      <c r="Z84"/>
      <c r="AA84"/>
      <c r="AB84"/>
      <c r="AC84"/>
      <c r="AD84"/>
    </row>
    <row r="85" spans="1:30" s="813" customFormat="1" ht="24.95" customHeight="1" x14ac:dyDescent="0.35">
      <c r="A85" s="968">
        <v>45973</v>
      </c>
      <c r="B85" s="983" t="s">
        <v>560</v>
      </c>
      <c r="C85" s="925"/>
      <c r="D85" s="964" t="s">
        <v>90</v>
      </c>
      <c r="E85" s="964"/>
      <c r="F85" s="964"/>
      <c r="G85" s="964"/>
      <c r="H85" s="964"/>
      <c r="I85" s="964"/>
      <c r="J85" s="964" t="s">
        <v>801</v>
      </c>
      <c r="K85" s="965" t="s">
        <v>419</v>
      </c>
      <c r="L85" s="965" t="s">
        <v>419</v>
      </c>
      <c r="M85" s="1009"/>
      <c r="N85"/>
      <c r="O85"/>
      <c r="P85"/>
      <c r="Q85"/>
      <c r="R85"/>
      <c r="S85"/>
      <c r="T85"/>
      <c r="U85"/>
      <c r="V85"/>
      <c r="W85"/>
      <c r="X85"/>
      <c r="Y85"/>
      <c r="Z85"/>
      <c r="AA85"/>
      <c r="AB85"/>
      <c r="AC85"/>
      <c r="AD85"/>
    </row>
    <row r="86" spans="1:30" s="813" customFormat="1" ht="24.95" customHeight="1" x14ac:dyDescent="0.35">
      <c r="A86" s="968">
        <v>45993</v>
      </c>
      <c r="B86" s="983" t="s">
        <v>432</v>
      </c>
      <c r="C86" s="925"/>
      <c r="D86" s="964" t="s">
        <v>90</v>
      </c>
      <c r="E86" s="964"/>
      <c r="F86" s="964"/>
      <c r="G86" s="964"/>
      <c r="H86" s="964"/>
      <c r="I86" s="964"/>
      <c r="J86" s="964" t="s">
        <v>692</v>
      </c>
      <c r="K86" s="965" t="s">
        <v>419</v>
      </c>
      <c r="L86" s="965" t="s">
        <v>419</v>
      </c>
      <c r="M86" s="1009"/>
      <c r="N86"/>
      <c r="O86"/>
      <c r="P86"/>
      <c r="Q86"/>
      <c r="R86"/>
      <c r="S86"/>
      <c r="T86"/>
      <c r="U86"/>
      <c r="V86"/>
      <c r="W86"/>
      <c r="X86"/>
      <c r="Y86"/>
      <c r="Z86"/>
      <c r="AA86"/>
      <c r="AB86"/>
      <c r="AC86"/>
      <c r="AD86"/>
    </row>
    <row r="87" spans="1:30" s="813" customFormat="1" ht="24.95" customHeight="1" x14ac:dyDescent="0.35">
      <c r="A87" s="968">
        <v>46000</v>
      </c>
      <c r="B87" s="983" t="s">
        <v>432</v>
      </c>
      <c r="C87" s="925"/>
      <c r="D87" s="964" t="s">
        <v>90</v>
      </c>
      <c r="E87" s="964"/>
      <c r="F87" s="964"/>
      <c r="G87" s="964"/>
      <c r="H87" s="964"/>
      <c r="I87" s="964"/>
      <c r="J87" s="964" t="s">
        <v>702</v>
      </c>
      <c r="K87" s="965">
        <v>254250</v>
      </c>
      <c r="L87" s="965">
        <v>254250</v>
      </c>
      <c r="M87" s="1009" t="s">
        <v>478</v>
      </c>
      <c r="N87"/>
      <c r="O87"/>
      <c r="P87"/>
      <c r="Q87"/>
      <c r="R87"/>
      <c r="S87"/>
      <c r="T87"/>
      <c r="U87"/>
      <c r="V87"/>
      <c r="W87"/>
      <c r="X87"/>
      <c r="Y87"/>
      <c r="Z87"/>
      <c r="AA87"/>
      <c r="AB87"/>
      <c r="AC87"/>
      <c r="AD87"/>
    </row>
    <row r="88" spans="1:30" s="813" customFormat="1" ht="24.95" customHeight="1" x14ac:dyDescent="0.35">
      <c r="A88" s="968">
        <v>46032</v>
      </c>
      <c r="B88" s="983" t="s">
        <v>432</v>
      </c>
      <c r="C88" s="925"/>
      <c r="D88" s="964" t="s">
        <v>90</v>
      </c>
      <c r="E88" s="964"/>
      <c r="F88" s="964"/>
      <c r="G88" s="964"/>
      <c r="H88" s="964"/>
      <c r="I88" s="964"/>
      <c r="J88" s="964" t="s">
        <v>803</v>
      </c>
      <c r="K88" s="965">
        <v>415000</v>
      </c>
      <c r="L88" s="965">
        <v>415000</v>
      </c>
      <c r="M88" s="1009"/>
      <c r="N88"/>
      <c r="O88"/>
      <c r="P88"/>
      <c r="Q88"/>
      <c r="R88"/>
      <c r="S88"/>
      <c r="T88"/>
      <c r="U88"/>
      <c r="V88"/>
      <c r="W88"/>
      <c r="X88"/>
      <c r="Y88"/>
      <c r="Z88"/>
      <c r="AA88"/>
      <c r="AB88"/>
      <c r="AC88"/>
      <c r="AD88"/>
    </row>
    <row r="89" spans="1:30" s="813" customFormat="1" ht="24.95" customHeight="1" x14ac:dyDescent="0.35">
      <c r="A89" s="968">
        <v>46083</v>
      </c>
      <c r="B89" s="983" t="s">
        <v>560</v>
      </c>
      <c r="C89" s="925"/>
      <c r="D89" s="964" t="s">
        <v>90</v>
      </c>
      <c r="E89" s="964"/>
      <c r="F89" s="964"/>
      <c r="G89" s="964"/>
      <c r="H89" s="964"/>
      <c r="I89" s="964"/>
      <c r="J89" s="964" t="s">
        <v>802</v>
      </c>
      <c r="K89" s="965">
        <v>7500</v>
      </c>
      <c r="L89" s="965">
        <v>7500</v>
      </c>
      <c r="M89" s="1009"/>
      <c r="N89"/>
      <c r="O89"/>
      <c r="P89"/>
      <c r="Q89"/>
      <c r="R89"/>
      <c r="S89"/>
      <c r="T89"/>
      <c r="U89"/>
      <c r="V89"/>
      <c r="W89"/>
      <c r="X89"/>
      <c r="Y89"/>
      <c r="Z89"/>
      <c r="AA89"/>
      <c r="AB89"/>
      <c r="AC89"/>
      <c r="AD89"/>
    </row>
    <row r="90" spans="1:30" s="813" customFormat="1" ht="24.95" customHeight="1" x14ac:dyDescent="0.35">
      <c r="A90" s="968" t="s">
        <v>421</v>
      </c>
      <c r="B90" s="983" t="s">
        <v>432</v>
      </c>
      <c r="C90" s="925" t="s">
        <v>900</v>
      </c>
      <c r="D90" s="964" t="s">
        <v>90</v>
      </c>
      <c r="E90" s="964"/>
      <c r="F90" s="964"/>
      <c r="G90" s="964"/>
      <c r="H90" s="964"/>
      <c r="I90" s="964"/>
      <c r="J90" s="964" t="s">
        <v>835</v>
      </c>
      <c r="K90" s="965" t="s">
        <v>419</v>
      </c>
      <c r="L90" s="965" t="s">
        <v>419</v>
      </c>
      <c r="M90" s="1009"/>
      <c r="N90"/>
      <c r="O90"/>
      <c r="P90"/>
      <c r="Q90"/>
      <c r="R90"/>
      <c r="S90"/>
      <c r="T90"/>
      <c r="U90"/>
      <c r="V90"/>
      <c r="W90"/>
      <c r="X90"/>
      <c r="Y90"/>
      <c r="Z90"/>
      <c r="AA90"/>
      <c r="AB90"/>
      <c r="AC90"/>
      <c r="AD90"/>
    </row>
    <row r="91" spans="1:30" s="813" customFormat="1" ht="24.95" customHeight="1" x14ac:dyDescent="0.35">
      <c r="A91" s="968">
        <v>46118</v>
      </c>
      <c r="B91" s="983" t="s">
        <v>432</v>
      </c>
      <c r="C91" s="925"/>
      <c r="D91" s="964" t="s">
        <v>90</v>
      </c>
      <c r="E91" s="964"/>
      <c r="F91" s="964"/>
      <c r="G91" s="964"/>
      <c r="H91" s="964"/>
      <c r="I91" s="964"/>
      <c r="J91" s="964" t="s">
        <v>851</v>
      </c>
      <c r="K91" s="965">
        <v>105000</v>
      </c>
      <c r="L91" s="965">
        <v>105000</v>
      </c>
      <c r="M91" s="1009"/>
      <c r="N91"/>
      <c r="O91"/>
      <c r="P91"/>
      <c r="Q91"/>
      <c r="R91"/>
      <c r="S91"/>
      <c r="T91"/>
      <c r="U91"/>
      <c r="V91"/>
      <c r="W91"/>
      <c r="X91"/>
      <c r="Y91"/>
      <c r="Z91"/>
      <c r="AA91"/>
      <c r="AB91"/>
      <c r="AC91"/>
      <c r="AD91"/>
    </row>
    <row r="92" spans="1:30" s="813" customFormat="1" ht="24.95" customHeight="1" x14ac:dyDescent="0.35">
      <c r="A92" s="968">
        <v>46156</v>
      </c>
      <c r="B92" s="983" t="s">
        <v>432</v>
      </c>
      <c r="C92" s="925"/>
      <c r="D92" s="964" t="s">
        <v>90</v>
      </c>
      <c r="E92" s="964"/>
      <c r="F92" s="964"/>
      <c r="G92" s="964"/>
      <c r="H92" s="964"/>
      <c r="I92" s="964"/>
      <c r="J92" s="964" t="s">
        <v>925</v>
      </c>
      <c r="K92" s="965">
        <v>171995</v>
      </c>
      <c r="L92" s="965">
        <v>171995</v>
      </c>
      <c r="M92" s="1009"/>
      <c r="N92"/>
      <c r="O92"/>
      <c r="P92"/>
      <c r="Q92"/>
      <c r="R92"/>
      <c r="S92"/>
      <c r="T92"/>
      <c r="U92"/>
      <c r="V92"/>
      <c r="W92"/>
      <c r="X92"/>
      <c r="Y92"/>
      <c r="Z92"/>
      <c r="AA92"/>
      <c r="AB92"/>
      <c r="AC92"/>
      <c r="AD92"/>
    </row>
    <row r="93" spans="1:30" s="813" customFormat="1" ht="24.95" customHeight="1" x14ac:dyDescent="0.35">
      <c r="A93" s="968">
        <v>45708</v>
      </c>
      <c r="B93" s="930" t="s">
        <v>436</v>
      </c>
      <c r="C93" s="925"/>
      <c r="D93" s="964" t="s">
        <v>92</v>
      </c>
      <c r="E93" s="964"/>
      <c r="F93" s="964"/>
      <c r="G93" s="964"/>
      <c r="H93" s="964"/>
      <c r="I93" s="964"/>
      <c r="J93" s="964" t="s">
        <v>953</v>
      </c>
      <c r="K93" s="965">
        <v>125319</v>
      </c>
      <c r="L93" s="965">
        <v>125319</v>
      </c>
      <c r="M93" s="1009"/>
      <c r="N93"/>
      <c r="O93"/>
      <c r="P93"/>
      <c r="Q93"/>
      <c r="R93"/>
      <c r="S93"/>
      <c r="T93"/>
      <c r="U93"/>
      <c r="V93"/>
      <c r="W93"/>
      <c r="X93"/>
      <c r="Y93"/>
      <c r="Z93"/>
      <c r="AA93"/>
      <c r="AB93"/>
      <c r="AC93"/>
      <c r="AD93"/>
    </row>
    <row r="94" spans="1:30" s="813" customFormat="1" ht="24.95" customHeight="1" x14ac:dyDescent="0.35">
      <c r="A94" s="968">
        <v>46225</v>
      </c>
      <c r="B94" s="930" t="s">
        <v>436</v>
      </c>
      <c r="C94" s="925"/>
      <c r="D94" s="964" t="s">
        <v>92</v>
      </c>
      <c r="E94" s="964"/>
      <c r="F94" s="964"/>
      <c r="G94" s="964"/>
      <c r="H94" s="964"/>
      <c r="I94" s="964"/>
      <c r="J94" s="964" t="s">
        <v>952</v>
      </c>
      <c r="K94" s="965">
        <v>148535</v>
      </c>
      <c r="L94" s="965">
        <v>148535</v>
      </c>
      <c r="M94" s="1009"/>
      <c r="N94"/>
      <c r="O94"/>
      <c r="P94"/>
      <c r="Q94"/>
      <c r="R94"/>
      <c r="S94"/>
      <c r="T94"/>
      <c r="U94"/>
      <c r="V94"/>
      <c r="W94"/>
      <c r="X94"/>
      <c r="Y94"/>
      <c r="Z94"/>
      <c r="AA94"/>
      <c r="AB94"/>
      <c r="AC94"/>
      <c r="AD94"/>
    </row>
    <row r="95" spans="1:30" s="813" customFormat="1" ht="24.95" customHeight="1" x14ac:dyDescent="0.35">
      <c r="A95" s="968" t="s">
        <v>421</v>
      </c>
      <c r="B95" s="930" t="s">
        <v>434</v>
      </c>
      <c r="C95" s="925"/>
      <c r="D95" s="964" t="s">
        <v>90</v>
      </c>
      <c r="E95" s="964"/>
      <c r="F95" s="964"/>
      <c r="G95" s="964"/>
      <c r="H95" s="964"/>
      <c r="I95" s="964"/>
      <c r="J95" s="964" t="s">
        <v>665</v>
      </c>
      <c r="K95" s="965" t="s">
        <v>914</v>
      </c>
      <c r="L95" s="965" t="s">
        <v>914</v>
      </c>
      <c r="M95" s="1009" t="s">
        <v>913</v>
      </c>
      <c r="N95"/>
      <c r="O95"/>
      <c r="P95"/>
      <c r="Q95"/>
      <c r="R95"/>
      <c r="S95"/>
      <c r="T95"/>
      <c r="U95"/>
      <c r="V95"/>
      <c r="W95"/>
      <c r="X95"/>
      <c r="Y95"/>
      <c r="Z95"/>
      <c r="AA95"/>
      <c r="AB95"/>
      <c r="AC95"/>
      <c r="AD95"/>
    </row>
    <row r="96" spans="1:30" s="813" customFormat="1" ht="24.95" customHeight="1" x14ac:dyDescent="0.35">
      <c r="A96" s="968">
        <v>45723</v>
      </c>
      <c r="B96" s="930" t="s">
        <v>428</v>
      </c>
      <c r="C96" s="925"/>
      <c r="D96" s="964" t="s">
        <v>92</v>
      </c>
      <c r="E96" s="964"/>
      <c r="F96" s="964"/>
      <c r="G96" s="964"/>
      <c r="H96" s="964"/>
      <c r="I96" s="964"/>
      <c r="J96" s="964" t="s">
        <v>501</v>
      </c>
      <c r="K96" s="965">
        <v>8000</v>
      </c>
      <c r="L96" s="965">
        <v>8000</v>
      </c>
      <c r="M96" s="1009"/>
      <c r="N96"/>
      <c r="O96"/>
      <c r="P96"/>
      <c r="Q96"/>
      <c r="R96"/>
      <c r="S96"/>
      <c r="T96"/>
      <c r="U96"/>
      <c r="V96"/>
      <c r="W96"/>
      <c r="X96"/>
      <c r="Y96"/>
      <c r="Z96"/>
      <c r="AA96"/>
      <c r="AB96"/>
      <c r="AC96"/>
      <c r="AD96"/>
    </row>
    <row r="97" spans="1:30" s="813" customFormat="1" ht="24.95" customHeight="1" x14ac:dyDescent="0.35">
      <c r="A97" s="968">
        <v>46107</v>
      </c>
      <c r="B97" s="930" t="s">
        <v>428</v>
      </c>
      <c r="C97" s="925"/>
      <c r="D97" s="964" t="s">
        <v>92</v>
      </c>
      <c r="E97" s="964"/>
      <c r="F97" s="964"/>
      <c r="G97" s="964"/>
      <c r="H97" s="964"/>
      <c r="I97" s="964"/>
      <c r="J97" s="964" t="s">
        <v>846</v>
      </c>
      <c r="K97" s="965">
        <v>82930</v>
      </c>
      <c r="L97" s="965">
        <v>82930</v>
      </c>
      <c r="M97" s="1009"/>
      <c r="N97"/>
      <c r="O97"/>
      <c r="P97"/>
      <c r="Q97"/>
      <c r="R97"/>
      <c r="S97"/>
      <c r="T97"/>
      <c r="U97"/>
      <c r="V97"/>
      <c r="W97"/>
      <c r="X97"/>
      <c r="Y97"/>
      <c r="Z97"/>
      <c r="AA97"/>
      <c r="AB97"/>
      <c r="AC97"/>
      <c r="AD97"/>
    </row>
    <row r="98" spans="1:30" s="813" customFormat="1" ht="24.95" customHeight="1" x14ac:dyDescent="0.35">
      <c r="A98" s="968">
        <v>46156</v>
      </c>
      <c r="B98" s="930" t="s">
        <v>428</v>
      </c>
      <c r="C98" s="925"/>
      <c r="D98" s="964" t="s">
        <v>92</v>
      </c>
      <c r="E98" s="964"/>
      <c r="F98" s="964"/>
      <c r="G98" s="964"/>
      <c r="H98" s="964"/>
      <c r="I98" s="964"/>
      <c r="J98" s="964" t="s">
        <v>868</v>
      </c>
      <c r="K98" s="965" t="s">
        <v>419</v>
      </c>
      <c r="L98" s="965" t="s">
        <v>419</v>
      </c>
      <c r="M98" s="1009"/>
      <c r="N98"/>
      <c r="O98"/>
      <c r="P98"/>
      <c r="Q98"/>
      <c r="R98"/>
      <c r="S98"/>
      <c r="T98"/>
      <c r="U98"/>
      <c r="V98"/>
      <c r="W98"/>
      <c r="X98"/>
      <c r="Y98"/>
      <c r="Z98"/>
      <c r="AA98"/>
      <c r="AB98"/>
      <c r="AC98"/>
      <c r="AD98"/>
    </row>
    <row r="99" spans="1:30" s="749" customFormat="1" ht="24.95" customHeight="1" x14ac:dyDescent="0.35">
      <c r="A99" s="968" t="s">
        <v>421</v>
      </c>
      <c r="B99" s="930" t="s">
        <v>446</v>
      </c>
      <c r="C99" s="925" t="s">
        <v>740</v>
      </c>
      <c r="D99" s="964" t="s">
        <v>90</v>
      </c>
      <c r="E99" s="964"/>
      <c r="F99" s="964"/>
      <c r="G99" s="964"/>
      <c r="H99" s="964"/>
      <c r="I99" s="964"/>
      <c r="J99" s="964" t="s">
        <v>951</v>
      </c>
      <c r="K99" s="965">
        <v>1090000</v>
      </c>
      <c r="L99" s="965">
        <v>1090000</v>
      </c>
      <c r="M99" s="1009"/>
      <c r="N99"/>
      <c r="O99"/>
      <c r="P99"/>
      <c r="Q99"/>
      <c r="R99"/>
      <c r="S99"/>
      <c r="T99"/>
      <c r="U99"/>
      <c r="V99"/>
      <c r="W99"/>
      <c r="X99"/>
      <c r="Y99"/>
      <c r="Z99"/>
      <c r="AA99"/>
      <c r="AB99"/>
      <c r="AC99"/>
      <c r="AD99"/>
    </row>
    <row r="100" spans="1:30" s="749" customFormat="1" ht="24.95" customHeight="1" x14ac:dyDescent="0.35">
      <c r="A100" s="968" t="s">
        <v>421</v>
      </c>
      <c r="B100" s="930" t="s">
        <v>299</v>
      </c>
      <c r="C100" s="925"/>
      <c r="D100" s="925" t="s">
        <v>92</v>
      </c>
      <c r="E100" s="925"/>
      <c r="F100" s="964"/>
      <c r="G100" s="964"/>
      <c r="H100" s="964"/>
      <c r="I100" s="964"/>
      <c r="J100" s="964" t="s">
        <v>506</v>
      </c>
      <c r="K100" s="965">
        <v>77261.850000000006</v>
      </c>
      <c r="L100" s="965">
        <v>77261.850000000006</v>
      </c>
      <c r="M100" s="1009"/>
      <c r="N100"/>
      <c r="O100"/>
      <c r="P100"/>
      <c r="Q100"/>
      <c r="R100"/>
      <c r="S100"/>
      <c r="T100"/>
      <c r="U100"/>
      <c r="V100"/>
      <c r="W100"/>
      <c r="X100"/>
      <c r="Y100"/>
      <c r="Z100"/>
      <c r="AA100"/>
      <c r="AB100"/>
      <c r="AC100"/>
      <c r="AD100"/>
    </row>
    <row r="101" spans="1:30" s="749" customFormat="1" ht="24.95" customHeight="1" x14ac:dyDescent="0.35">
      <c r="A101" s="968" t="s">
        <v>421</v>
      </c>
      <c r="B101" s="930" t="s">
        <v>299</v>
      </c>
      <c r="C101" s="925"/>
      <c r="D101" s="925" t="s">
        <v>92</v>
      </c>
      <c r="E101" s="925"/>
      <c r="F101" s="964"/>
      <c r="G101" s="964"/>
      <c r="H101" s="964"/>
      <c r="I101" s="964"/>
      <c r="J101" s="964" t="s">
        <v>525</v>
      </c>
      <c r="K101" s="965">
        <v>86950</v>
      </c>
      <c r="L101" s="965">
        <v>86950</v>
      </c>
      <c r="M101" s="1009"/>
      <c r="N101"/>
      <c r="O101"/>
      <c r="P101"/>
      <c r="Q101"/>
      <c r="R101"/>
      <c r="S101"/>
      <c r="T101"/>
      <c r="U101"/>
      <c r="V101"/>
      <c r="W101"/>
      <c r="X101"/>
      <c r="Y101"/>
      <c r="Z101"/>
      <c r="AA101"/>
      <c r="AB101"/>
      <c r="AC101"/>
      <c r="AD101"/>
    </row>
    <row r="102" spans="1:30" s="782" customFormat="1" ht="24.95" customHeight="1" x14ac:dyDescent="0.35">
      <c r="A102" s="968">
        <v>45790</v>
      </c>
      <c r="B102" s="930" t="s">
        <v>660</v>
      </c>
      <c r="C102" s="925"/>
      <c r="D102" s="925" t="s">
        <v>90</v>
      </c>
      <c r="E102" s="925"/>
      <c r="F102" s="964"/>
      <c r="G102" s="964"/>
      <c r="H102" s="964"/>
      <c r="I102" s="964"/>
      <c r="J102" s="964" t="s">
        <v>520</v>
      </c>
      <c r="K102" s="965">
        <v>487467.5</v>
      </c>
      <c r="L102" s="965">
        <v>487467.5</v>
      </c>
      <c r="M102" s="1009"/>
      <c r="N102"/>
      <c r="O102"/>
      <c r="P102"/>
      <c r="Q102"/>
      <c r="R102"/>
      <c r="S102"/>
      <c r="T102"/>
      <c r="U102"/>
      <c r="V102"/>
      <c r="W102"/>
      <c r="X102"/>
      <c r="Y102"/>
      <c r="Z102"/>
      <c r="AA102"/>
      <c r="AB102"/>
      <c r="AC102"/>
      <c r="AD102"/>
    </row>
    <row r="103" spans="1:30" s="782" customFormat="1" ht="24.95" customHeight="1" x14ac:dyDescent="0.35">
      <c r="A103" s="968">
        <v>45973</v>
      </c>
      <c r="B103" s="930" t="s">
        <v>660</v>
      </c>
      <c r="C103" s="925"/>
      <c r="D103" s="925" t="s">
        <v>90</v>
      </c>
      <c r="E103" s="925"/>
      <c r="F103" s="964"/>
      <c r="G103" s="964"/>
      <c r="H103" s="964"/>
      <c r="I103" s="964"/>
      <c r="J103" s="964" t="s">
        <v>677</v>
      </c>
      <c r="K103" s="965">
        <v>39180</v>
      </c>
      <c r="L103" s="965">
        <v>39180</v>
      </c>
      <c r="M103" s="1009"/>
      <c r="N103"/>
      <c r="O103"/>
      <c r="P103"/>
      <c r="Q103"/>
      <c r="R103"/>
      <c r="S103"/>
      <c r="T103"/>
      <c r="U103"/>
      <c r="V103"/>
      <c r="W103"/>
      <c r="X103"/>
      <c r="Y103"/>
      <c r="Z103"/>
      <c r="AA103"/>
      <c r="AB103"/>
      <c r="AC103"/>
      <c r="AD103"/>
    </row>
    <row r="104" spans="1:30" s="782" customFormat="1" ht="24.95" customHeight="1" x14ac:dyDescent="0.35">
      <c r="A104" s="968" t="s">
        <v>557</v>
      </c>
      <c r="B104" s="930" t="s">
        <v>662</v>
      </c>
      <c r="C104" s="925"/>
      <c r="D104" s="964" t="s">
        <v>92</v>
      </c>
      <c r="E104" s="964"/>
      <c r="F104" s="964"/>
      <c r="G104" s="964"/>
      <c r="H104" s="964"/>
      <c r="I104" s="964"/>
      <c r="J104" s="964" t="s">
        <v>564</v>
      </c>
      <c r="K104" s="965">
        <v>115000</v>
      </c>
      <c r="L104" s="965">
        <v>115000</v>
      </c>
      <c r="M104" s="1009"/>
      <c r="N104"/>
      <c r="O104"/>
      <c r="P104"/>
      <c r="Q104"/>
      <c r="R104"/>
      <c r="S104"/>
      <c r="T104"/>
      <c r="U104"/>
      <c r="V104"/>
      <c r="W104"/>
      <c r="X104"/>
      <c r="Y104"/>
      <c r="Z104"/>
      <c r="AA104"/>
      <c r="AB104"/>
      <c r="AC104"/>
      <c r="AD104"/>
    </row>
    <row r="105" spans="1:30" s="782" customFormat="1" ht="24.95" customHeight="1" x14ac:dyDescent="0.35">
      <c r="A105" s="968" t="s">
        <v>421</v>
      </c>
      <c r="B105" s="930" t="s">
        <v>662</v>
      </c>
      <c r="C105" s="925"/>
      <c r="D105" s="964" t="s">
        <v>92</v>
      </c>
      <c r="E105" s="964"/>
      <c r="F105" s="964"/>
      <c r="G105" s="964"/>
      <c r="H105" s="964"/>
      <c r="I105" s="964"/>
      <c r="J105" s="964" t="s">
        <v>565</v>
      </c>
      <c r="K105" s="965">
        <v>25895</v>
      </c>
      <c r="L105" s="965">
        <v>25895</v>
      </c>
      <c r="M105" s="1009"/>
      <c r="N105"/>
      <c r="O105"/>
      <c r="P105"/>
      <c r="Q105"/>
      <c r="R105"/>
      <c r="S105"/>
      <c r="T105"/>
      <c r="U105"/>
      <c r="V105"/>
      <c r="W105"/>
      <c r="X105"/>
      <c r="Y105"/>
      <c r="Z105"/>
      <c r="AA105"/>
      <c r="AB105"/>
      <c r="AC105"/>
      <c r="AD105"/>
    </row>
    <row r="106" spans="1:30" s="782" customFormat="1" ht="24.95" customHeight="1" x14ac:dyDescent="0.35">
      <c r="A106" s="968" t="s">
        <v>421</v>
      </c>
      <c r="B106" s="930" t="s">
        <v>663</v>
      </c>
      <c r="C106" s="925"/>
      <c r="D106" s="964" t="s">
        <v>90</v>
      </c>
      <c r="E106" s="964"/>
      <c r="F106" s="964"/>
      <c r="G106" s="964"/>
      <c r="H106" s="964"/>
      <c r="I106" s="964"/>
      <c r="J106" s="964" t="s">
        <v>571</v>
      </c>
      <c r="K106" s="965">
        <v>45000</v>
      </c>
      <c r="L106" s="965">
        <v>45000</v>
      </c>
      <c r="M106" s="1009"/>
      <c r="N106"/>
      <c r="O106"/>
      <c r="P106"/>
      <c r="Q106"/>
      <c r="R106"/>
      <c r="S106"/>
      <c r="T106"/>
      <c r="U106"/>
      <c r="V106"/>
      <c r="W106"/>
      <c r="X106"/>
      <c r="Y106"/>
      <c r="Z106"/>
      <c r="AA106"/>
      <c r="AB106"/>
      <c r="AC106"/>
      <c r="AD106"/>
    </row>
    <row r="107" spans="1:30" s="941" customFormat="1" ht="24.95" customHeight="1" x14ac:dyDescent="0.35">
      <c r="A107" s="968">
        <v>45874</v>
      </c>
      <c r="B107" s="930" t="s">
        <v>664</v>
      </c>
      <c r="C107" s="925"/>
      <c r="D107" s="964" t="s">
        <v>92</v>
      </c>
      <c r="E107" s="964"/>
      <c r="F107" s="964"/>
      <c r="G107" s="964"/>
      <c r="H107" s="964"/>
      <c r="I107" s="964"/>
      <c r="J107" s="964" t="s">
        <v>585</v>
      </c>
      <c r="K107" s="965">
        <v>105000</v>
      </c>
      <c r="L107" s="965">
        <v>105000</v>
      </c>
      <c r="M107" s="1009"/>
      <c r="N107"/>
      <c r="O107"/>
      <c r="P107"/>
      <c r="Q107"/>
      <c r="R107"/>
      <c r="S107"/>
      <c r="T107"/>
      <c r="U107"/>
      <c r="V107"/>
      <c r="W107"/>
      <c r="X107"/>
      <c r="Y107"/>
      <c r="Z107"/>
      <c r="AA107"/>
      <c r="AB107"/>
      <c r="AC107"/>
      <c r="AD107"/>
    </row>
    <row r="108" spans="1:30" s="749" customFormat="1" ht="24.95" customHeight="1" x14ac:dyDescent="0.35">
      <c r="A108" s="968">
        <v>46008</v>
      </c>
      <c r="B108" s="930" t="s">
        <v>281</v>
      </c>
      <c r="C108" s="925"/>
      <c r="D108" s="964" t="s">
        <v>282</v>
      </c>
      <c r="E108" s="964"/>
      <c r="F108" s="964"/>
      <c r="G108" s="964"/>
      <c r="H108" s="964"/>
      <c r="I108" s="964"/>
      <c r="J108" s="964" t="s">
        <v>707</v>
      </c>
      <c r="K108" s="965" t="s">
        <v>419</v>
      </c>
      <c r="L108" s="965" t="s">
        <v>419</v>
      </c>
      <c r="M108" s="1009"/>
      <c r="N108"/>
      <c r="O108"/>
      <c r="P108"/>
      <c r="Q108"/>
      <c r="R108"/>
      <c r="S108"/>
      <c r="T108"/>
      <c r="U108"/>
      <c r="V108"/>
      <c r="W108"/>
      <c r="X108"/>
      <c r="Y108"/>
      <c r="Z108"/>
      <c r="AA108"/>
      <c r="AB108"/>
      <c r="AC108"/>
      <c r="AD108"/>
    </row>
    <row r="109" spans="1:30" s="749" customFormat="1" ht="24.95" customHeight="1" x14ac:dyDescent="0.35">
      <c r="A109" s="968">
        <v>45772</v>
      </c>
      <c r="B109" s="930" t="s">
        <v>596</v>
      </c>
      <c r="C109" s="925"/>
      <c r="D109" s="964" t="s">
        <v>92</v>
      </c>
      <c r="E109" s="964"/>
      <c r="F109" s="964"/>
      <c r="G109" s="964"/>
      <c r="H109" s="964"/>
      <c r="I109" s="964"/>
      <c r="J109" s="964" t="s">
        <v>597</v>
      </c>
      <c r="K109" s="965">
        <v>142240</v>
      </c>
      <c r="L109" s="965">
        <v>142240</v>
      </c>
      <c r="M109" s="1009"/>
      <c r="N109"/>
      <c r="O109"/>
      <c r="P109"/>
      <c r="Q109"/>
      <c r="R109"/>
      <c r="S109"/>
      <c r="T109"/>
      <c r="U109"/>
      <c r="V109"/>
      <c r="W109"/>
      <c r="X109"/>
      <c r="Y109"/>
      <c r="Z109"/>
      <c r="AA109"/>
      <c r="AB109"/>
      <c r="AC109"/>
      <c r="AD109"/>
    </row>
    <row r="110" spans="1:30" s="782" customFormat="1" ht="24.95" customHeight="1" x14ac:dyDescent="0.35">
      <c r="A110" s="968">
        <v>45897</v>
      </c>
      <c r="B110" s="930" t="s">
        <v>666</v>
      </c>
      <c r="C110" s="925"/>
      <c r="D110" s="964" t="s">
        <v>92</v>
      </c>
      <c r="E110" s="964"/>
      <c r="F110" s="964"/>
      <c r="G110" s="964"/>
      <c r="H110" s="964"/>
      <c r="I110" s="964"/>
      <c r="J110" s="964" t="s">
        <v>602</v>
      </c>
      <c r="K110" s="965">
        <v>3500</v>
      </c>
      <c r="L110" s="965">
        <v>3500</v>
      </c>
      <c r="M110" s="1009"/>
      <c r="N110"/>
      <c r="O110"/>
      <c r="P110"/>
      <c r="Q110"/>
      <c r="R110"/>
      <c r="S110"/>
      <c r="T110"/>
      <c r="U110"/>
      <c r="V110"/>
      <c r="W110"/>
      <c r="X110"/>
      <c r="Y110"/>
      <c r="Z110"/>
      <c r="AA110"/>
      <c r="AB110"/>
      <c r="AC110"/>
      <c r="AD110"/>
    </row>
    <row r="111" spans="1:30" s="782" customFormat="1" ht="24.95" customHeight="1" x14ac:dyDescent="0.35">
      <c r="A111" s="968">
        <v>45908</v>
      </c>
      <c r="B111" s="930" t="s">
        <v>614</v>
      </c>
      <c r="C111" s="925"/>
      <c r="D111" s="964" t="s">
        <v>92</v>
      </c>
      <c r="E111" s="964"/>
      <c r="F111" s="964"/>
      <c r="G111" s="964"/>
      <c r="H111" s="964"/>
      <c r="I111" s="964"/>
      <c r="J111" s="964" t="s">
        <v>615</v>
      </c>
      <c r="K111" s="965" t="s">
        <v>419</v>
      </c>
      <c r="L111" s="965" t="s">
        <v>419</v>
      </c>
      <c r="M111" s="1009"/>
      <c r="N111"/>
      <c r="O111"/>
      <c r="P111"/>
      <c r="Q111"/>
      <c r="R111"/>
      <c r="S111"/>
      <c r="T111"/>
      <c r="U111"/>
      <c r="V111"/>
      <c r="W111"/>
      <c r="X111"/>
      <c r="Y111"/>
      <c r="Z111"/>
      <c r="AA111"/>
      <c r="AB111"/>
      <c r="AC111"/>
      <c r="AD111"/>
    </row>
    <row r="112" spans="1:30" s="782" customFormat="1" ht="24.95" customHeight="1" x14ac:dyDescent="0.35">
      <c r="A112" s="968">
        <v>45923</v>
      </c>
      <c r="B112" s="930" t="s">
        <v>614</v>
      </c>
      <c r="C112" s="925"/>
      <c r="D112" s="964" t="s">
        <v>92</v>
      </c>
      <c r="E112" s="964"/>
      <c r="F112" s="964"/>
      <c r="G112" s="964"/>
      <c r="H112" s="964"/>
      <c r="I112" s="964"/>
      <c r="J112" s="964" t="s">
        <v>626</v>
      </c>
      <c r="K112" s="965" t="s">
        <v>419</v>
      </c>
      <c r="L112" s="965" t="s">
        <v>419</v>
      </c>
      <c r="M112" s="1009"/>
      <c r="N112"/>
      <c r="O112"/>
      <c r="P112"/>
      <c r="Q112"/>
      <c r="R112"/>
      <c r="S112"/>
      <c r="T112"/>
      <c r="U112"/>
      <c r="V112"/>
      <c r="W112"/>
      <c r="X112"/>
      <c r="Y112"/>
      <c r="Z112"/>
      <c r="AA112"/>
      <c r="AB112"/>
      <c r="AC112"/>
      <c r="AD112"/>
    </row>
    <row r="113" spans="1:30" s="782" customFormat="1" ht="24.95" customHeight="1" x14ac:dyDescent="0.35">
      <c r="A113" s="968"/>
      <c r="B113" s="930" t="s">
        <v>614</v>
      </c>
      <c r="C113" s="925"/>
      <c r="D113" s="964" t="s">
        <v>92</v>
      </c>
      <c r="E113" s="964"/>
      <c r="F113" s="964"/>
      <c r="G113" s="964"/>
      <c r="H113" s="964"/>
      <c r="I113" s="964"/>
      <c r="J113" s="964" t="s">
        <v>918</v>
      </c>
      <c r="K113" s="965" t="s">
        <v>419</v>
      </c>
      <c r="L113" s="965" t="s">
        <v>419</v>
      </c>
      <c r="M113" s="1009"/>
      <c r="N113"/>
      <c r="O113"/>
      <c r="P113"/>
      <c r="Q113"/>
      <c r="R113"/>
      <c r="S113"/>
      <c r="T113"/>
      <c r="U113"/>
      <c r="V113"/>
      <c r="W113"/>
      <c r="X113"/>
      <c r="Y113"/>
      <c r="Z113"/>
      <c r="AA113"/>
      <c r="AB113"/>
      <c r="AC113"/>
      <c r="AD113"/>
    </row>
    <row r="114" spans="1:30" s="782" customFormat="1" ht="24.95" customHeight="1" x14ac:dyDescent="0.35">
      <c r="A114" s="968"/>
      <c r="B114" s="930" t="s">
        <v>614</v>
      </c>
      <c r="C114" s="925"/>
      <c r="D114" s="964" t="s">
        <v>92</v>
      </c>
      <c r="E114" s="964"/>
      <c r="F114" s="964"/>
      <c r="G114" s="964"/>
      <c r="H114" s="964"/>
      <c r="I114" s="964"/>
      <c r="J114" s="964" t="s">
        <v>919</v>
      </c>
      <c r="K114" s="965" t="s">
        <v>419</v>
      </c>
      <c r="L114" s="965" t="s">
        <v>419</v>
      </c>
      <c r="M114" s="1009"/>
      <c r="N114"/>
      <c r="O114"/>
      <c r="P114"/>
      <c r="Q114"/>
      <c r="R114"/>
      <c r="S114"/>
      <c r="T114"/>
      <c r="U114"/>
      <c r="V114"/>
      <c r="W114"/>
      <c r="X114"/>
      <c r="Y114"/>
      <c r="Z114"/>
      <c r="AA114"/>
      <c r="AB114"/>
      <c r="AC114"/>
      <c r="AD114"/>
    </row>
    <row r="115" spans="1:30" s="782" customFormat="1" ht="24.95" customHeight="1" x14ac:dyDescent="0.35">
      <c r="A115" s="968"/>
      <c r="B115" s="930" t="s">
        <v>920</v>
      </c>
      <c r="C115" s="925"/>
      <c r="D115" s="964" t="s">
        <v>92</v>
      </c>
      <c r="E115" s="964"/>
      <c r="F115" s="964"/>
      <c r="G115" s="964"/>
      <c r="H115" s="964"/>
      <c r="I115" s="964"/>
      <c r="J115" s="964" t="s">
        <v>921</v>
      </c>
      <c r="K115" s="965" t="s">
        <v>419</v>
      </c>
      <c r="L115" s="965" t="s">
        <v>419</v>
      </c>
      <c r="M115" s="1009"/>
      <c r="N115"/>
      <c r="O115"/>
      <c r="P115"/>
      <c r="Q115"/>
      <c r="R115"/>
      <c r="S115"/>
      <c r="T115"/>
      <c r="U115"/>
      <c r="V115"/>
      <c r="W115"/>
      <c r="X115"/>
      <c r="Y115"/>
      <c r="Z115"/>
      <c r="AA115"/>
      <c r="AB115"/>
      <c r="AC115"/>
      <c r="AD115"/>
    </row>
    <row r="116" spans="1:30" s="1005" customFormat="1" ht="24.95" customHeight="1" x14ac:dyDescent="0.25">
      <c r="A116" s="1000">
        <v>45909</v>
      </c>
      <c r="B116" s="1007" t="s">
        <v>617</v>
      </c>
      <c r="C116" s="1002"/>
      <c r="D116" s="1003" t="s">
        <v>92</v>
      </c>
      <c r="E116" s="1003"/>
      <c r="F116" s="1003"/>
      <c r="G116" s="1003"/>
      <c r="H116" s="1003"/>
      <c r="I116" s="1003"/>
      <c r="J116" s="1003" t="s">
        <v>618</v>
      </c>
      <c r="K116" s="1004">
        <v>43995</v>
      </c>
      <c r="L116" s="1004"/>
      <c r="M116" s="1002" t="s">
        <v>938</v>
      </c>
      <c r="N116" s="1006"/>
      <c r="O116" s="1006"/>
      <c r="P116" s="1006"/>
      <c r="Q116" s="1006"/>
      <c r="R116" s="1006"/>
      <c r="S116" s="1006"/>
      <c r="T116" s="1006"/>
      <c r="U116" s="1006"/>
      <c r="V116" s="1006"/>
      <c r="W116" s="1006"/>
      <c r="X116" s="1006"/>
      <c r="Y116" s="1006"/>
      <c r="Z116" s="1006"/>
      <c r="AA116" s="1006"/>
      <c r="AB116" s="1006"/>
      <c r="AC116" s="1006"/>
      <c r="AD116" s="1006"/>
    </row>
    <row r="117" spans="1:30" s="782" customFormat="1" ht="24.95" customHeight="1" x14ac:dyDescent="0.35">
      <c r="A117" s="968">
        <v>45911</v>
      </c>
      <c r="B117" s="930" t="s">
        <v>617</v>
      </c>
      <c r="C117" s="925"/>
      <c r="D117" s="964" t="s">
        <v>92</v>
      </c>
      <c r="E117" s="964"/>
      <c r="F117" s="964"/>
      <c r="G117" s="964"/>
      <c r="H117" s="964"/>
      <c r="I117" s="964"/>
      <c r="J117" s="964" t="s">
        <v>624</v>
      </c>
      <c r="K117" s="965">
        <v>5400</v>
      </c>
      <c r="L117" s="965">
        <v>5400</v>
      </c>
      <c r="M117" s="1009"/>
      <c r="N117"/>
      <c r="O117"/>
      <c r="P117"/>
      <c r="Q117"/>
      <c r="R117"/>
      <c r="S117"/>
      <c r="T117"/>
      <c r="U117"/>
      <c r="V117"/>
      <c r="W117"/>
      <c r="X117"/>
      <c r="Y117"/>
      <c r="Z117"/>
      <c r="AA117"/>
      <c r="AB117"/>
      <c r="AC117"/>
      <c r="AD117"/>
    </row>
    <row r="118" spans="1:30" s="941" customFormat="1" ht="24.95" customHeight="1" x14ac:dyDescent="0.35">
      <c r="A118" s="968">
        <v>45912</v>
      </c>
      <c r="B118" s="930" t="s">
        <v>617</v>
      </c>
      <c r="C118" s="925"/>
      <c r="D118" s="964" t="s">
        <v>92</v>
      </c>
      <c r="E118" s="964"/>
      <c r="F118" s="964"/>
      <c r="G118" s="964"/>
      <c r="H118" s="964"/>
      <c r="I118" s="964"/>
      <c r="J118" s="964" t="s">
        <v>625</v>
      </c>
      <c r="K118" s="965">
        <v>5400</v>
      </c>
      <c r="L118" s="965">
        <v>5400</v>
      </c>
      <c r="M118" s="1009"/>
      <c r="N118"/>
      <c r="O118"/>
      <c r="P118"/>
      <c r="Q118"/>
      <c r="R118"/>
      <c r="S118"/>
      <c r="T118"/>
      <c r="U118"/>
      <c r="V118"/>
      <c r="W118"/>
      <c r="X118"/>
      <c r="Y118"/>
      <c r="Z118"/>
      <c r="AA118"/>
      <c r="AB118"/>
      <c r="AC118"/>
      <c r="AD118"/>
    </row>
    <row r="119" spans="1:30" s="749" customFormat="1" ht="24.95" customHeight="1" x14ac:dyDescent="0.35">
      <c r="A119" s="968">
        <v>45929</v>
      </c>
      <c r="B119" s="930" t="s">
        <v>617</v>
      </c>
      <c r="C119" s="925"/>
      <c r="D119" s="964" t="s">
        <v>92</v>
      </c>
      <c r="E119" s="964"/>
      <c r="F119" s="964"/>
      <c r="G119" s="964"/>
      <c r="H119" s="964"/>
      <c r="I119" s="964"/>
      <c r="J119" s="964" t="s">
        <v>667</v>
      </c>
      <c r="K119" s="965">
        <v>180000</v>
      </c>
      <c r="L119" s="965">
        <v>180000</v>
      </c>
      <c r="M119" s="1009"/>
      <c r="N119"/>
      <c r="O119"/>
      <c r="P119"/>
      <c r="Q119"/>
      <c r="R119"/>
      <c r="S119"/>
      <c r="T119"/>
      <c r="U119"/>
      <c r="V119"/>
      <c r="W119"/>
      <c r="X119"/>
      <c r="Y119"/>
      <c r="Z119"/>
      <c r="AA119"/>
      <c r="AB119"/>
      <c r="AC119"/>
      <c r="AD119"/>
    </row>
    <row r="120" spans="1:30" s="749" customFormat="1" ht="24.95" customHeight="1" x14ac:dyDescent="0.35">
      <c r="A120" s="968">
        <v>46000</v>
      </c>
      <c r="B120" s="930" t="s">
        <v>617</v>
      </c>
      <c r="C120" s="925"/>
      <c r="D120" s="964" t="s">
        <v>92</v>
      </c>
      <c r="E120" s="964"/>
      <c r="F120" s="964"/>
      <c r="G120" s="964"/>
      <c r="H120" s="964"/>
      <c r="I120" s="964"/>
      <c r="J120" s="964" t="s">
        <v>698</v>
      </c>
      <c r="K120" s="965">
        <v>92000</v>
      </c>
      <c r="L120" s="965">
        <v>92000</v>
      </c>
      <c r="M120" s="1009"/>
      <c r="N120"/>
      <c r="O120"/>
      <c r="P120"/>
      <c r="Q120"/>
      <c r="R120"/>
      <c r="S120"/>
      <c r="T120"/>
      <c r="U120"/>
      <c r="V120"/>
      <c r="W120"/>
      <c r="X120"/>
      <c r="Y120"/>
      <c r="Z120"/>
      <c r="AA120"/>
      <c r="AB120"/>
      <c r="AC120"/>
      <c r="AD120"/>
    </row>
    <row r="121" spans="1:30" s="749" customFormat="1" ht="24.95" customHeight="1" x14ac:dyDescent="0.35">
      <c r="A121" s="968">
        <v>45663</v>
      </c>
      <c r="B121" s="930" t="s">
        <v>717</v>
      </c>
      <c r="C121" s="925"/>
      <c r="D121" s="964" t="s">
        <v>92</v>
      </c>
      <c r="E121" s="964"/>
      <c r="F121" s="964"/>
      <c r="G121" s="964"/>
      <c r="H121" s="964"/>
      <c r="I121" s="964"/>
      <c r="J121" s="964" t="s">
        <v>718</v>
      </c>
      <c r="K121" s="965">
        <v>2885</v>
      </c>
      <c r="L121" s="965">
        <v>2885</v>
      </c>
      <c r="M121" s="1009"/>
      <c r="N121"/>
      <c r="O121"/>
      <c r="P121"/>
      <c r="Q121"/>
      <c r="R121"/>
      <c r="S121"/>
      <c r="T121"/>
      <c r="U121"/>
      <c r="V121"/>
      <c r="W121"/>
      <c r="X121"/>
      <c r="Y121"/>
      <c r="Z121"/>
      <c r="AA121"/>
      <c r="AB121"/>
      <c r="AC121"/>
      <c r="AD121"/>
    </row>
    <row r="122" spans="1:30" s="749" customFormat="1" ht="24.95" customHeight="1" x14ac:dyDescent="0.35">
      <c r="A122" s="968" t="s">
        <v>421</v>
      </c>
      <c r="B122" s="930" t="s">
        <v>617</v>
      </c>
      <c r="C122" s="925"/>
      <c r="D122" s="964" t="s">
        <v>92</v>
      </c>
      <c r="E122" s="964"/>
      <c r="F122" s="964"/>
      <c r="G122" s="964"/>
      <c r="H122" s="964"/>
      <c r="I122" s="964"/>
      <c r="J122" s="964" t="s">
        <v>824</v>
      </c>
      <c r="K122" s="965">
        <v>31540</v>
      </c>
      <c r="L122" s="965">
        <v>31540</v>
      </c>
      <c r="M122" s="1009"/>
      <c r="N122"/>
      <c r="O122"/>
      <c r="P122"/>
      <c r="Q122"/>
      <c r="R122"/>
      <c r="S122"/>
      <c r="T122"/>
      <c r="U122"/>
      <c r="V122"/>
      <c r="W122"/>
      <c r="X122"/>
      <c r="Y122"/>
      <c r="Z122"/>
      <c r="AA122"/>
      <c r="AB122"/>
      <c r="AC122"/>
      <c r="AD122"/>
    </row>
    <row r="123" spans="1:30" s="749" customFormat="1" ht="24.95" customHeight="1" x14ac:dyDescent="0.35">
      <c r="A123" s="968" t="s">
        <v>421</v>
      </c>
      <c r="B123" s="930" t="s">
        <v>617</v>
      </c>
      <c r="C123" s="925"/>
      <c r="D123" s="964" t="s">
        <v>92</v>
      </c>
      <c r="E123" s="964"/>
      <c r="F123" s="964"/>
      <c r="G123" s="964"/>
      <c r="H123" s="964"/>
      <c r="I123" s="964"/>
      <c r="J123" s="964" t="s">
        <v>825</v>
      </c>
      <c r="K123" s="965">
        <v>80900</v>
      </c>
      <c r="L123" s="965">
        <v>80900</v>
      </c>
      <c r="M123" s="1009"/>
      <c r="N123"/>
      <c r="O123"/>
      <c r="P123"/>
      <c r="Q123"/>
      <c r="R123"/>
      <c r="S123"/>
      <c r="T123"/>
      <c r="U123"/>
      <c r="V123"/>
      <c r="W123"/>
      <c r="X123"/>
      <c r="Y123"/>
      <c r="Z123"/>
      <c r="AA123"/>
      <c r="AB123"/>
      <c r="AC123"/>
      <c r="AD123"/>
    </row>
    <row r="124" spans="1:30" s="749" customFormat="1" ht="24.95" customHeight="1" x14ac:dyDescent="0.35">
      <c r="A124" s="968">
        <v>46233</v>
      </c>
      <c r="B124" s="930" t="s">
        <v>617</v>
      </c>
      <c r="C124" s="925"/>
      <c r="D124" s="964" t="s">
        <v>92</v>
      </c>
      <c r="E124" s="964"/>
      <c r="F124" s="964"/>
      <c r="G124" s="964"/>
      <c r="H124" s="964"/>
      <c r="I124" s="964"/>
      <c r="J124" s="964" t="s">
        <v>966</v>
      </c>
      <c r="K124" s="965">
        <v>3500</v>
      </c>
      <c r="L124" s="965"/>
      <c r="M124" s="1009"/>
      <c r="N124"/>
      <c r="O124"/>
      <c r="P124"/>
      <c r="Q124"/>
      <c r="R124"/>
      <c r="S124"/>
      <c r="T124"/>
      <c r="U124"/>
      <c r="V124"/>
      <c r="W124"/>
      <c r="X124"/>
      <c r="Y124"/>
      <c r="Z124"/>
      <c r="AA124"/>
      <c r="AB124"/>
      <c r="AC124"/>
      <c r="AD124"/>
    </row>
    <row r="125" spans="1:30" s="749" customFormat="1" ht="24.95" customHeight="1" x14ac:dyDescent="0.35">
      <c r="A125" s="968">
        <v>46233</v>
      </c>
      <c r="B125" s="930" t="s">
        <v>617</v>
      </c>
      <c r="C125" s="925"/>
      <c r="D125" s="964" t="s">
        <v>92</v>
      </c>
      <c r="E125" s="964"/>
      <c r="F125" s="964"/>
      <c r="G125" s="964"/>
      <c r="H125" s="964"/>
      <c r="I125" s="964"/>
      <c r="J125" s="964" t="s">
        <v>967</v>
      </c>
      <c r="K125" s="965">
        <v>18000</v>
      </c>
      <c r="L125" s="965"/>
      <c r="M125" s="1009"/>
      <c r="N125"/>
      <c r="O125"/>
      <c r="P125"/>
      <c r="Q125"/>
      <c r="R125"/>
      <c r="S125"/>
      <c r="T125"/>
      <c r="U125"/>
      <c r="V125"/>
      <c r="W125"/>
      <c r="X125"/>
      <c r="Y125"/>
      <c r="Z125"/>
      <c r="AA125"/>
      <c r="AB125"/>
      <c r="AC125"/>
      <c r="AD125"/>
    </row>
    <row r="126" spans="1:30" s="749" customFormat="1" ht="24.95" customHeight="1" x14ac:dyDescent="0.35">
      <c r="A126" s="968">
        <v>45964</v>
      </c>
      <c r="B126" s="930" t="s">
        <v>669</v>
      </c>
      <c r="C126" s="925"/>
      <c r="D126" s="964" t="s">
        <v>282</v>
      </c>
      <c r="E126" s="964"/>
      <c r="F126" s="964"/>
      <c r="G126" s="964"/>
      <c r="H126" s="964"/>
      <c r="I126" s="964"/>
      <c r="J126" s="964" t="s">
        <v>670</v>
      </c>
      <c r="K126" s="965" t="s">
        <v>968</v>
      </c>
      <c r="L126" s="965">
        <v>81575</v>
      </c>
      <c r="M126" s="1009"/>
      <c r="N126"/>
      <c r="O126"/>
      <c r="P126"/>
      <c r="Q126"/>
      <c r="R126"/>
      <c r="S126"/>
      <c r="T126"/>
      <c r="U126"/>
      <c r="V126"/>
      <c r="W126"/>
      <c r="X126"/>
      <c r="Y126"/>
      <c r="Z126"/>
      <c r="AA126"/>
      <c r="AB126"/>
      <c r="AC126"/>
      <c r="AD126"/>
    </row>
    <row r="127" spans="1:30" s="749" customFormat="1" ht="24.95" customHeight="1" x14ac:dyDescent="0.35">
      <c r="A127" s="968">
        <v>45978</v>
      </c>
      <c r="B127" s="930" t="s">
        <v>669</v>
      </c>
      <c r="C127" s="925"/>
      <c r="D127" s="964" t="s">
        <v>282</v>
      </c>
      <c r="E127" s="964"/>
      <c r="F127" s="964"/>
      <c r="G127" s="964"/>
      <c r="H127" s="964"/>
      <c r="I127" s="964"/>
      <c r="J127" s="964" t="s">
        <v>493</v>
      </c>
      <c r="K127" s="965">
        <v>134000</v>
      </c>
      <c r="L127" s="965">
        <v>134000</v>
      </c>
      <c r="M127" s="1009"/>
      <c r="N127"/>
      <c r="O127"/>
      <c r="P127"/>
      <c r="Q127"/>
      <c r="R127"/>
      <c r="S127"/>
      <c r="T127"/>
      <c r="U127"/>
      <c r="V127"/>
      <c r="W127"/>
      <c r="X127"/>
      <c r="Y127"/>
      <c r="Z127"/>
      <c r="AA127"/>
      <c r="AB127"/>
      <c r="AC127"/>
      <c r="AD127"/>
    </row>
    <row r="128" spans="1:30" s="1005" customFormat="1" ht="24.95" customHeight="1" x14ac:dyDescent="0.25">
      <c r="A128" s="1000">
        <v>45964</v>
      </c>
      <c r="B128" s="1007" t="s">
        <v>669</v>
      </c>
      <c r="C128" s="1002"/>
      <c r="D128" s="1003" t="s">
        <v>282</v>
      </c>
      <c r="E128" s="1003"/>
      <c r="F128" s="1003"/>
      <c r="G128" s="1003"/>
      <c r="H128" s="1003"/>
      <c r="I128" s="1003"/>
      <c r="J128" s="1003" t="s">
        <v>850</v>
      </c>
      <c r="K128" s="1004">
        <v>216575</v>
      </c>
      <c r="L128" s="1004"/>
      <c r="M128" s="1002" t="s">
        <v>943</v>
      </c>
      <c r="N128" s="1006"/>
      <c r="O128" s="1006"/>
      <c r="P128" s="1006"/>
      <c r="Q128" s="1006"/>
      <c r="R128" s="1006"/>
      <c r="S128" s="1006"/>
      <c r="T128" s="1006"/>
      <c r="U128" s="1006"/>
      <c r="V128" s="1006"/>
      <c r="W128" s="1006"/>
      <c r="X128" s="1006"/>
      <c r="Y128" s="1006"/>
      <c r="Z128" s="1006"/>
      <c r="AA128" s="1006"/>
      <c r="AB128" s="1006"/>
      <c r="AC128" s="1006"/>
      <c r="AD128" s="1006"/>
    </row>
    <row r="129" spans="1:30" s="749" customFormat="1" ht="24.95" customHeight="1" x14ac:dyDescent="0.35">
      <c r="A129" s="968">
        <v>46150</v>
      </c>
      <c r="B129" s="930" t="s">
        <v>669</v>
      </c>
      <c r="C129" s="925"/>
      <c r="D129" s="964" t="s">
        <v>282</v>
      </c>
      <c r="E129" s="964"/>
      <c r="F129" s="964"/>
      <c r="G129" s="964"/>
      <c r="H129" s="964"/>
      <c r="I129" s="964"/>
      <c r="J129" s="964" t="s">
        <v>861</v>
      </c>
      <c r="K129" s="965" t="s">
        <v>419</v>
      </c>
      <c r="L129" s="965" t="s">
        <v>419</v>
      </c>
      <c r="M129" s="1009"/>
      <c r="N129"/>
      <c r="O129"/>
      <c r="P129"/>
      <c r="Q129"/>
      <c r="R129"/>
      <c r="S129"/>
      <c r="T129"/>
      <c r="U129"/>
      <c r="V129"/>
      <c r="W129"/>
      <c r="X129"/>
      <c r="Y129"/>
      <c r="Z129"/>
      <c r="AA129"/>
      <c r="AB129"/>
      <c r="AC129"/>
      <c r="AD129"/>
    </row>
    <row r="130" spans="1:30" s="749" customFormat="1" ht="24.95" customHeight="1" x14ac:dyDescent="0.35">
      <c r="A130" s="968">
        <v>45981</v>
      </c>
      <c r="B130" s="930" t="s">
        <v>683</v>
      </c>
      <c r="C130" s="925"/>
      <c r="D130" s="964" t="s">
        <v>92</v>
      </c>
      <c r="E130" s="964"/>
      <c r="F130" s="964"/>
      <c r="G130" s="964"/>
      <c r="H130" s="964"/>
      <c r="I130" s="964"/>
      <c r="J130" s="964" t="s">
        <v>684</v>
      </c>
      <c r="K130" s="965">
        <v>72550</v>
      </c>
      <c r="L130" s="965">
        <v>72550</v>
      </c>
      <c r="M130" s="1009"/>
      <c r="N130"/>
      <c r="O130"/>
      <c r="P130"/>
      <c r="Q130"/>
      <c r="R130"/>
      <c r="S130"/>
      <c r="T130"/>
      <c r="U130"/>
      <c r="V130"/>
      <c r="W130"/>
      <c r="X130"/>
      <c r="Y130"/>
      <c r="Z130"/>
      <c r="AA130"/>
      <c r="AB130"/>
      <c r="AC130"/>
      <c r="AD130"/>
    </row>
    <row r="131" spans="1:30" s="749" customFormat="1" ht="24.95" customHeight="1" x14ac:dyDescent="0.35">
      <c r="A131" s="968">
        <v>46006</v>
      </c>
      <c r="B131" s="930" t="s">
        <v>683</v>
      </c>
      <c r="C131" s="925"/>
      <c r="D131" s="964" t="s">
        <v>92</v>
      </c>
      <c r="E131" s="964"/>
      <c r="F131" s="964"/>
      <c r="G131" s="964"/>
      <c r="H131" s="964"/>
      <c r="I131" s="964"/>
      <c r="J131" s="964" t="s">
        <v>709</v>
      </c>
      <c r="K131" s="965">
        <v>72550</v>
      </c>
      <c r="L131" s="965">
        <v>72550</v>
      </c>
      <c r="M131" s="1009"/>
      <c r="N131"/>
      <c r="O131"/>
      <c r="P131"/>
      <c r="Q131"/>
      <c r="R131"/>
      <c r="S131"/>
      <c r="T131"/>
      <c r="U131"/>
      <c r="V131"/>
      <c r="W131"/>
      <c r="X131"/>
      <c r="Y131"/>
      <c r="Z131"/>
      <c r="AA131"/>
      <c r="AB131"/>
      <c r="AC131"/>
      <c r="AD131"/>
    </row>
    <row r="132" spans="1:30" s="749" customFormat="1" ht="24.95" customHeight="1" x14ac:dyDescent="0.35">
      <c r="A132" s="968">
        <v>46133</v>
      </c>
      <c r="B132" s="930" t="s">
        <v>683</v>
      </c>
      <c r="C132" s="925"/>
      <c r="D132" s="964" t="s">
        <v>92</v>
      </c>
      <c r="E132" s="964"/>
      <c r="F132" s="964"/>
      <c r="G132" s="964"/>
      <c r="H132" s="964"/>
      <c r="I132" s="964"/>
      <c r="J132" s="964" t="s">
        <v>855</v>
      </c>
      <c r="K132" s="965">
        <v>105000</v>
      </c>
      <c r="L132" s="965">
        <v>105000</v>
      </c>
      <c r="M132" s="1009"/>
      <c r="N132"/>
      <c r="O132"/>
      <c r="P132"/>
      <c r="Q132"/>
      <c r="R132"/>
      <c r="S132"/>
      <c r="T132"/>
      <c r="U132"/>
      <c r="V132"/>
      <c r="W132"/>
      <c r="X132"/>
      <c r="Y132"/>
      <c r="Z132"/>
      <c r="AA132"/>
      <c r="AB132"/>
      <c r="AC132"/>
      <c r="AD132"/>
    </row>
    <row r="133" spans="1:30" s="749" customFormat="1" ht="24.95" customHeight="1" x14ac:dyDescent="0.35">
      <c r="A133" s="968">
        <v>45985</v>
      </c>
      <c r="B133" s="930" t="s">
        <v>681</v>
      </c>
      <c r="C133" s="925"/>
      <c r="D133" s="964" t="s">
        <v>92</v>
      </c>
      <c r="E133" s="964"/>
      <c r="F133" s="964"/>
      <c r="G133" s="964"/>
      <c r="H133" s="964"/>
      <c r="I133" s="964"/>
      <c r="J133" s="964" t="s">
        <v>682</v>
      </c>
      <c r="K133" s="965">
        <v>1850000</v>
      </c>
      <c r="L133" s="965">
        <v>1850000</v>
      </c>
      <c r="M133" s="1009"/>
      <c r="N133"/>
      <c r="O133"/>
      <c r="P133"/>
      <c r="Q133"/>
      <c r="R133"/>
      <c r="S133"/>
      <c r="T133"/>
      <c r="U133"/>
      <c r="V133"/>
      <c r="W133"/>
      <c r="X133"/>
      <c r="Y133"/>
      <c r="Z133"/>
      <c r="AA133"/>
      <c r="AB133"/>
      <c r="AC133"/>
      <c r="AD133"/>
    </row>
    <row r="134" spans="1:30" s="749" customFormat="1" ht="24.95" customHeight="1" x14ac:dyDescent="0.35">
      <c r="A134" s="968">
        <v>45986</v>
      </c>
      <c r="B134" s="930" t="s">
        <v>686</v>
      </c>
      <c r="C134" s="925"/>
      <c r="D134" s="964" t="s">
        <v>90</v>
      </c>
      <c r="E134" s="964"/>
      <c r="F134" s="964" t="s">
        <v>732</v>
      </c>
      <c r="G134" s="964"/>
      <c r="H134" s="964"/>
      <c r="I134" s="964"/>
      <c r="J134" s="964" t="s">
        <v>758</v>
      </c>
      <c r="K134" s="965">
        <v>2429160.35</v>
      </c>
      <c r="L134" s="965"/>
      <c r="M134" s="1027" t="s">
        <v>978</v>
      </c>
      <c r="N134"/>
      <c r="O134"/>
      <c r="P134"/>
      <c r="Q134"/>
      <c r="R134"/>
      <c r="S134"/>
      <c r="T134"/>
      <c r="U134"/>
      <c r="V134"/>
      <c r="W134"/>
      <c r="X134"/>
      <c r="Y134"/>
      <c r="Z134"/>
      <c r="AA134"/>
      <c r="AB134"/>
      <c r="AC134"/>
      <c r="AD134"/>
    </row>
    <row r="135" spans="1:30" s="749" customFormat="1" ht="24.95" customHeight="1" x14ac:dyDescent="0.35">
      <c r="A135" s="968">
        <v>45965</v>
      </c>
      <c r="B135" s="930" t="s">
        <v>695</v>
      </c>
      <c r="C135" s="925"/>
      <c r="D135" s="964" t="s">
        <v>90</v>
      </c>
      <c r="E135" s="964"/>
      <c r="F135" s="964"/>
      <c r="G135" s="964"/>
      <c r="H135" s="964"/>
      <c r="I135" s="964"/>
      <c r="J135" s="964" t="s">
        <v>696</v>
      </c>
      <c r="K135" s="965" t="s">
        <v>419</v>
      </c>
      <c r="L135" s="965" t="s">
        <v>419</v>
      </c>
      <c r="M135" s="1009"/>
      <c r="N135"/>
      <c r="O135"/>
      <c r="P135"/>
      <c r="Q135"/>
      <c r="R135"/>
      <c r="S135"/>
      <c r="T135"/>
      <c r="U135"/>
      <c r="V135"/>
      <c r="W135"/>
      <c r="X135"/>
      <c r="Y135"/>
      <c r="Z135"/>
      <c r="AA135"/>
      <c r="AB135"/>
      <c r="AC135"/>
      <c r="AD135"/>
    </row>
    <row r="136" spans="1:30" s="1005" customFormat="1" ht="24.95" customHeight="1" x14ac:dyDescent="0.25">
      <c r="A136" s="1000">
        <v>45995</v>
      </c>
      <c r="B136" s="1007" t="s">
        <v>699</v>
      </c>
      <c r="C136" s="1002"/>
      <c r="D136" s="1003" t="s">
        <v>90</v>
      </c>
      <c r="E136" s="1003"/>
      <c r="F136" s="1003" t="s">
        <v>895</v>
      </c>
      <c r="G136" s="1003"/>
      <c r="H136" s="1003"/>
      <c r="I136" s="1003"/>
      <c r="J136" s="1003" t="s">
        <v>700</v>
      </c>
      <c r="K136" s="1004">
        <v>98000</v>
      </c>
      <c r="L136" s="1004"/>
      <c r="M136" s="1002" t="s">
        <v>938</v>
      </c>
      <c r="N136" s="1006"/>
      <c r="O136" s="1006"/>
      <c r="P136" s="1006"/>
      <c r="Q136" s="1006"/>
      <c r="R136" s="1006"/>
      <c r="S136" s="1006"/>
      <c r="T136" s="1006"/>
      <c r="U136" s="1006"/>
      <c r="V136" s="1006"/>
      <c r="W136" s="1006"/>
      <c r="X136" s="1006"/>
      <c r="Y136" s="1006"/>
      <c r="Z136" s="1006"/>
      <c r="AA136" s="1006"/>
      <c r="AB136" s="1006"/>
      <c r="AC136" s="1006"/>
      <c r="AD136" s="1006"/>
    </row>
    <row r="137" spans="1:30" s="1005" customFormat="1" ht="24.95" customHeight="1" x14ac:dyDescent="0.25">
      <c r="A137" s="1000">
        <v>46032</v>
      </c>
      <c r="B137" s="1007" t="s">
        <v>699</v>
      </c>
      <c r="C137" s="1002"/>
      <c r="D137" s="1003" t="s">
        <v>90</v>
      </c>
      <c r="E137" s="1003"/>
      <c r="F137" s="1003" t="s">
        <v>903</v>
      </c>
      <c r="G137" s="1003"/>
      <c r="H137" s="1003"/>
      <c r="I137" s="1003"/>
      <c r="J137" s="1003" t="s">
        <v>723</v>
      </c>
      <c r="K137" s="1004">
        <v>337980</v>
      </c>
      <c r="L137" s="1004"/>
      <c r="M137" s="1002" t="s">
        <v>969</v>
      </c>
      <c r="N137" s="1006"/>
      <c r="O137" s="1006"/>
      <c r="P137" s="1006"/>
      <c r="Q137" s="1006"/>
      <c r="R137" s="1006"/>
      <c r="S137" s="1006"/>
      <c r="T137" s="1006"/>
      <c r="U137" s="1006"/>
      <c r="V137" s="1006"/>
      <c r="W137" s="1006"/>
      <c r="X137" s="1006"/>
      <c r="Y137" s="1006"/>
      <c r="Z137" s="1006"/>
      <c r="AA137" s="1006"/>
      <c r="AB137" s="1006"/>
      <c r="AC137" s="1006"/>
      <c r="AD137" s="1006"/>
    </row>
    <row r="138" spans="1:30" s="749" customFormat="1" ht="24.95" customHeight="1" x14ac:dyDescent="0.35">
      <c r="A138" s="968">
        <v>46206</v>
      </c>
      <c r="B138" s="930" t="s">
        <v>699</v>
      </c>
      <c r="C138" s="925"/>
      <c r="D138" s="964" t="s">
        <v>90</v>
      </c>
      <c r="E138" s="964"/>
      <c r="F138" s="964"/>
      <c r="G138" s="964"/>
      <c r="H138" s="964"/>
      <c r="I138" s="964"/>
      <c r="J138" s="964" t="s">
        <v>928</v>
      </c>
      <c r="K138" s="965" t="s">
        <v>419</v>
      </c>
      <c r="L138" s="965" t="s">
        <v>419</v>
      </c>
      <c r="M138" s="1009"/>
      <c r="N138"/>
      <c r="O138"/>
      <c r="P138"/>
      <c r="Q138"/>
      <c r="R138"/>
      <c r="S138"/>
      <c r="T138"/>
      <c r="U138"/>
      <c r="V138"/>
      <c r="W138"/>
      <c r="X138"/>
      <c r="Y138"/>
      <c r="Z138"/>
      <c r="AA138"/>
      <c r="AB138"/>
      <c r="AC138"/>
      <c r="AD138"/>
    </row>
    <row r="139" spans="1:30" s="749" customFormat="1" ht="24.95" customHeight="1" x14ac:dyDescent="0.35">
      <c r="A139" s="968">
        <v>46221</v>
      </c>
      <c r="B139" s="930" t="s">
        <v>699</v>
      </c>
      <c r="C139" s="925"/>
      <c r="D139" s="964" t="s">
        <v>90</v>
      </c>
      <c r="E139" s="964"/>
      <c r="F139" s="964"/>
      <c r="G139" s="964"/>
      <c r="H139" s="964"/>
      <c r="I139" s="964"/>
      <c r="J139" s="964" t="s">
        <v>944</v>
      </c>
      <c r="K139" s="965" t="s">
        <v>419</v>
      </c>
      <c r="L139" s="965"/>
      <c r="M139" s="1009"/>
      <c r="N139"/>
      <c r="O139"/>
      <c r="P139"/>
      <c r="Q139"/>
      <c r="R139"/>
      <c r="S139"/>
      <c r="T139"/>
      <c r="U139"/>
      <c r="V139"/>
      <c r="W139"/>
      <c r="X139"/>
      <c r="Y139"/>
      <c r="Z139"/>
      <c r="AA139"/>
      <c r="AB139"/>
      <c r="AC139"/>
      <c r="AD139"/>
    </row>
    <row r="140" spans="1:30" s="749" customFormat="1" ht="24.95" customHeight="1" x14ac:dyDescent="0.35">
      <c r="A140" s="968">
        <v>46259</v>
      </c>
      <c r="B140" s="930" t="s">
        <v>699</v>
      </c>
      <c r="C140" s="925" t="s">
        <v>1003</v>
      </c>
      <c r="D140" s="964" t="s">
        <v>90</v>
      </c>
      <c r="E140" s="964"/>
      <c r="F140" s="964"/>
      <c r="G140" s="964"/>
      <c r="H140" s="964"/>
      <c r="I140" s="964"/>
      <c r="J140" s="964" t="s">
        <v>1004</v>
      </c>
      <c r="K140" s="965">
        <v>2304960</v>
      </c>
      <c r="L140" s="965">
        <v>2304960</v>
      </c>
      <c r="M140" s="1009"/>
      <c r="N140"/>
      <c r="O140"/>
      <c r="P140"/>
      <c r="Q140"/>
      <c r="R140"/>
      <c r="S140"/>
      <c r="T140"/>
      <c r="U140"/>
      <c r="V140"/>
      <c r="W140"/>
      <c r="X140"/>
      <c r="Y140"/>
      <c r="Z140"/>
      <c r="AA140"/>
      <c r="AB140"/>
      <c r="AC140"/>
      <c r="AD140"/>
    </row>
    <row r="141" spans="1:30" s="749" customFormat="1" ht="24.95" customHeight="1" x14ac:dyDescent="0.35">
      <c r="A141" s="968" t="s">
        <v>705</v>
      </c>
      <c r="B141" s="930" t="s">
        <v>485</v>
      </c>
      <c r="C141" s="925"/>
      <c r="D141" s="964" t="s">
        <v>282</v>
      </c>
      <c r="E141" s="964"/>
      <c r="F141" s="964" t="s">
        <v>734</v>
      </c>
      <c r="G141" s="964"/>
      <c r="H141" s="964"/>
      <c r="I141" s="964"/>
      <c r="J141" s="964" t="s">
        <v>706</v>
      </c>
      <c r="K141" s="965">
        <v>18800</v>
      </c>
      <c r="L141" s="965">
        <v>18800</v>
      </c>
      <c r="M141" s="1009"/>
      <c r="N141"/>
      <c r="O141"/>
      <c r="P141"/>
      <c r="Q141"/>
      <c r="R141"/>
      <c r="S141"/>
      <c r="T141"/>
      <c r="U141"/>
      <c r="V141"/>
      <c r="W141"/>
      <c r="X141"/>
      <c r="Y141"/>
      <c r="Z141"/>
      <c r="AA141"/>
      <c r="AB141"/>
      <c r="AC141"/>
      <c r="AD141"/>
    </row>
    <row r="142" spans="1:30" s="749" customFormat="1" ht="24.95" customHeight="1" x14ac:dyDescent="0.35">
      <c r="A142" s="968">
        <v>46008</v>
      </c>
      <c r="B142" s="930" t="s">
        <v>485</v>
      </c>
      <c r="C142" s="925"/>
      <c r="D142" s="964" t="s">
        <v>282</v>
      </c>
      <c r="E142" s="964"/>
      <c r="F142" s="964" t="s">
        <v>735</v>
      </c>
      <c r="G142" s="964"/>
      <c r="H142" s="964"/>
      <c r="I142" s="964"/>
      <c r="J142" s="964" t="s">
        <v>710</v>
      </c>
      <c r="K142" s="965">
        <v>23868</v>
      </c>
      <c r="L142" s="965">
        <v>23868</v>
      </c>
      <c r="M142" s="1009"/>
      <c r="N142"/>
      <c r="O142"/>
      <c r="P142"/>
      <c r="Q142"/>
      <c r="R142"/>
      <c r="S142"/>
      <c r="T142"/>
      <c r="U142"/>
      <c r="V142"/>
      <c r="W142"/>
      <c r="X142"/>
      <c r="Y142"/>
      <c r="Z142"/>
      <c r="AA142"/>
      <c r="AB142"/>
      <c r="AC142"/>
      <c r="AD142"/>
    </row>
    <row r="143" spans="1:30" s="749" customFormat="1" ht="24.95" customHeight="1" x14ac:dyDescent="0.35">
      <c r="A143" s="968">
        <v>45662</v>
      </c>
      <c r="B143" s="930" t="s">
        <v>683</v>
      </c>
      <c r="C143" s="925"/>
      <c r="D143" s="964" t="s">
        <v>92</v>
      </c>
      <c r="E143" s="964"/>
      <c r="F143" s="964"/>
      <c r="G143" s="964"/>
      <c r="H143" s="964"/>
      <c r="I143" s="964"/>
      <c r="J143" s="964" t="s">
        <v>719</v>
      </c>
      <c r="K143" s="965">
        <v>3500</v>
      </c>
      <c r="L143" s="965">
        <v>3500</v>
      </c>
      <c r="M143" s="1009"/>
      <c r="N143"/>
      <c r="O143"/>
      <c r="P143"/>
      <c r="Q143"/>
      <c r="R143"/>
      <c r="S143"/>
      <c r="T143"/>
      <c r="U143"/>
      <c r="V143"/>
      <c r="W143"/>
      <c r="X143"/>
      <c r="Y143"/>
      <c r="Z143"/>
      <c r="AA143"/>
      <c r="AB143"/>
      <c r="AC143"/>
      <c r="AD143"/>
    </row>
    <row r="144" spans="1:30" s="749" customFormat="1" ht="24.95" customHeight="1" x14ac:dyDescent="0.35">
      <c r="A144" s="968">
        <v>45662</v>
      </c>
      <c r="B144" s="930" t="s">
        <v>683</v>
      </c>
      <c r="C144" s="925"/>
      <c r="D144" s="964" t="s">
        <v>92</v>
      </c>
      <c r="E144" s="964"/>
      <c r="F144" s="964"/>
      <c r="G144" s="964"/>
      <c r="H144" s="964"/>
      <c r="I144" s="964"/>
      <c r="J144" s="964" t="s">
        <v>720</v>
      </c>
      <c r="K144" s="965">
        <v>3500</v>
      </c>
      <c r="L144" s="965">
        <v>3500</v>
      </c>
      <c r="M144" s="1009"/>
      <c r="N144"/>
      <c r="O144"/>
      <c r="P144"/>
      <c r="Q144"/>
      <c r="R144"/>
      <c r="S144"/>
      <c r="T144"/>
      <c r="U144"/>
      <c r="V144"/>
      <c r="W144"/>
      <c r="X144"/>
      <c r="Y144"/>
      <c r="Z144"/>
      <c r="AA144"/>
      <c r="AB144"/>
      <c r="AC144"/>
      <c r="AD144"/>
    </row>
    <row r="145" spans="1:30" s="749" customFormat="1" ht="24.95" customHeight="1" x14ac:dyDescent="0.35">
      <c r="A145" s="968">
        <v>46042</v>
      </c>
      <c r="B145" s="930" t="s">
        <v>730</v>
      </c>
      <c r="C145" s="925"/>
      <c r="D145" s="964" t="s">
        <v>90</v>
      </c>
      <c r="E145" s="964"/>
      <c r="F145" s="964"/>
      <c r="G145" s="964"/>
      <c r="H145" s="964"/>
      <c r="I145" s="964"/>
      <c r="J145" s="964" t="s">
        <v>731</v>
      </c>
      <c r="K145" s="965">
        <v>78000</v>
      </c>
      <c r="L145" s="965">
        <v>78000</v>
      </c>
      <c r="M145" s="1009"/>
      <c r="N145"/>
      <c r="O145"/>
      <c r="P145"/>
      <c r="Q145"/>
      <c r="R145"/>
      <c r="S145"/>
      <c r="T145"/>
      <c r="U145"/>
      <c r="V145"/>
      <c r="W145"/>
      <c r="X145"/>
      <c r="Y145"/>
      <c r="Z145"/>
      <c r="AA145"/>
      <c r="AB145"/>
      <c r="AC145"/>
      <c r="AD145"/>
    </row>
    <row r="146" spans="1:30" s="749" customFormat="1" ht="24.95" customHeight="1" x14ac:dyDescent="0.35">
      <c r="A146" s="968">
        <v>46048</v>
      </c>
      <c r="B146" s="930" t="s">
        <v>155</v>
      </c>
      <c r="C146" s="925"/>
      <c r="D146" s="964" t="s">
        <v>94</v>
      </c>
      <c r="E146" s="964"/>
      <c r="F146" s="964"/>
      <c r="G146" s="964"/>
      <c r="H146" s="964"/>
      <c r="I146" s="964"/>
      <c r="J146" s="964" t="s">
        <v>818</v>
      </c>
      <c r="K146" s="965">
        <v>1425260</v>
      </c>
      <c r="L146" s="965">
        <v>1425260</v>
      </c>
      <c r="M146" s="1009"/>
      <c r="N146"/>
      <c r="O146"/>
      <c r="P146"/>
      <c r="Q146"/>
      <c r="R146"/>
      <c r="S146"/>
      <c r="T146"/>
      <c r="U146"/>
      <c r="V146"/>
      <c r="W146"/>
      <c r="X146"/>
      <c r="Y146"/>
      <c r="Z146"/>
      <c r="AA146"/>
      <c r="AB146"/>
      <c r="AC146"/>
      <c r="AD146"/>
    </row>
    <row r="147" spans="1:30" s="749" customFormat="1" ht="24.95" customHeight="1" x14ac:dyDescent="0.35">
      <c r="A147" s="968">
        <v>46051</v>
      </c>
      <c r="B147" s="930" t="s">
        <v>741</v>
      </c>
      <c r="C147" s="925"/>
      <c r="D147" s="964" t="s">
        <v>92</v>
      </c>
      <c r="E147" s="964"/>
      <c r="F147" s="964"/>
      <c r="G147" s="964"/>
      <c r="H147" s="964"/>
      <c r="I147" s="964"/>
      <c r="J147" s="964" t="s">
        <v>742</v>
      </c>
      <c r="K147" s="965">
        <v>99500</v>
      </c>
      <c r="L147" s="965">
        <v>99500</v>
      </c>
      <c r="M147" s="1009"/>
      <c r="N147"/>
      <c r="O147"/>
      <c r="P147"/>
      <c r="Q147"/>
      <c r="R147"/>
      <c r="S147"/>
      <c r="T147"/>
      <c r="U147"/>
      <c r="V147"/>
      <c r="W147"/>
      <c r="X147"/>
      <c r="Y147"/>
      <c r="Z147"/>
      <c r="AA147"/>
      <c r="AB147"/>
      <c r="AC147"/>
      <c r="AD147"/>
    </row>
    <row r="148" spans="1:30" s="749" customFormat="1" ht="24.95" customHeight="1" x14ac:dyDescent="0.35">
      <c r="A148" s="968">
        <v>46051</v>
      </c>
      <c r="B148" s="930" t="s">
        <v>741</v>
      </c>
      <c r="C148" s="925"/>
      <c r="D148" s="964" t="s">
        <v>92</v>
      </c>
      <c r="E148" s="964"/>
      <c r="F148" s="964"/>
      <c r="G148" s="964"/>
      <c r="H148" s="964"/>
      <c r="I148" s="964"/>
      <c r="J148" s="964" t="s">
        <v>743</v>
      </c>
      <c r="K148" s="965">
        <v>80000</v>
      </c>
      <c r="L148" s="965">
        <v>80000</v>
      </c>
      <c r="M148" s="1009"/>
      <c r="N148"/>
      <c r="O148"/>
      <c r="P148"/>
      <c r="Q148"/>
      <c r="R148"/>
      <c r="S148"/>
      <c r="T148"/>
      <c r="U148"/>
      <c r="V148"/>
      <c r="W148"/>
      <c r="X148"/>
      <c r="Y148"/>
      <c r="Z148"/>
      <c r="AA148"/>
      <c r="AB148"/>
      <c r="AC148"/>
      <c r="AD148"/>
    </row>
    <row r="149" spans="1:30" s="749" customFormat="1" ht="24.95" customHeight="1" x14ac:dyDescent="0.35">
      <c r="A149" s="968">
        <v>46057</v>
      </c>
      <c r="B149" s="930" t="s">
        <v>761</v>
      </c>
      <c r="C149" s="925"/>
      <c r="D149" s="964" t="s">
        <v>282</v>
      </c>
      <c r="E149" s="964"/>
      <c r="F149" s="964"/>
      <c r="G149" s="964"/>
      <c r="H149" s="964"/>
      <c r="I149" s="964"/>
      <c r="J149" s="964" t="s">
        <v>762</v>
      </c>
      <c r="K149" s="965">
        <v>8800</v>
      </c>
      <c r="L149" s="965">
        <v>8800</v>
      </c>
      <c r="M149" s="1009"/>
      <c r="N149"/>
      <c r="O149"/>
      <c r="P149"/>
      <c r="Q149"/>
      <c r="R149"/>
      <c r="S149"/>
      <c r="T149"/>
      <c r="U149"/>
      <c r="V149"/>
      <c r="W149"/>
      <c r="X149"/>
      <c r="Y149"/>
      <c r="Z149"/>
      <c r="AA149"/>
      <c r="AB149"/>
      <c r="AC149"/>
      <c r="AD149"/>
    </row>
    <row r="150" spans="1:30" s="749" customFormat="1" ht="24.95" customHeight="1" x14ac:dyDescent="0.35">
      <c r="A150" s="968" t="s">
        <v>421</v>
      </c>
      <c r="B150" s="930" t="s">
        <v>763</v>
      </c>
      <c r="C150" s="925"/>
      <c r="D150" s="964" t="s">
        <v>92</v>
      </c>
      <c r="E150" s="964"/>
      <c r="F150" s="964"/>
      <c r="G150" s="964"/>
      <c r="H150" s="964"/>
      <c r="I150" s="964"/>
      <c r="J150" s="964" t="s">
        <v>764</v>
      </c>
      <c r="K150" s="965" t="s">
        <v>419</v>
      </c>
      <c r="L150" s="965" t="s">
        <v>419</v>
      </c>
      <c r="M150" s="1009"/>
      <c r="N150"/>
      <c r="O150"/>
      <c r="P150"/>
      <c r="Q150"/>
      <c r="R150"/>
      <c r="S150"/>
      <c r="T150"/>
      <c r="U150"/>
      <c r="V150"/>
      <c r="W150"/>
      <c r="X150"/>
      <c r="Y150"/>
      <c r="Z150"/>
      <c r="AA150"/>
      <c r="AB150"/>
      <c r="AC150"/>
      <c r="AD150"/>
    </row>
    <row r="151" spans="1:30" s="749" customFormat="1" ht="24.95" customHeight="1" x14ac:dyDescent="0.35">
      <c r="A151" s="968">
        <v>46057</v>
      </c>
      <c r="B151" s="930" t="s">
        <v>765</v>
      </c>
      <c r="C151" s="925"/>
      <c r="D151" s="964" t="s">
        <v>92</v>
      </c>
      <c r="E151" s="964"/>
      <c r="F151" s="964"/>
      <c r="G151" s="964"/>
      <c r="H151" s="964"/>
      <c r="I151" s="964"/>
      <c r="J151" s="964" t="s">
        <v>766</v>
      </c>
      <c r="K151" s="965" t="s">
        <v>419</v>
      </c>
      <c r="L151" s="965" t="s">
        <v>419</v>
      </c>
      <c r="M151" s="1009"/>
      <c r="N151"/>
      <c r="O151"/>
      <c r="P151"/>
      <c r="Q151"/>
      <c r="R151"/>
      <c r="S151"/>
      <c r="T151"/>
      <c r="U151"/>
      <c r="V151"/>
      <c r="W151"/>
      <c r="X151"/>
      <c r="Y151"/>
      <c r="Z151"/>
      <c r="AA151"/>
      <c r="AB151"/>
      <c r="AC151"/>
      <c r="AD151"/>
    </row>
    <row r="152" spans="1:30" s="749" customFormat="1" ht="24.95" customHeight="1" x14ac:dyDescent="0.35">
      <c r="A152" s="968">
        <v>46057</v>
      </c>
      <c r="B152" s="930" t="s">
        <v>765</v>
      </c>
      <c r="C152" s="925"/>
      <c r="D152" s="964" t="s">
        <v>92</v>
      </c>
      <c r="E152" s="964"/>
      <c r="F152" s="964"/>
      <c r="G152" s="964"/>
      <c r="H152" s="964"/>
      <c r="I152" s="964"/>
      <c r="J152" s="964" t="s">
        <v>767</v>
      </c>
      <c r="K152" s="965" t="s">
        <v>419</v>
      </c>
      <c r="L152" s="965" t="s">
        <v>419</v>
      </c>
      <c r="M152" s="1009"/>
      <c r="N152"/>
      <c r="O152"/>
      <c r="P152"/>
      <c r="Q152"/>
      <c r="R152"/>
      <c r="S152"/>
      <c r="T152"/>
      <c r="U152"/>
      <c r="V152"/>
      <c r="W152"/>
      <c r="X152"/>
      <c r="Y152"/>
      <c r="Z152"/>
      <c r="AA152"/>
      <c r="AB152"/>
      <c r="AC152"/>
      <c r="AD152"/>
    </row>
    <row r="153" spans="1:30" s="749" customFormat="1" ht="24.95" customHeight="1" x14ac:dyDescent="0.35">
      <c r="A153" s="968">
        <v>46057</v>
      </c>
      <c r="B153" s="930" t="s">
        <v>770</v>
      </c>
      <c r="C153" s="925"/>
      <c r="D153" s="964" t="s">
        <v>92</v>
      </c>
      <c r="E153" s="964"/>
      <c r="F153" s="964"/>
      <c r="G153" s="964"/>
      <c r="H153" s="964"/>
      <c r="I153" s="964"/>
      <c r="J153" s="964" t="s">
        <v>771</v>
      </c>
      <c r="K153" s="965">
        <v>17500</v>
      </c>
      <c r="L153" s="965">
        <v>17500</v>
      </c>
      <c r="M153" s="1009" t="s">
        <v>478</v>
      </c>
      <c r="N153"/>
      <c r="O153"/>
      <c r="P153"/>
      <c r="Q153"/>
      <c r="R153"/>
      <c r="S153"/>
      <c r="T153"/>
      <c r="U153"/>
      <c r="V153"/>
      <c r="W153"/>
      <c r="X153"/>
      <c r="Y153"/>
      <c r="Z153"/>
      <c r="AA153"/>
      <c r="AB153"/>
      <c r="AC153"/>
      <c r="AD153"/>
    </row>
    <row r="154" spans="1:30" s="749" customFormat="1" ht="24.95" customHeight="1" x14ac:dyDescent="0.35">
      <c r="A154" s="968"/>
      <c r="B154" s="930" t="s">
        <v>772</v>
      </c>
      <c r="C154" s="925"/>
      <c r="D154" s="964" t="s">
        <v>92</v>
      </c>
      <c r="E154" s="964"/>
      <c r="F154" s="964"/>
      <c r="G154" s="964"/>
      <c r="H154" s="964"/>
      <c r="I154" s="964"/>
      <c r="J154" s="964" t="s">
        <v>773</v>
      </c>
      <c r="K154" s="965">
        <v>39895</v>
      </c>
      <c r="L154" s="965">
        <v>39895</v>
      </c>
      <c r="M154" s="1009"/>
      <c r="N154"/>
      <c r="O154"/>
      <c r="P154"/>
      <c r="Q154"/>
      <c r="R154"/>
      <c r="S154"/>
      <c r="T154"/>
      <c r="U154"/>
      <c r="V154"/>
      <c r="W154"/>
      <c r="X154"/>
      <c r="Y154"/>
      <c r="Z154"/>
      <c r="AA154"/>
      <c r="AB154"/>
      <c r="AC154"/>
      <c r="AD154"/>
    </row>
    <row r="155" spans="1:30" s="749" customFormat="1" ht="24.95" customHeight="1" x14ac:dyDescent="0.35">
      <c r="A155" s="968">
        <v>46071</v>
      </c>
      <c r="B155" s="930" t="s">
        <v>772</v>
      </c>
      <c r="C155" s="925"/>
      <c r="D155" s="964" t="s">
        <v>92</v>
      </c>
      <c r="E155" s="964"/>
      <c r="F155" s="964"/>
      <c r="G155" s="964"/>
      <c r="H155" s="964"/>
      <c r="I155" s="964"/>
      <c r="J155" s="964" t="s">
        <v>787</v>
      </c>
      <c r="K155" s="965">
        <v>25036</v>
      </c>
      <c r="L155" s="965">
        <v>25036</v>
      </c>
      <c r="M155" s="1009"/>
      <c r="N155"/>
      <c r="O155"/>
      <c r="P155"/>
      <c r="Q155"/>
      <c r="R155"/>
      <c r="S155"/>
      <c r="T155"/>
      <c r="U155"/>
      <c r="V155"/>
      <c r="W155"/>
      <c r="X155"/>
      <c r="Y155"/>
      <c r="Z155"/>
      <c r="AA155"/>
      <c r="AB155"/>
      <c r="AC155"/>
      <c r="AD155"/>
    </row>
    <row r="156" spans="1:30" s="749" customFormat="1" ht="24.95" customHeight="1" x14ac:dyDescent="0.35">
      <c r="A156" s="968">
        <v>46119</v>
      </c>
      <c r="B156" s="930" t="s">
        <v>772</v>
      </c>
      <c r="C156" s="925"/>
      <c r="D156" s="964" t="s">
        <v>92</v>
      </c>
      <c r="E156" s="964"/>
      <c r="F156" s="964"/>
      <c r="G156" s="964"/>
      <c r="H156" s="964"/>
      <c r="I156" s="964"/>
      <c r="J156" s="964" t="s">
        <v>856</v>
      </c>
      <c r="K156" s="965">
        <v>23194</v>
      </c>
      <c r="L156" s="965">
        <v>23194</v>
      </c>
      <c r="M156" s="1009"/>
      <c r="N156"/>
      <c r="O156"/>
      <c r="P156"/>
      <c r="Q156"/>
      <c r="R156"/>
      <c r="S156"/>
      <c r="T156"/>
      <c r="U156"/>
      <c r="V156"/>
      <c r="W156"/>
      <c r="X156"/>
      <c r="Y156"/>
      <c r="Z156"/>
      <c r="AA156"/>
      <c r="AB156"/>
      <c r="AC156"/>
      <c r="AD156"/>
    </row>
    <row r="157" spans="1:30" s="749" customFormat="1" ht="24.95" customHeight="1" x14ac:dyDescent="0.35">
      <c r="A157" s="968">
        <v>46140</v>
      </c>
      <c r="B157" s="930" t="s">
        <v>772</v>
      </c>
      <c r="C157" s="925"/>
      <c r="D157" s="964" t="s">
        <v>92</v>
      </c>
      <c r="E157" s="964"/>
      <c r="F157" s="964"/>
      <c r="G157" s="964"/>
      <c r="H157" s="964"/>
      <c r="I157" s="964"/>
      <c r="J157" s="964" t="s">
        <v>857</v>
      </c>
      <c r="K157" s="965">
        <v>70381.600000000006</v>
      </c>
      <c r="L157" s="965">
        <v>70381.600000000006</v>
      </c>
      <c r="M157" s="1009"/>
      <c r="N157"/>
      <c r="O157"/>
      <c r="P157"/>
      <c r="Q157"/>
      <c r="R157"/>
      <c r="S157"/>
      <c r="T157"/>
      <c r="U157"/>
      <c r="V157"/>
      <c r="W157"/>
      <c r="X157"/>
      <c r="Y157"/>
      <c r="Z157"/>
      <c r="AA157"/>
      <c r="AB157"/>
      <c r="AC157"/>
      <c r="AD157"/>
    </row>
    <row r="158" spans="1:30" s="749" customFormat="1" ht="24.95" customHeight="1" x14ac:dyDescent="0.35">
      <c r="A158" s="968">
        <v>46168</v>
      </c>
      <c r="B158" s="930" t="s">
        <v>772</v>
      </c>
      <c r="C158" s="925"/>
      <c r="D158" s="964" t="s">
        <v>92</v>
      </c>
      <c r="E158" s="964"/>
      <c r="F158" s="964"/>
      <c r="G158" s="964"/>
      <c r="H158" s="964"/>
      <c r="I158" s="964"/>
      <c r="J158" s="964" t="s">
        <v>883</v>
      </c>
      <c r="K158" s="965">
        <v>20472.55</v>
      </c>
      <c r="L158" s="965">
        <v>20472.55</v>
      </c>
      <c r="M158" s="1009"/>
      <c r="N158"/>
      <c r="O158"/>
      <c r="P158"/>
      <c r="Q158"/>
      <c r="R158"/>
      <c r="S158"/>
      <c r="T158"/>
      <c r="U158"/>
      <c r="V158"/>
      <c r="W158"/>
      <c r="X158"/>
      <c r="Y158"/>
      <c r="Z158"/>
      <c r="AA158"/>
      <c r="AB158"/>
      <c r="AC158"/>
      <c r="AD158"/>
    </row>
    <row r="159" spans="1:30" s="749" customFormat="1" ht="24.95" customHeight="1" x14ac:dyDescent="0.35">
      <c r="A159" s="968">
        <v>46168</v>
      </c>
      <c r="B159" s="930" t="s">
        <v>772</v>
      </c>
      <c r="C159" s="925"/>
      <c r="D159" s="964" t="s">
        <v>92</v>
      </c>
      <c r="E159" s="964"/>
      <c r="F159" s="964"/>
      <c r="G159" s="964"/>
      <c r="H159" s="964"/>
      <c r="I159" s="964"/>
      <c r="J159" s="964" t="s">
        <v>884</v>
      </c>
      <c r="K159" s="965">
        <v>19454.650000000001</v>
      </c>
      <c r="L159" s="965">
        <v>19454.650000000001</v>
      </c>
      <c r="M159" s="1009"/>
      <c r="N159"/>
      <c r="O159"/>
      <c r="P159"/>
      <c r="Q159"/>
      <c r="R159"/>
      <c r="S159"/>
      <c r="T159"/>
      <c r="U159"/>
      <c r="V159"/>
      <c r="W159"/>
      <c r="X159"/>
      <c r="Y159"/>
      <c r="Z159"/>
      <c r="AA159"/>
      <c r="AB159"/>
      <c r="AC159"/>
      <c r="AD159"/>
    </row>
    <row r="160" spans="1:30" s="749" customFormat="1" ht="24.95" customHeight="1" x14ac:dyDescent="0.35">
      <c r="A160" s="968">
        <v>46059</v>
      </c>
      <c r="B160" s="930" t="s">
        <v>775</v>
      </c>
      <c r="C160" s="925"/>
      <c r="D160" s="964" t="s">
        <v>92</v>
      </c>
      <c r="E160" s="964"/>
      <c r="F160" s="964"/>
      <c r="G160" s="964"/>
      <c r="H160" s="964"/>
      <c r="I160" s="964"/>
      <c r="J160" s="964" t="s">
        <v>776</v>
      </c>
      <c r="K160" s="965" t="s">
        <v>419</v>
      </c>
      <c r="L160" s="965" t="s">
        <v>419</v>
      </c>
      <c r="M160" s="1009"/>
      <c r="N160"/>
      <c r="O160"/>
      <c r="P160"/>
      <c r="Q160"/>
      <c r="R160"/>
      <c r="S160"/>
      <c r="T160"/>
      <c r="U160"/>
      <c r="V160"/>
      <c r="W160"/>
      <c r="X160"/>
      <c r="Y160"/>
      <c r="Z160"/>
      <c r="AA160"/>
      <c r="AB160"/>
      <c r="AC160"/>
      <c r="AD160"/>
    </row>
    <row r="161" spans="1:30" s="749" customFormat="1" ht="24.95" customHeight="1" x14ac:dyDescent="0.35">
      <c r="A161" s="968"/>
      <c r="B161" s="930" t="s">
        <v>777</v>
      </c>
      <c r="C161" s="925"/>
      <c r="D161" s="964" t="s">
        <v>92</v>
      </c>
      <c r="E161" s="964"/>
      <c r="F161" s="964"/>
      <c r="G161" s="964"/>
      <c r="H161" s="964"/>
      <c r="I161" s="964"/>
      <c r="J161" s="964" t="s">
        <v>778</v>
      </c>
      <c r="K161" s="965" t="s">
        <v>419</v>
      </c>
      <c r="L161" s="965" t="s">
        <v>419</v>
      </c>
      <c r="M161" s="1009"/>
      <c r="N161"/>
      <c r="O161"/>
      <c r="P161"/>
      <c r="Q161"/>
      <c r="R161"/>
      <c r="S161"/>
      <c r="T161"/>
      <c r="U161"/>
      <c r="V161"/>
      <c r="W161"/>
      <c r="X161"/>
      <c r="Y161"/>
      <c r="Z161"/>
      <c r="AA161"/>
      <c r="AB161"/>
      <c r="AC161"/>
      <c r="AD161"/>
    </row>
    <row r="162" spans="1:30" s="749" customFormat="1" ht="24.95" customHeight="1" x14ac:dyDescent="0.35">
      <c r="A162" s="968">
        <v>46063</v>
      </c>
      <c r="B162" s="930" t="s">
        <v>777</v>
      </c>
      <c r="C162" s="925"/>
      <c r="D162" s="964" t="s">
        <v>92</v>
      </c>
      <c r="E162" s="964"/>
      <c r="F162" s="964"/>
      <c r="G162" s="964"/>
      <c r="H162" s="964"/>
      <c r="I162" s="964"/>
      <c r="J162" s="964" t="s">
        <v>779</v>
      </c>
      <c r="K162" s="965" t="s">
        <v>419</v>
      </c>
      <c r="L162" s="965" t="s">
        <v>419</v>
      </c>
      <c r="M162" s="1009"/>
      <c r="N162"/>
      <c r="O162"/>
      <c r="P162"/>
      <c r="Q162"/>
      <c r="R162"/>
      <c r="S162"/>
      <c r="T162"/>
      <c r="U162"/>
      <c r="V162"/>
      <c r="W162"/>
      <c r="X162"/>
      <c r="Y162"/>
      <c r="Z162"/>
      <c r="AA162"/>
      <c r="AB162"/>
      <c r="AC162"/>
      <c r="AD162"/>
    </row>
    <row r="163" spans="1:30" s="749" customFormat="1" ht="24.95" customHeight="1" x14ac:dyDescent="0.35">
      <c r="A163" s="968">
        <v>46063</v>
      </c>
      <c r="B163" s="930" t="s">
        <v>777</v>
      </c>
      <c r="C163" s="925"/>
      <c r="D163" s="964" t="s">
        <v>92</v>
      </c>
      <c r="E163" s="964"/>
      <c r="F163" s="964"/>
      <c r="G163" s="964"/>
      <c r="H163" s="964"/>
      <c r="I163" s="964"/>
      <c r="J163" s="964" t="s">
        <v>843</v>
      </c>
      <c r="K163" s="965" t="s">
        <v>419</v>
      </c>
      <c r="L163" s="965" t="s">
        <v>419</v>
      </c>
      <c r="M163" s="1009"/>
      <c r="N163"/>
      <c r="O163"/>
      <c r="P163"/>
      <c r="Q163"/>
      <c r="R163"/>
      <c r="S163"/>
      <c r="T163"/>
      <c r="U163"/>
      <c r="V163"/>
      <c r="W163"/>
      <c r="X163"/>
      <c r="Y163"/>
      <c r="Z163"/>
      <c r="AA163"/>
      <c r="AB163"/>
      <c r="AC163"/>
      <c r="AD163"/>
    </row>
    <row r="164" spans="1:30" s="749" customFormat="1" ht="24.95" customHeight="1" x14ac:dyDescent="0.35">
      <c r="A164" s="968">
        <v>46160</v>
      </c>
      <c r="B164" s="930" t="s">
        <v>777</v>
      </c>
      <c r="C164" s="925"/>
      <c r="D164" s="964" t="s">
        <v>92</v>
      </c>
      <c r="E164" s="964"/>
      <c r="F164" s="964"/>
      <c r="G164" s="964"/>
      <c r="H164" s="964"/>
      <c r="I164" s="964"/>
      <c r="J164" s="964" t="s">
        <v>864</v>
      </c>
      <c r="K164" s="965">
        <v>6400</v>
      </c>
      <c r="L164" s="965">
        <v>6400</v>
      </c>
      <c r="M164" s="1009"/>
      <c r="N164"/>
      <c r="O164"/>
      <c r="P164"/>
      <c r="Q164"/>
      <c r="R164"/>
      <c r="S164"/>
      <c r="T164"/>
      <c r="U164"/>
      <c r="V164"/>
      <c r="W164"/>
      <c r="X164"/>
      <c r="Y164"/>
      <c r="Z164"/>
      <c r="AA164"/>
      <c r="AB164"/>
      <c r="AC164"/>
      <c r="AD164"/>
    </row>
    <row r="165" spans="1:30" s="1005" customFormat="1" ht="24.95" customHeight="1" x14ac:dyDescent="0.25">
      <c r="A165" s="1000"/>
      <c r="B165" s="1007" t="s">
        <v>782</v>
      </c>
      <c r="C165" s="1002"/>
      <c r="D165" s="1003" t="s">
        <v>92</v>
      </c>
      <c r="E165" s="1003"/>
      <c r="F165" s="1003" t="s">
        <v>795</v>
      </c>
      <c r="G165" s="1003"/>
      <c r="H165" s="1003"/>
      <c r="I165" s="1003"/>
      <c r="J165" s="1003" t="s">
        <v>783</v>
      </c>
      <c r="K165" s="1004">
        <v>71420</v>
      </c>
      <c r="L165" s="1004"/>
      <c r="M165" s="1002" t="s">
        <v>908</v>
      </c>
      <c r="N165" s="1006"/>
      <c r="O165" s="1006"/>
      <c r="P165" s="1006"/>
      <c r="Q165" s="1006"/>
      <c r="R165" s="1006"/>
      <c r="S165" s="1006"/>
      <c r="T165" s="1006"/>
      <c r="U165" s="1006"/>
      <c r="V165" s="1006"/>
      <c r="W165" s="1006"/>
      <c r="X165" s="1006"/>
      <c r="Y165" s="1006"/>
      <c r="Z165" s="1006"/>
      <c r="AA165" s="1006"/>
      <c r="AB165" s="1006"/>
      <c r="AC165" s="1006"/>
      <c r="AD165" s="1006"/>
    </row>
    <row r="166" spans="1:30" s="749" customFormat="1" ht="24.95" customHeight="1" x14ac:dyDescent="0.35">
      <c r="A166" s="968">
        <v>46069</v>
      </c>
      <c r="B166" s="986" t="s">
        <v>785</v>
      </c>
      <c r="C166" s="925"/>
      <c r="D166" s="964" t="s">
        <v>92</v>
      </c>
      <c r="E166" s="964"/>
      <c r="F166" s="964"/>
      <c r="G166" s="964"/>
      <c r="H166" s="964"/>
      <c r="I166" s="964"/>
      <c r="J166" s="964" t="s">
        <v>788</v>
      </c>
      <c r="K166" s="965">
        <v>1800</v>
      </c>
      <c r="L166" s="965">
        <v>1800</v>
      </c>
      <c r="M166" s="1009"/>
      <c r="N166"/>
      <c r="O166"/>
      <c r="P166"/>
      <c r="Q166"/>
      <c r="R166"/>
      <c r="S166"/>
      <c r="T166"/>
      <c r="U166"/>
      <c r="V166"/>
      <c r="W166"/>
      <c r="X166"/>
      <c r="Y166"/>
      <c r="Z166"/>
      <c r="AA166"/>
      <c r="AB166"/>
      <c r="AC166"/>
      <c r="AD166"/>
    </row>
    <row r="167" spans="1:30" s="749" customFormat="1" ht="24.95" customHeight="1" x14ac:dyDescent="0.35">
      <c r="A167" s="968"/>
      <c r="B167" s="986" t="s">
        <v>822</v>
      </c>
      <c r="C167" s="925"/>
      <c r="D167" s="964" t="s">
        <v>92</v>
      </c>
      <c r="E167" s="964"/>
      <c r="F167" s="964"/>
      <c r="G167" s="964"/>
      <c r="H167" s="964"/>
      <c r="I167" s="964"/>
      <c r="J167" s="964" t="s">
        <v>823</v>
      </c>
      <c r="K167" s="965">
        <v>8815</v>
      </c>
      <c r="L167" s="965">
        <v>8815</v>
      </c>
      <c r="M167" s="1009"/>
      <c r="N167"/>
      <c r="O167"/>
      <c r="P167"/>
      <c r="Q167"/>
      <c r="R167"/>
      <c r="S167"/>
      <c r="T167"/>
      <c r="U167"/>
      <c r="V167"/>
      <c r="W167"/>
      <c r="X167"/>
      <c r="Y167"/>
      <c r="Z167"/>
      <c r="AA167"/>
      <c r="AB167"/>
      <c r="AC167"/>
      <c r="AD167"/>
    </row>
    <row r="168" spans="1:30" s="749" customFormat="1" ht="24.95" customHeight="1" x14ac:dyDescent="0.35">
      <c r="A168" s="968"/>
      <c r="B168" s="986" t="s">
        <v>785</v>
      </c>
      <c r="C168" s="925"/>
      <c r="D168" s="964" t="s">
        <v>92</v>
      </c>
      <c r="E168" s="964"/>
      <c r="F168" s="964"/>
      <c r="G168" s="964"/>
      <c r="H168" s="964"/>
      <c r="I168" s="964"/>
      <c r="J168" s="964" t="s">
        <v>826</v>
      </c>
      <c r="K168" s="965">
        <v>20560</v>
      </c>
      <c r="L168" s="965">
        <v>20560</v>
      </c>
      <c r="M168" s="1009" t="s">
        <v>912</v>
      </c>
      <c r="N168"/>
      <c r="O168"/>
      <c r="P168"/>
      <c r="Q168"/>
      <c r="R168"/>
      <c r="S168"/>
      <c r="T168"/>
      <c r="U168"/>
      <c r="V168"/>
      <c r="W168"/>
      <c r="X168"/>
      <c r="Y168"/>
      <c r="Z168"/>
      <c r="AA168"/>
      <c r="AB168"/>
      <c r="AC168"/>
      <c r="AD168"/>
    </row>
    <row r="169" spans="1:30" s="749" customFormat="1" ht="24.95" customHeight="1" x14ac:dyDescent="0.35">
      <c r="A169" s="968"/>
      <c r="B169" s="986" t="s">
        <v>785</v>
      </c>
      <c r="C169" s="925"/>
      <c r="D169" s="964" t="s">
        <v>92</v>
      </c>
      <c r="E169" s="964"/>
      <c r="F169" s="964"/>
      <c r="G169" s="964"/>
      <c r="H169" s="964"/>
      <c r="I169" s="964"/>
      <c r="J169" s="964" t="s">
        <v>827</v>
      </c>
      <c r="K169" s="965">
        <v>4340</v>
      </c>
      <c r="L169" s="965">
        <v>4340</v>
      </c>
      <c r="M169" s="1009" t="s">
        <v>912</v>
      </c>
      <c r="N169"/>
      <c r="O169"/>
      <c r="P169"/>
      <c r="Q169"/>
      <c r="R169"/>
      <c r="S169"/>
      <c r="T169"/>
      <c r="U169"/>
      <c r="V169"/>
      <c r="W169"/>
      <c r="X169"/>
      <c r="Y169"/>
      <c r="Z169"/>
      <c r="AA169"/>
      <c r="AB169"/>
      <c r="AC169"/>
      <c r="AD169"/>
    </row>
    <row r="170" spans="1:30" s="749" customFormat="1" ht="24.95" customHeight="1" x14ac:dyDescent="0.35">
      <c r="A170" s="968"/>
      <c r="B170" s="986" t="s">
        <v>785</v>
      </c>
      <c r="C170" s="925"/>
      <c r="D170" s="964" t="s">
        <v>92</v>
      </c>
      <c r="E170" s="964"/>
      <c r="F170" s="964"/>
      <c r="G170" s="964"/>
      <c r="H170" s="964"/>
      <c r="I170" s="964"/>
      <c r="J170" s="964" t="s">
        <v>899</v>
      </c>
      <c r="K170" s="965">
        <v>2689</v>
      </c>
      <c r="L170" s="965">
        <v>2689</v>
      </c>
      <c r="M170" s="1009"/>
      <c r="N170"/>
      <c r="O170"/>
      <c r="P170"/>
      <c r="Q170"/>
      <c r="R170"/>
      <c r="S170"/>
      <c r="T170"/>
      <c r="U170"/>
      <c r="V170"/>
      <c r="W170"/>
      <c r="X170"/>
      <c r="Y170"/>
      <c r="Z170"/>
      <c r="AA170"/>
      <c r="AB170"/>
      <c r="AC170"/>
      <c r="AD170"/>
    </row>
    <row r="171" spans="1:30" s="749" customFormat="1" ht="24.95" customHeight="1" x14ac:dyDescent="0.35">
      <c r="A171" s="968">
        <v>46205</v>
      </c>
      <c r="B171" s="986" t="s">
        <v>785</v>
      </c>
      <c r="C171" s="925"/>
      <c r="D171" s="964" t="s">
        <v>92</v>
      </c>
      <c r="E171" s="964"/>
      <c r="F171" s="964"/>
      <c r="G171" s="964"/>
      <c r="H171" s="964"/>
      <c r="I171" s="964"/>
      <c r="J171" s="964" t="s">
        <v>916</v>
      </c>
      <c r="K171" s="965">
        <v>7560</v>
      </c>
      <c r="L171" s="965">
        <v>7560</v>
      </c>
      <c r="M171" s="1009"/>
      <c r="N171"/>
      <c r="O171"/>
      <c r="P171"/>
      <c r="Q171"/>
      <c r="R171"/>
      <c r="S171"/>
      <c r="T171"/>
      <c r="U171"/>
      <c r="V171"/>
      <c r="W171"/>
      <c r="X171"/>
      <c r="Y171"/>
      <c r="Z171"/>
      <c r="AA171"/>
      <c r="AB171"/>
      <c r="AC171"/>
      <c r="AD171"/>
    </row>
    <row r="172" spans="1:30" s="749" customFormat="1" ht="24.95" customHeight="1" x14ac:dyDescent="0.35">
      <c r="A172" s="968">
        <v>46209</v>
      </c>
      <c r="B172" s="986" t="s">
        <v>785</v>
      </c>
      <c r="C172" s="925"/>
      <c r="D172" s="964" t="s">
        <v>92</v>
      </c>
      <c r="E172" s="964"/>
      <c r="F172" s="964"/>
      <c r="G172" s="964"/>
      <c r="H172" s="964"/>
      <c r="I172" s="964"/>
      <c r="J172" s="964" t="s">
        <v>929</v>
      </c>
      <c r="K172" s="965">
        <v>8230</v>
      </c>
      <c r="L172" s="965">
        <v>8230</v>
      </c>
      <c r="M172" s="1009"/>
      <c r="N172"/>
      <c r="O172"/>
      <c r="P172"/>
      <c r="Q172"/>
      <c r="R172"/>
      <c r="S172"/>
      <c r="T172"/>
      <c r="U172"/>
      <c r="V172"/>
      <c r="W172"/>
      <c r="X172"/>
      <c r="Y172"/>
      <c r="Z172"/>
      <c r="AA172"/>
      <c r="AB172"/>
      <c r="AC172"/>
      <c r="AD172"/>
    </row>
    <row r="173" spans="1:30" s="749" customFormat="1" ht="24.95" customHeight="1" x14ac:dyDescent="0.35">
      <c r="A173" s="968">
        <v>46071</v>
      </c>
      <c r="B173" s="986" t="s">
        <v>789</v>
      </c>
      <c r="C173" s="925"/>
      <c r="D173" s="964" t="s">
        <v>92</v>
      </c>
      <c r="E173" s="964"/>
      <c r="F173" s="964"/>
      <c r="G173" s="964"/>
      <c r="H173" s="964"/>
      <c r="I173" s="964"/>
      <c r="J173" s="964" t="s">
        <v>790</v>
      </c>
      <c r="K173" s="965">
        <v>254750</v>
      </c>
      <c r="L173" s="965">
        <v>254750</v>
      </c>
      <c r="M173" s="1009"/>
      <c r="N173"/>
      <c r="O173"/>
      <c r="P173"/>
      <c r="Q173"/>
      <c r="R173"/>
      <c r="S173"/>
      <c r="T173"/>
      <c r="U173"/>
      <c r="V173"/>
      <c r="W173"/>
      <c r="X173"/>
      <c r="Y173"/>
      <c r="Z173"/>
      <c r="AA173"/>
      <c r="AB173"/>
      <c r="AC173"/>
      <c r="AD173"/>
    </row>
    <row r="174" spans="1:30" s="749" customFormat="1" ht="24.95" customHeight="1" x14ac:dyDescent="0.35">
      <c r="A174" s="968"/>
      <c r="B174" s="986" t="s">
        <v>798</v>
      </c>
      <c r="C174" s="925"/>
      <c r="D174" s="964" t="s">
        <v>92</v>
      </c>
      <c r="E174" s="964"/>
      <c r="F174" s="964"/>
      <c r="G174" s="964"/>
      <c r="H174" s="964"/>
      <c r="I174" s="964"/>
      <c r="J174" s="964" t="s">
        <v>799</v>
      </c>
      <c r="K174" s="965" t="s">
        <v>419</v>
      </c>
      <c r="L174" s="965" t="s">
        <v>419</v>
      </c>
      <c r="M174" s="1009"/>
      <c r="N174"/>
      <c r="O174"/>
      <c r="P174"/>
      <c r="Q174"/>
      <c r="R174"/>
      <c r="S174"/>
      <c r="T174"/>
      <c r="U174"/>
      <c r="V174"/>
      <c r="W174"/>
      <c r="X174"/>
      <c r="Y174"/>
      <c r="Z174"/>
      <c r="AA174"/>
      <c r="AB174"/>
      <c r="AC174"/>
      <c r="AD174"/>
    </row>
    <row r="175" spans="1:30" s="749" customFormat="1" ht="24.95" customHeight="1" x14ac:dyDescent="0.35">
      <c r="A175" s="968">
        <v>46084</v>
      </c>
      <c r="B175" s="986" t="s">
        <v>430</v>
      </c>
      <c r="C175" s="925"/>
      <c r="D175" s="964" t="s">
        <v>92</v>
      </c>
      <c r="E175" s="964"/>
      <c r="F175" s="964"/>
      <c r="G175" s="964"/>
      <c r="H175" s="964"/>
      <c r="I175" s="964"/>
      <c r="J175" s="964" t="s">
        <v>807</v>
      </c>
      <c r="K175" s="965">
        <v>79500</v>
      </c>
      <c r="L175" s="965">
        <v>79500</v>
      </c>
      <c r="M175" s="1009"/>
      <c r="N175"/>
      <c r="O175"/>
      <c r="P175"/>
      <c r="Q175"/>
      <c r="R175"/>
      <c r="S175"/>
      <c r="T175"/>
      <c r="U175"/>
      <c r="V175"/>
      <c r="W175"/>
      <c r="X175"/>
      <c r="Y175"/>
      <c r="Z175"/>
      <c r="AA175"/>
      <c r="AB175"/>
      <c r="AC175"/>
      <c r="AD175"/>
    </row>
    <row r="176" spans="1:30" s="749" customFormat="1" ht="24.95" customHeight="1" x14ac:dyDescent="0.35">
      <c r="A176" s="968">
        <v>46083</v>
      </c>
      <c r="B176" s="986" t="s">
        <v>808</v>
      </c>
      <c r="C176" s="925"/>
      <c r="D176" s="964" t="s">
        <v>92</v>
      </c>
      <c r="E176" s="964"/>
      <c r="F176" s="964"/>
      <c r="G176" s="964"/>
      <c r="H176" s="964"/>
      <c r="I176" s="964"/>
      <c r="J176" s="964" t="s">
        <v>809</v>
      </c>
      <c r="K176" s="965">
        <v>30500</v>
      </c>
      <c r="L176" s="965">
        <v>30500</v>
      </c>
      <c r="M176" s="1009" t="s">
        <v>478</v>
      </c>
      <c r="N176"/>
      <c r="O176"/>
      <c r="P176"/>
      <c r="Q176"/>
      <c r="R176"/>
      <c r="S176"/>
      <c r="T176"/>
      <c r="U176"/>
      <c r="V176"/>
      <c r="W176"/>
      <c r="X176"/>
      <c r="Y176"/>
      <c r="Z176"/>
      <c r="AA176"/>
      <c r="AB176"/>
      <c r="AC176"/>
      <c r="AD176"/>
    </row>
    <row r="177" spans="1:30" s="749" customFormat="1" ht="24.95" customHeight="1" x14ac:dyDescent="0.35">
      <c r="A177" s="968">
        <v>46087</v>
      </c>
      <c r="B177" s="986" t="s">
        <v>808</v>
      </c>
      <c r="C177" s="925"/>
      <c r="D177" s="964" t="s">
        <v>92</v>
      </c>
      <c r="E177" s="964"/>
      <c r="F177" s="964"/>
      <c r="G177" s="964"/>
      <c r="H177" s="964"/>
      <c r="I177" s="964"/>
      <c r="J177" s="964" t="s">
        <v>863</v>
      </c>
      <c r="K177" s="965">
        <v>19500</v>
      </c>
      <c r="L177" s="965">
        <v>19500</v>
      </c>
      <c r="M177" s="1009" t="s">
        <v>478</v>
      </c>
      <c r="N177"/>
      <c r="O177"/>
      <c r="P177"/>
      <c r="Q177"/>
      <c r="R177"/>
      <c r="S177"/>
      <c r="T177"/>
      <c r="U177"/>
      <c r="V177"/>
      <c r="W177"/>
      <c r="X177"/>
      <c r="Y177"/>
      <c r="Z177"/>
      <c r="AA177"/>
      <c r="AB177"/>
      <c r="AC177"/>
      <c r="AD177"/>
    </row>
    <row r="178" spans="1:30" s="749" customFormat="1" ht="24.95" customHeight="1" x14ac:dyDescent="0.35">
      <c r="A178" s="968">
        <v>46093</v>
      </c>
      <c r="B178" s="986" t="s">
        <v>828</v>
      </c>
      <c r="C178" s="925"/>
      <c r="D178" s="964" t="s">
        <v>92</v>
      </c>
      <c r="E178" s="964"/>
      <c r="F178" s="964"/>
      <c r="G178" s="964"/>
      <c r="H178" s="964"/>
      <c r="I178" s="964"/>
      <c r="J178" s="964" t="s">
        <v>829</v>
      </c>
      <c r="K178" s="965">
        <v>2750</v>
      </c>
      <c r="L178" s="965">
        <v>2750</v>
      </c>
      <c r="M178" s="1009"/>
      <c r="N178"/>
      <c r="O178"/>
      <c r="P178"/>
      <c r="Q178"/>
      <c r="R178"/>
      <c r="S178"/>
      <c r="T178"/>
      <c r="U178"/>
      <c r="V178"/>
      <c r="W178"/>
      <c r="X178"/>
      <c r="Y178"/>
      <c r="Z178"/>
      <c r="AA178"/>
      <c r="AB178"/>
      <c r="AC178"/>
      <c r="AD178"/>
    </row>
    <row r="179" spans="1:30" s="749" customFormat="1" ht="24.95" customHeight="1" x14ac:dyDescent="0.35">
      <c r="A179" s="968">
        <v>46107</v>
      </c>
      <c r="B179" s="986" t="s">
        <v>838</v>
      </c>
      <c r="C179" s="925"/>
      <c r="D179" s="964" t="s">
        <v>92</v>
      </c>
      <c r="E179" s="964"/>
      <c r="F179" s="964"/>
      <c r="G179" s="964"/>
      <c r="H179" s="964"/>
      <c r="I179" s="964"/>
      <c r="J179" s="964" t="s">
        <v>839</v>
      </c>
      <c r="K179" s="965" t="s">
        <v>419</v>
      </c>
      <c r="L179" s="965" t="s">
        <v>419</v>
      </c>
      <c r="M179" s="1009"/>
      <c r="N179"/>
      <c r="O179"/>
      <c r="P179"/>
      <c r="Q179"/>
      <c r="R179"/>
      <c r="S179"/>
      <c r="T179"/>
      <c r="U179"/>
      <c r="V179"/>
      <c r="W179"/>
      <c r="X179"/>
      <c r="Y179"/>
      <c r="Z179"/>
      <c r="AA179"/>
      <c r="AB179"/>
      <c r="AC179"/>
      <c r="AD179"/>
    </row>
    <row r="180" spans="1:30" s="749" customFormat="1" ht="24.95" customHeight="1" x14ac:dyDescent="0.35">
      <c r="A180" s="968">
        <v>46111</v>
      </c>
      <c r="B180" s="986" t="s">
        <v>844</v>
      </c>
      <c r="C180" s="925"/>
      <c r="D180" s="964" t="s">
        <v>92</v>
      </c>
      <c r="E180" s="964"/>
      <c r="F180" s="964"/>
      <c r="G180" s="964"/>
      <c r="H180" s="964"/>
      <c r="I180" s="964"/>
      <c r="J180" s="964" t="s">
        <v>845</v>
      </c>
      <c r="K180" s="965">
        <v>24000</v>
      </c>
      <c r="L180" s="965">
        <v>24000</v>
      </c>
      <c r="M180" s="1009"/>
      <c r="N180"/>
      <c r="O180"/>
      <c r="P180"/>
      <c r="Q180"/>
      <c r="R180"/>
      <c r="S180"/>
      <c r="T180"/>
      <c r="U180"/>
      <c r="V180"/>
      <c r="W180"/>
      <c r="X180"/>
      <c r="Y180"/>
      <c r="Z180"/>
      <c r="AA180"/>
      <c r="AB180"/>
      <c r="AC180"/>
      <c r="AD180"/>
    </row>
    <row r="181" spans="1:30" s="1005" customFormat="1" ht="24.95" customHeight="1" x14ac:dyDescent="0.25">
      <c r="A181" s="1000">
        <v>46228</v>
      </c>
      <c r="B181" s="1001" t="s">
        <v>844</v>
      </c>
      <c r="C181" s="1002"/>
      <c r="D181" s="1003" t="s">
        <v>92</v>
      </c>
      <c r="E181" s="1003"/>
      <c r="F181" s="1003"/>
      <c r="G181" s="1003"/>
      <c r="H181" s="1003"/>
      <c r="I181" s="1003"/>
      <c r="J181" s="1003" t="s">
        <v>947</v>
      </c>
      <c r="K181" s="1004">
        <v>14000</v>
      </c>
      <c r="L181" s="1004"/>
      <c r="M181" s="1002" t="s">
        <v>948</v>
      </c>
      <c r="N181" s="1006"/>
      <c r="O181" s="1006"/>
      <c r="P181" s="1006"/>
      <c r="Q181" s="1006"/>
      <c r="R181" s="1006"/>
      <c r="S181" s="1006"/>
      <c r="T181" s="1006"/>
      <c r="U181" s="1006"/>
      <c r="V181" s="1006"/>
      <c r="W181" s="1006"/>
      <c r="X181" s="1006"/>
      <c r="Y181" s="1006"/>
      <c r="Z181" s="1006"/>
      <c r="AA181" s="1006"/>
      <c r="AB181" s="1006"/>
      <c r="AC181" s="1006"/>
      <c r="AD181" s="1006"/>
    </row>
    <row r="182" spans="1:30" s="749" customFormat="1" ht="24.95" customHeight="1" x14ac:dyDescent="0.35">
      <c r="A182" s="968">
        <v>46111</v>
      </c>
      <c r="B182" s="986" t="s">
        <v>847</v>
      </c>
      <c r="C182" s="925" t="s">
        <v>927</v>
      </c>
      <c r="D182" s="964" t="s">
        <v>848</v>
      </c>
      <c r="E182" s="964"/>
      <c r="F182" s="964" t="s">
        <v>926</v>
      </c>
      <c r="G182" s="964"/>
      <c r="H182" s="964"/>
      <c r="I182" s="964"/>
      <c r="J182" s="964" t="s">
        <v>849</v>
      </c>
      <c r="K182" s="965">
        <v>14616</v>
      </c>
      <c r="L182" s="965">
        <v>14616</v>
      </c>
      <c r="M182" s="1009"/>
      <c r="N182"/>
      <c r="O182"/>
      <c r="P182"/>
      <c r="Q182"/>
      <c r="R182"/>
      <c r="S182"/>
      <c r="T182"/>
      <c r="U182"/>
      <c r="V182"/>
      <c r="W182"/>
      <c r="X182"/>
      <c r="Y182"/>
      <c r="Z182"/>
      <c r="AA182"/>
      <c r="AB182"/>
      <c r="AC182"/>
      <c r="AD182"/>
    </row>
    <row r="183" spans="1:30" s="749" customFormat="1" ht="24.95" customHeight="1" x14ac:dyDescent="0.35">
      <c r="A183" s="968">
        <v>45964</v>
      </c>
      <c r="B183" s="986" t="s">
        <v>669</v>
      </c>
      <c r="C183" s="925"/>
      <c r="D183" s="964" t="s">
        <v>282</v>
      </c>
      <c r="E183" s="964"/>
      <c r="F183" s="964" t="s">
        <v>853</v>
      </c>
      <c r="G183" s="964"/>
      <c r="H183" s="964"/>
      <c r="I183" s="964"/>
      <c r="J183" s="964" t="s">
        <v>850</v>
      </c>
      <c r="K183" s="965">
        <v>216575</v>
      </c>
      <c r="L183" s="965">
        <v>216575</v>
      </c>
      <c r="M183" s="1009"/>
      <c r="N183"/>
      <c r="O183"/>
      <c r="P183"/>
      <c r="Q183"/>
      <c r="R183"/>
      <c r="S183"/>
      <c r="T183"/>
      <c r="U183"/>
      <c r="V183"/>
      <c r="W183"/>
      <c r="X183"/>
      <c r="Y183"/>
      <c r="Z183"/>
      <c r="AA183"/>
      <c r="AB183"/>
      <c r="AC183"/>
      <c r="AD183"/>
    </row>
    <row r="184" spans="1:30" s="749" customFormat="1" ht="24.95" customHeight="1" x14ac:dyDescent="0.35">
      <c r="A184" s="968">
        <v>46150</v>
      </c>
      <c r="B184" s="986" t="s">
        <v>669</v>
      </c>
      <c r="C184" s="925"/>
      <c r="D184" s="964" t="s">
        <v>282</v>
      </c>
      <c r="E184" s="964"/>
      <c r="F184" s="964"/>
      <c r="G184" s="964"/>
      <c r="H184" s="964"/>
      <c r="I184" s="964"/>
      <c r="J184" s="964" t="s">
        <v>861</v>
      </c>
      <c r="K184" s="965" t="s">
        <v>419</v>
      </c>
      <c r="L184" s="965" t="s">
        <v>419</v>
      </c>
      <c r="M184" s="1009"/>
      <c r="N184"/>
      <c r="O184"/>
      <c r="P184"/>
      <c r="Q184"/>
      <c r="R184"/>
      <c r="S184"/>
      <c r="T184"/>
      <c r="U184"/>
      <c r="V184"/>
      <c r="W184"/>
      <c r="X184"/>
      <c r="Y184"/>
      <c r="Z184"/>
      <c r="AA184"/>
      <c r="AB184"/>
      <c r="AC184"/>
      <c r="AD184"/>
    </row>
    <row r="185" spans="1:30" s="1005" customFormat="1" ht="24.95" customHeight="1" x14ac:dyDescent="0.25">
      <c r="A185" s="1000">
        <v>46146</v>
      </c>
      <c r="B185" s="1001" t="s">
        <v>869</v>
      </c>
      <c r="C185" s="1002"/>
      <c r="D185" s="1003" t="s">
        <v>282</v>
      </c>
      <c r="E185" s="1003"/>
      <c r="F185" s="1003" t="s">
        <v>898</v>
      </c>
      <c r="G185" s="1003"/>
      <c r="H185" s="1003"/>
      <c r="I185" s="1003"/>
      <c r="J185" s="1003" t="s">
        <v>865</v>
      </c>
      <c r="K185" s="1004">
        <v>401320</v>
      </c>
      <c r="L185" s="1004"/>
      <c r="M185" s="1002" t="s">
        <v>915</v>
      </c>
      <c r="N185" s="1006"/>
      <c r="O185" s="1006"/>
      <c r="P185" s="1006"/>
      <c r="Q185" s="1006"/>
      <c r="R185" s="1006"/>
      <c r="S185" s="1006"/>
      <c r="T185" s="1006"/>
      <c r="U185" s="1006"/>
      <c r="V185" s="1006"/>
      <c r="W185" s="1006"/>
      <c r="X185" s="1006"/>
      <c r="Y185" s="1006"/>
      <c r="Z185" s="1006"/>
      <c r="AA185" s="1006"/>
      <c r="AB185" s="1006"/>
      <c r="AC185" s="1006"/>
      <c r="AD185" s="1006"/>
    </row>
    <row r="186" spans="1:30" s="1005" customFormat="1" ht="24.95" customHeight="1" x14ac:dyDescent="0.25">
      <c r="A186" s="1000">
        <v>46151</v>
      </c>
      <c r="B186" s="1001" t="s">
        <v>869</v>
      </c>
      <c r="C186" s="1002"/>
      <c r="D186" s="1003" t="s">
        <v>282</v>
      </c>
      <c r="E186" s="1003"/>
      <c r="F186" s="1003" t="s">
        <v>897</v>
      </c>
      <c r="G186" s="1003"/>
      <c r="H186" s="1003"/>
      <c r="I186" s="1003"/>
      <c r="J186" s="1003" t="s">
        <v>862</v>
      </c>
      <c r="K186" s="1004">
        <v>258000</v>
      </c>
      <c r="L186" s="1004"/>
      <c r="M186" s="1002" t="s">
        <v>946</v>
      </c>
      <c r="N186" s="1006"/>
      <c r="O186" s="1006"/>
      <c r="P186" s="1006"/>
      <c r="Q186" s="1006"/>
      <c r="R186" s="1006"/>
      <c r="S186" s="1006"/>
      <c r="T186" s="1006"/>
      <c r="U186" s="1006"/>
      <c r="V186" s="1006"/>
      <c r="W186" s="1006"/>
      <c r="X186" s="1006"/>
      <c r="Y186" s="1006"/>
      <c r="Z186" s="1006"/>
      <c r="AA186" s="1006"/>
      <c r="AB186" s="1006"/>
      <c r="AC186" s="1006"/>
      <c r="AD186" s="1006"/>
    </row>
    <row r="187" spans="1:30" s="749" customFormat="1" ht="24.95" customHeight="1" x14ac:dyDescent="0.35">
      <c r="A187" s="968">
        <v>46164</v>
      </c>
      <c r="B187" s="986" t="s">
        <v>869</v>
      </c>
      <c r="C187" s="925"/>
      <c r="D187" s="964" t="s">
        <v>282</v>
      </c>
      <c r="E187" s="964"/>
      <c r="F187" s="964" t="s">
        <v>1001</v>
      </c>
      <c r="G187" s="964"/>
      <c r="H187" s="964"/>
      <c r="I187" s="964"/>
      <c r="J187" s="964" t="s">
        <v>870</v>
      </c>
      <c r="K187" s="965">
        <v>68000</v>
      </c>
      <c r="L187" s="965">
        <v>68000</v>
      </c>
      <c r="M187" s="1009"/>
      <c r="N187"/>
      <c r="O187"/>
      <c r="P187"/>
      <c r="Q187"/>
      <c r="R187"/>
      <c r="S187"/>
      <c r="T187"/>
      <c r="U187"/>
      <c r="V187"/>
      <c r="W187"/>
      <c r="X187"/>
      <c r="Y187"/>
      <c r="Z187"/>
      <c r="AA187"/>
      <c r="AB187"/>
      <c r="AC187"/>
      <c r="AD187"/>
    </row>
    <row r="188" spans="1:30" s="749" customFormat="1" ht="24.95" customHeight="1" x14ac:dyDescent="0.35">
      <c r="A188" s="968">
        <v>46167</v>
      </c>
      <c r="B188" s="986" t="s">
        <v>869</v>
      </c>
      <c r="C188" s="925"/>
      <c r="D188" s="964" t="s">
        <v>282</v>
      </c>
      <c r="E188" s="964"/>
      <c r="F188" s="964" t="s">
        <v>1000</v>
      </c>
      <c r="G188" s="964"/>
      <c r="H188" s="964"/>
      <c r="I188" s="964"/>
      <c r="J188" s="964" t="s">
        <v>873</v>
      </c>
      <c r="K188" s="965">
        <v>39200</v>
      </c>
      <c r="L188" s="965">
        <v>39200</v>
      </c>
      <c r="M188" s="1009"/>
      <c r="N188"/>
      <c r="O188"/>
      <c r="P188"/>
      <c r="Q188"/>
      <c r="R188"/>
      <c r="S188"/>
      <c r="T188"/>
      <c r="U188"/>
      <c r="V188"/>
      <c r="W188"/>
      <c r="X188"/>
      <c r="Y188"/>
      <c r="Z188"/>
      <c r="AA188"/>
      <c r="AB188"/>
      <c r="AC188"/>
      <c r="AD188"/>
    </row>
    <row r="189" spans="1:30" s="749" customFormat="1" ht="24.95" customHeight="1" x14ac:dyDescent="0.35">
      <c r="A189" s="968">
        <v>46205</v>
      </c>
      <c r="B189" s="986" t="s">
        <v>869</v>
      </c>
      <c r="C189" s="925"/>
      <c r="D189" s="964" t="s">
        <v>92</v>
      </c>
      <c r="E189" s="964"/>
      <c r="F189" s="964" t="s">
        <v>1002</v>
      </c>
      <c r="G189" s="964"/>
      <c r="H189" s="964"/>
      <c r="I189" s="964"/>
      <c r="J189" s="964" t="s">
        <v>917</v>
      </c>
      <c r="K189" s="965">
        <v>60000</v>
      </c>
      <c r="L189" s="965">
        <v>60000</v>
      </c>
      <c r="M189" s="1009"/>
      <c r="N189"/>
      <c r="O189"/>
      <c r="P189"/>
      <c r="Q189"/>
      <c r="R189"/>
      <c r="S189"/>
      <c r="T189"/>
      <c r="U189"/>
      <c r="V189"/>
      <c r="W189"/>
      <c r="X189"/>
      <c r="Y189"/>
      <c r="Z189"/>
      <c r="AA189"/>
      <c r="AB189"/>
      <c r="AC189"/>
      <c r="AD189"/>
    </row>
    <row r="190" spans="1:30" s="749" customFormat="1" ht="24.95" customHeight="1" x14ac:dyDescent="0.35">
      <c r="A190" s="968">
        <v>46254</v>
      </c>
      <c r="B190" s="986" t="s">
        <v>869</v>
      </c>
      <c r="C190" s="925"/>
      <c r="D190" s="964" t="s">
        <v>92</v>
      </c>
      <c r="E190" s="964"/>
      <c r="F190" s="964" t="s">
        <v>995</v>
      </c>
      <c r="G190" s="964"/>
      <c r="H190" s="964"/>
      <c r="I190" s="964"/>
      <c r="J190" s="964" t="s">
        <v>996</v>
      </c>
      <c r="K190" s="965">
        <v>67370</v>
      </c>
      <c r="L190" s="965">
        <v>67370</v>
      </c>
      <c r="M190" s="1009"/>
      <c r="N190"/>
      <c r="O190"/>
      <c r="P190"/>
      <c r="Q190"/>
      <c r="R190"/>
      <c r="S190"/>
      <c r="T190"/>
      <c r="U190"/>
      <c r="V190"/>
      <c r="W190"/>
      <c r="X190"/>
      <c r="Y190"/>
      <c r="Z190"/>
      <c r="AA190"/>
      <c r="AB190"/>
      <c r="AC190"/>
      <c r="AD190"/>
    </row>
    <row r="191" spans="1:30" s="749" customFormat="1" ht="24.95" customHeight="1" x14ac:dyDescent="0.35">
      <c r="A191" s="968" t="s">
        <v>997</v>
      </c>
      <c r="B191" s="986" t="s">
        <v>869</v>
      </c>
      <c r="C191" s="925"/>
      <c r="D191" s="964" t="s">
        <v>92</v>
      </c>
      <c r="E191" s="964"/>
      <c r="F191" s="964" t="s">
        <v>998</v>
      </c>
      <c r="G191" s="964"/>
      <c r="H191" s="964"/>
      <c r="I191" s="964"/>
      <c r="J191" s="964" t="s">
        <v>999</v>
      </c>
      <c r="K191" s="965">
        <v>70000</v>
      </c>
      <c r="L191" s="965">
        <v>70000</v>
      </c>
      <c r="M191" s="1009"/>
      <c r="N191"/>
      <c r="O191"/>
      <c r="P191"/>
      <c r="Q191"/>
      <c r="R191"/>
      <c r="S191"/>
      <c r="T191"/>
      <c r="U191"/>
      <c r="V191"/>
      <c r="W191"/>
      <c r="X191"/>
      <c r="Y191"/>
      <c r="Z191"/>
      <c r="AA191"/>
      <c r="AB191"/>
      <c r="AC191"/>
      <c r="AD191"/>
    </row>
    <row r="192" spans="1:30" s="749" customFormat="1" ht="24.95" customHeight="1" x14ac:dyDescent="0.35">
      <c r="A192" s="968">
        <v>46146</v>
      </c>
      <c r="B192" s="986" t="s">
        <v>858</v>
      </c>
      <c r="C192" s="925"/>
      <c r="D192" s="964" t="s">
        <v>90</v>
      </c>
      <c r="E192" s="964"/>
      <c r="F192" s="964"/>
      <c r="G192" s="964"/>
      <c r="H192" s="964"/>
      <c r="I192" s="964"/>
      <c r="J192" s="964" t="s">
        <v>859</v>
      </c>
      <c r="K192" s="965" t="s">
        <v>419</v>
      </c>
      <c r="L192" s="965" t="s">
        <v>419</v>
      </c>
      <c r="M192" s="1009"/>
      <c r="N192"/>
      <c r="O192"/>
      <c r="P192"/>
      <c r="Q192"/>
      <c r="R192"/>
      <c r="S192"/>
      <c r="T192"/>
      <c r="U192"/>
      <c r="V192"/>
      <c r="W192"/>
      <c r="X192"/>
      <c r="Y192"/>
      <c r="Z192"/>
      <c r="AA192"/>
      <c r="AB192"/>
      <c r="AC192"/>
      <c r="AD192"/>
    </row>
    <row r="193" spans="1:30" s="749" customFormat="1" ht="24.95" customHeight="1" x14ac:dyDescent="0.35">
      <c r="A193" s="968">
        <v>46154</v>
      </c>
      <c r="B193" s="986" t="s">
        <v>858</v>
      </c>
      <c r="C193" s="925"/>
      <c r="D193" s="964" t="s">
        <v>90</v>
      </c>
      <c r="E193" s="964"/>
      <c r="F193" s="964"/>
      <c r="G193" s="964"/>
      <c r="H193" s="964"/>
      <c r="I193" s="964"/>
      <c r="J193" s="964" t="s">
        <v>860</v>
      </c>
      <c r="K193" s="965" t="s">
        <v>419</v>
      </c>
      <c r="L193" s="965" t="s">
        <v>419</v>
      </c>
      <c r="M193" s="1009"/>
      <c r="N193"/>
      <c r="O193"/>
      <c r="P193"/>
      <c r="Q193"/>
      <c r="R193"/>
      <c r="S193"/>
      <c r="T193"/>
      <c r="U193"/>
      <c r="V193"/>
      <c r="W193"/>
      <c r="X193"/>
      <c r="Y193"/>
      <c r="Z193"/>
      <c r="AA193"/>
      <c r="AB193"/>
      <c r="AC193"/>
      <c r="AD193"/>
    </row>
    <row r="194" spans="1:30" s="749" customFormat="1" ht="24.95" customHeight="1" x14ac:dyDescent="0.35">
      <c r="A194" s="968">
        <v>46157</v>
      </c>
      <c r="B194" s="986" t="s">
        <v>866</v>
      </c>
      <c r="C194" s="925"/>
      <c r="D194" s="964" t="s">
        <v>90</v>
      </c>
      <c r="E194" s="964"/>
      <c r="F194" s="964"/>
      <c r="G194" s="964"/>
      <c r="H194" s="964"/>
      <c r="I194" s="964"/>
      <c r="J194" s="964" t="s">
        <v>867</v>
      </c>
      <c r="K194" s="965">
        <v>22300</v>
      </c>
      <c r="L194" s="965">
        <v>22300</v>
      </c>
      <c r="M194" s="1009"/>
      <c r="N194"/>
      <c r="O194"/>
      <c r="P194"/>
      <c r="Q194"/>
      <c r="R194"/>
      <c r="S194"/>
      <c r="T194"/>
      <c r="U194"/>
      <c r="V194"/>
      <c r="W194"/>
      <c r="X194"/>
      <c r="Y194"/>
      <c r="Z194"/>
      <c r="AA194"/>
      <c r="AB194"/>
      <c r="AC194"/>
      <c r="AD194"/>
    </row>
    <row r="195" spans="1:30" s="749" customFormat="1" ht="24.95" customHeight="1" x14ac:dyDescent="0.35">
      <c r="A195" s="968">
        <v>46177</v>
      </c>
      <c r="B195" s="986" t="s">
        <v>866</v>
      </c>
      <c r="C195" s="925"/>
      <c r="D195" s="964" t="s">
        <v>90</v>
      </c>
      <c r="E195" s="964"/>
      <c r="F195" s="964"/>
      <c r="G195" s="964"/>
      <c r="H195" s="964"/>
      <c r="I195" s="964"/>
      <c r="J195" s="964" t="s">
        <v>885</v>
      </c>
      <c r="K195" s="965">
        <v>135000</v>
      </c>
      <c r="L195" s="965">
        <v>135000</v>
      </c>
      <c r="M195" s="1009"/>
      <c r="N195"/>
      <c r="O195"/>
      <c r="P195"/>
      <c r="Q195"/>
      <c r="R195"/>
      <c r="S195"/>
      <c r="T195"/>
      <c r="U195"/>
      <c r="V195"/>
      <c r="W195"/>
      <c r="X195"/>
      <c r="Y195"/>
      <c r="Z195"/>
      <c r="AA195"/>
      <c r="AB195"/>
      <c r="AC195"/>
      <c r="AD195"/>
    </row>
    <row r="196" spans="1:30" s="1005" customFormat="1" ht="24.95" customHeight="1" x14ac:dyDescent="0.25">
      <c r="A196" s="1000">
        <v>46150</v>
      </c>
      <c r="B196" s="1001" t="s">
        <v>876</v>
      </c>
      <c r="C196" s="1002" t="s">
        <v>931</v>
      </c>
      <c r="D196" s="1003" t="s">
        <v>221</v>
      </c>
      <c r="E196" s="1003"/>
      <c r="F196" s="1003"/>
      <c r="G196" s="1003"/>
      <c r="H196" s="1003"/>
      <c r="I196" s="1003"/>
      <c r="J196" s="1003" t="s">
        <v>877</v>
      </c>
      <c r="K196" s="1004">
        <v>28547.62</v>
      </c>
      <c r="L196" s="1004"/>
      <c r="M196" s="1002" t="s">
        <v>930</v>
      </c>
      <c r="N196" s="1006"/>
      <c r="O196" s="1006"/>
      <c r="P196" s="1006"/>
      <c r="Q196" s="1006"/>
      <c r="R196" s="1006"/>
      <c r="S196" s="1006"/>
      <c r="T196" s="1006"/>
      <c r="U196" s="1006"/>
      <c r="V196" s="1006"/>
      <c r="W196" s="1006"/>
      <c r="X196" s="1006"/>
      <c r="Y196" s="1006"/>
      <c r="Z196" s="1006"/>
      <c r="AA196" s="1006"/>
      <c r="AB196" s="1006"/>
      <c r="AC196" s="1006"/>
      <c r="AD196" s="1006"/>
    </row>
    <row r="197" spans="1:30" s="1005" customFormat="1" ht="24.95" customHeight="1" x14ac:dyDescent="0.25">
      <c r="A197" s="1000">
        <v>46150</v>
      </c>
      <c r="B197" s="1001" t="s">
        <v>876</v>
      </c>
      <c r="C197" s="1002" t="s">
        <v>932</v>
      </c>
      <c r="D197" s="1003" t="s">
        <v>221</v>
      </c>
      <c r="E197" s="1003"/>
      <c r="F197" s="1003"/>
      <c r="G197" s="1003"/>
      <c r="H197" s="1003"/>
      <c r="I197" s="1003"/>
      <c r="J197" s="1003" t="s">
        <v>878</v>
      </c>
      <c r="K197" s="1004">
        <v>99946.66</v>
      </c>
      <c r="L197" s="1004"/>
      <c r="M197" s="1002" t="s">
        <v>930</v>
      </c>
      <c r="N197" s="1006"/>
      <c r="O197" s="1006"/>
      <c r="P197" s="1006"/>
      <c r="Q197" s="1006"/>
      <c r="R197" s="1006"/>
      <c r="S197" s="1006"/>
      <c r="T197" s="1006"/>
      <c r="U197" s="1006"/>
      <c r="V197" s="1006"/>
      <c r="W197" s="1006"/>
      <c r="X197" s="1006"/>
      <c r="Y197" s="1006"/>
      <c r="Z197" s="1006"/>
      <c r="AA197" s="1006"/>
      <c r="AB197" s="1006"/>
      <c r="AC197" s="1006"/>
      <c r="AD197" s="1006"/>
    </row>
    <row r="198" spans="1:30" s="1005" customFormat="1" ht="24.95" customHeight="1" x14ac:dyDescent="0.25">
      <c r="A198" s="1000">
        <v>46160</v>
      </c>
      <c r="B198" s="1001" t="s">
        <v>879</v>
      </c>
      <c r="C198" s="1002" t="s">
        <v>924</v>
      </c>
      <c r="D198" s="1003" t="s">
        <v>221</v>
      </c>
      <c r="E198" s="1003"/>
      <c r="F198" s="1003"/>
      <c r="G198" s="1003"/>
      <c r="H198" s="1003"/>
      <c r="I198" s="1003"/>
      <c r="J198" s="1003" t="s">
        <v>880</v>
      </c>
      <c r="K198" s="1004">
        <v>54500</v>
      </c>
      <c r="L198" s="1004"/>
      <c r="M198" s="1002" t="s">
        <v>979</v>
      </c>
      <c r="N198" s="1006"/>
      <c r="O198" s="1006"/>
      <c r="P198" s="1006"/>
      <c r="Q198" s="1006"/>
      <c r="R198" s="1006"/>
      <c r="S198" s="1006"/>
      <c r="T198" s="1006"/>
      <c r="U198" s="1006"/>
      <c r="V198" s="1006"/>
      <c r="W198" s="1006"/>
      <c r="X198" s="1006"/>
      <c r="Y198" s="1006"/>
      <c r="Z198" s="1006"/>
      <c r="AA198" s="1006"/>
      <c r="AB198" s="1006"/>
      <c r="AC198" s="1006"/>
      <c r="AD198" s="1006"/>
    </row>
    <row r="199" spans="1:30" s="1015" customFormat="1" ht="24.95" customHeight="1" x14ac:dyDescent="0.25">
      <c r="A199" s="1010">
        <v>46207</v>
      </c>
      <c r="B199" s="1011" t="s">
        <v>879</v>
      </c>
      <c r="C199" s="1012" t="s">
        <v>923</v>
      </c>
      <c r="D199" s="1013" t="s">
        <v>221</v>
      </c>
      <c r="E199" s="1013"/>
      <c r="F199" s="1013"/>
      <c r="G199" s="1013"/>
      <c r="H199" s="1013"/>
      <c r="I199" s="1013"/>
      <c r="J199" s="1013" t="s">
        <v>922</v>
      </c>
      <c r="K199" s="1014">
        <v>105500</v>
      </c>
      <c r="L199" s="1014"/>
      <c r="M199" s="1012" t="s">
        <v>980</v>
      </c>
      <c r="N199" s="1006"/>
      <c r="O199" s="1006"/>
      <c r="P199" s="1006"/>
      <c r="Q199" s="1006"/>
      <c r="R199" s="1006"/>
      <c r="S199" s="1006"/>
      <c r="T199" s="1006"/>
      <c r="U199" s="1006"/>
      <c r="V199" s="1006"/>
      <c r="W199" s="1006"/>
      <c r="X199" s="1006"/>
      <c r="Y199" s="1006"/>
      <c r="Z199" s="1006"/>
      <c r="AA199" s="1006"/>
      <c r="AB199" s="1006"/>
      <c r="AC199" s="1006"/>
      <c r="AD199" s="1006"/>
    </row>
    <row r="200" spans="1:30" s="20" customFormat="1" ht="24.95" customHeight="1" x14ac:dyDescent="0.25">
      <c r="A200" s="1081">
        <v>46259</v>
      </c>
      <c r="B200" s="20" t="s">
        <v>879</v>
      </c>
      <c r="C200" s="997" t="s">
        <v>1005</v>
      </c>
      <c r="D200" s="1079" t="s">
        <v>221</v>
      </c>
      <c r="E200" s="1079"/>
      <c r="F200" s="1079"/>
      <c r="G200" s="1079"/>
      <c r="H200" s="1079"/>
      <c r="I200" s="1079"/>
      <c r="J200" s="1079" t="s">
        <v>1006</v>
      </c>
      <c r="K200" s="996">
        <v>537600</v>
      </c>
      <c r="L200" s="996">
        <v>537600</v>
      </c>
      <c r="M200" s="997"/>
    </row>
    <row r="201" spans="1:30" s="20" customFormat="1" ht="24.95" customHeight="1" x14ac:dyDescent="0.25">
      <c r="A201" s="1081">
        <v>46259</v>
      </c>
      <c r="B201" s="20" t="s">
        <v>879</v>
      </c>
      <c r="C201" s="997" t="s">
        <v>1007</v>
      </c>
      <c r="D201" s="1079" t="s">
        <v>221</v>
      </c>
      <c r="E201" s="1079"/>
      <c r="F201" s="1079"/>
      <c r="G201" s="1079"/>
      <c r="H201" s="1079"/>
      <c r="I201" s="1079"/>
      <c r="J201" s="1079" t="s">
        <v>1008</v>
      </c>
      <c r="K201" s="996">
        <v>105221.43</v>
      </c>
      <c r="L201" s="996">
        <v>105221.43</v>
      </c>
      <c r="M201" s="997"/>
    </row>
    <row r="202" spans="1:30" s="1085" customFormat="1" ht="24.95" customHeight="1" x14ac:dyDescent="0.35">
      <c r="A202" s="1082">
        <v>46181</v>
      </c>
      <c r="B202" s="1083" t="s">
        <v>886</v>
      </c>
      <c r="C202" s="1063"/>
      <c r="D202" s="1062" t="s">
        <v>92</v>
      </c>
      <c r="E202" s="1062"/>
      <c r="F202" s="1062"/>
      <c r="G202" s="1062"/>
      <c r="H202" s="1062"/>
      <c r="I202" s="1062"/>
      <c r="J202" s="1062" t="s">
        <v>887</v>
      </c>
      <c r="K202" s="1070">
        <v>165000</v>
      </c>
      <c r="L202" s="1070">
        <v>165000</v>
      </c>
      <c r="M202" s="1084"/>
      <c r="N202"/>
      <c r="O202"/>
      <c r="P202"/>
      <c r="Q202"/>
      <c r="R202"/>
      <c r="S202"/>
      <c r="T202"/>
      <c r="U202"/>
      <c r="V202"/>
      <c r="W202"/>
      <c r="X202"/>
      <c r="Y202"/>
      <c r="Z202"/>
      <c r="AA202"/>
      <c r="AB202"/>
      <c r="AC202"/>
      <c r="AD202"/>
    </row>
    <row r="203" spans="1:30" s="749" customFormat="1" ht="24.95" customHeight="1" x14ac:dyDescent="0.35">
      <c r="A203" s="968">
        <v>46190</v>
      </c>
      <c r="B203" s="986" t="s">
        <v>893</v>
      </c>
      <c r="C203" s="925"/>
      <c r="D203" s="964" t="s">
        <v>476</v>
      </c>
      <c r="E203" s="964"/>
      <c r="F203" s="964"/>
      <c r="G203" s="964"/>
      <c r="H203" s="964"/>
      <c r="I203" s="964"/>
      <c r="J203" s="964" t="s">
        <v>894</v>
      </c>
      <c r="K203" s="965">
        <v>262790</v>
      </c>
      <c r="L203" s="965">
        <v>262790</v>
      </c>
      <c r="M203" s="1009"/>
      <c r="N203"/>
      <c r="O203"/>
      <c r="P203"/>
      <c r="Q203"/>
      <c r="R203"/>
      <c r="S203"/>
      <c r="T203"/>
      <c r="U203"/>
      <c r="V203"/>
      <c r="W203"/>
      <c r="X203"/>
      <c r="Y203"/>
      <c r="Z203"/>
      <c r="AA203"/>
      <c r="AB203"/>
      <c r="AC203"/>
      <c r="AD203"/>
    </row>
    <row r="204" spans="1:30" s="1015" customFormat="1" ht="24.95" customHeight="1" x14ac:dyDescent="0.25">
      <c r="A204" s="1010">
        <v>46196</v>
      </c>
      <c r="B204" s="1011" t="s">
        <v>907</v>
      </c>
      <c r="C204" s="1012"/>
      <c r="D204" s="1013" t="s">
        <v>90</v>
      </c>
      <c r="E204" s="1013"/>
      <c r="F204" s="1013" t="s">
        <v>910</v>
      </c>
      <c r="G204" s="1013"/>
      <c r="H204" s="1013"/>
      <c r="I204" s="1013"/>
      <c r="J204" s="1013" t="s">
        <v>909</v>
      </c>
      <c r="K204" s="1014">
        <v>133400</v>
      </c>
      <c r="L204" s="1014"/>
      <c r="M204" s="1012" t="s">
        <v>911</v>
      </c>
      <c r="N204" s="1006"/>
      <c r="O204" s="1006"/>
      <c r="P204" s="1006"/>
      <c r="Q204" s="1006"/>
      <c r="R204" s="1006"/>
      <c r="S204" s="1006"/>
      <c r="T204" s="1006"/>
      <c r="U204" s="1006"/>
      <c r="V204" s="1006"/>
      <c r="W204" s="1006"/>
      <c r="X204" s="1006"/>
      <c r="Y204" s="1006"/>
      <c r="Z204" s="1006"/>
      <c r="AA204" s="1006"/>
      <c r="AB204" s="1006"/>
      <c r="AC204" s="1006"/>
      <c r="AD204" s="1006"/>
    </row>
    <row r="205" spans="1:30" s="1002" customFormat="1" ht="24.95" customHeight="1" x14ac:dyDescent="0.25">
      <c r="A205" s="1025">
        <v>46213</v>
      </c>
      <c r="B205" s="1026" t="s">
        <v>907</v>
      </c>
      <c r="D205" s="1003" t="s">
        <v>90</v>
      </c>
      <c r="E205" s="1003"/>
      <c r="F205" s="1003" t="s">
        <v>939</v>
      </c>
      <c r="G205" s="1003"/>
      <c r="H205" s="1003"/>
      <c r="I205" s="1003"/>
      <c r="J205" s="1003" t="s">
        <v>940</v>
      </c>
      <c r="K205" s="1004">
        <v>15000</v>
      </c>
      <c r="L205" s="1004"/>
      <c r="M205" s="1002" t="s">
        <v>938</v>
      </c>
    </row>
    <row r="206" spans="1:30" s="565" customFormat="1" ht="24.95" customHeight="1" x14ac:dyDescent="0.35">
      <c r="A206" s="1024"/>
      <c r="B206" s="565" t="s">
        <v>936</v>
      </c>
      <c r="D206" s="964" t="s">
        <v>92</v>
      </c>
      <c r="E206" s="964"/>
      <c r="F206" s="964"/>
      <c r="G206" s="964"/>
      <c r="H206" s="964"/>
      <c r="I206" s="964"/>
      <c r="J206" s="964" t="s">
        <v>937</v>
      </c>
      <c r="K206" s="925" t="s">
        <v>419</v>
      </c>
    </row>
    <row r="207" spans="1:30" s="1036" customFormat="1" ht="24.95" customHeight="1" x14ac:dyDescent="0.25">
      <c r="A207" s="1040">
        <v>46228</v>
      </c>
      <c r="B207" s="1036" t="s">
        <v>949</v>
      </c>
      <c r="D207" s="1037" t="s">
        <v>92</v>
      </c>
      <c r="E207" s="1037"/>
      <c r="F207" s="1037"/>
      <c r="G207" s="1037"/>
      <c r="H207" s="1037"/>
      <c r="I207" s="1037"/>
      <c r="J207" s="1037" t="s">
        <v>950</v>
      </c>
      <c r="K207" s="1038">
        <v>44500</v>
      </c>
      <c r="M207" s="1036" t="s">
        <v>948</v>
      </c>
      <c r="N207" s="1039"/>
      <c r="O207" s="1039"/>
      <c r="P207" s="1039"/>
      <c r="Q207" s="1039"/>
      <c r="R207" s="1039"/>
      <c r="S207" s="1039"/>
      <c r="T207" s="1039"/>
      <c r="U207" s="1039"/>
      <c r="V207" s="1039"/>
      <c r="W207" s="1039"/>
      <c r="X207" s="1039"/>
      <c r="Y207" s="1039"/>
      <c r="Z207" s="1039"/>
      <c r="AA207" s="1039"/>
      <c r="AB207" s="1039"/>
      <c r="AC207" s="1039"/>
      <c r="AD207" s="1039"/>
    </row>
    <row r="208" spans="1:30" s="1036" customFormat="1" ht="24.95" customHeight="1" x14ac:dyDescent="0.25">
      <c r="A208" s="1040">
        <v>46217</v>
      </c>
      <c r="B208" s="1036" t="s">
        <v>954</v>
      </c>
      <c r="D208" s="1037" t="s">
        <v>92</v>
      </c>
      <c r="E208" s="1037"/>
      <c r="F208" s="1037"/>
      <c r="G208" s="1037"/>
      <c r="H208" s="1037"/>
      <c r="I208" s="1037"/>
      <c r="J208" s="1037" t="s">
        <v>955</v>
      </c>
      <c r="K208" s="1038">
        <v>112500</v>
      </c>
      <c r="M208" s="1036" t="s">
        <v>956</v>
      </c>
      <c r="N208" s="1039"/>
      <c r="O208" s="1039"/>
      <c r="P208" s="1039"/>
      <c r="Q208" s="1039"/>
      <c r="R208" s="1039"/>
      <c r="S208" s="1039"/>
      <c r="T208" s="1039"/>
      <c r="U208" s="1039"/>
      <c r="V208" s="1039"/>
      <c r="W208" s="1039"/>
      <c r="X208" s="1039"/>
      <c r="Y208" s="1039"/>
      <c r="Z208" s="1039"/>
      <c r="AA208" s="1039"/>
      <c r="AB208" s="1039"/>
      <c r="AC208" s="1039"/>
      <c r="AD208" s="1039"/>
    </row>
    <row r="209" spans="1:30" s="1042" customFormat="1" ht="24.95" customHeight="1" x14ac:dyDescent="0.25">
      <c r="A209" s="1041">
        <v>46212</v>
      </c>
      <c r="B209" s="1042" t="s">
        <v>957</v>
      </c>
      <c r="D209" s="1043" t="s">
        <v>92</v>
      </c>
      <c r="E209" s="1043"/>
      <c r="F209" s="1043"/>
      <c r="G209" s="1043"/>
      <c r="H209" s="1043"/>
      <c r="I209" s="1043"/>
      <c r="J209" s="1043" t="s">
        <v>958</v>
      </c>
      <c r="K209" s="1044">
        <v>64601.599999999999</v>
      </c>
      <c r="M209" s="1042" t="s">
        <v>959</v>
      </c>
      <c r="N209" s="1039"/>
      <c r="O209" s="1039"/>
      <c r="P209" s="1039"/>
      <c r="Q209" s="1039"/>
      <c r="R209" s="1039"/>
      <c r="S209" s="1039"/>
      <c r="T209" s="1039"/>
      <c r="U209" s="1039"/>
      <c r="V209" s="1039"/>
      <c r="W209" s="1039"/>
      <c r="X209" s="1039"/>
      <c r="Y209" s="1039"/>
      <c r="Z209" s="1039"/>
      <c r="AA209" s="1039"/>
      <c r="AB209" s="1039"/>
      <c r="AC209" s="1039"/>
      <c r="AD209" s="1039"/>
    </row>
    <row r="210" spans="1:30" s="20" customFormat="1" ht="24.95" customHeight="1" x14ac:dyDescent="0.25">
      <c r="A210" s="1081">
        <v>46231</v>
      </c>
      <c r="B210" s="20" t="s">
        <v>973</v>
      </c>
      <c r="D210" s="1079" t="s">
        <v>90</v>
      </c>
      <c r="E210" s="1079"/>
      <c r="F210" s="1079"/>
      <c r="G210" s="1079"/>
      <c r="H210" s="1079"/>
      <c r="I210" s="1079"/>
      <c r="J210" s="1079" t="s">
        <v>974</v>
      </c>
      <c r="K210" s="996">
        <v>65000</v>
      </c>
      <c r="L210" s="1080">
        <v>65000</v>
      </c>
      <c r="M210" s="997"/>
    </row>
    <row r="211" spans="1:30" s="429" customFormat="1" ht="24.95" customHeight="1" x14ac:dyDescent="0.35">
      <c r="A211" s="1058">
        <v>46231</v>
      </c>
      <c r="B211" s="429" t="s">
        <v>960</v>
      </c>
      <c r="D211" s="1048" t="s">
        <v>92</v>
      </c>
      <c r="E211" s="1045"/>
      <c r="F211" s="1045"/>
      <c r="G211" s="1045"/>
      <c r="H211" s="1045"/>
      <c r="I211" s="1045"/>
      <c r="J211" s="1048" t="s">
        <v>961</v>
      </c>
      <c r="K211" s="1057">
        <v>94475</v>
      </c>
      <c r="L211" s="1072">
        <v>94475</v>
      </c>
    </row>
    <row r="212" spans="1:30" s="1042" customFormat="1" ht="24.95" customHeight="1" x14ac:dyDescent="0.25">
      <c r="A212" s="1041">
        <v>46231</v>
      </c>
      <c r="B212" s="1042" t="s">
        <v>962</v>
      </c>
      <c r="D212" s="1043" t="s">
        <v>221</v>
      </c>
      <c r="E212" s="1065"/>
      <c r="F212" s="1043" t="s">
        <v>963</v>
      </c>
      <c r="G212" s="1043"/>
      <c r="H212" s="1065"/>
      <c r="I212" s="1065"/>
      <c r="J212" s="1043" t="s">
        <v>964</v>
      </c>
      <c r="K212" s="1066">
        <v>342000.01</v>
      </c>
      <c r="M212" s="1042" t="s">
        <v>965</v>
      </c>
      <c r="N212" s="1039"/>
      <c r="O212" s="1039"/>
      <c r="P212" s="1039"/>
      <c r="Q212" s="1039"/>
      <c r="R212" s="1039"/>
      <c r="S212" s="1039"/>
      <c r="T212" s="1039"/>
      <c r="U212" s="1039"/>
      <c r="V212" s="1039"/>
      <c r="W212" s="1039"/>
      <c r="X212" s="1039"/>
      <c r="Y212" s="1039"/>
      <c r="Z212" s="1039"/>
      <c r="AA212" s="1039"/>
      <c r="AB212" s="1039"/>
      <c r="AC212" s="1039"/>
      <c r="AD212" s="1039"/>
    </row>
    <row r="213" spans="1:30" s="20" customFormat="1" ht="24.95" customHeight="1" x14ac:dyDescent="0.25">
      <c r="A213" s="1081">
        <v>46259</v>
      </c>
      <c r="B213" s="20" t="s">
        <v>962</v>
      </c>
      <c r="C213" s="997" t="s">
        <v>1009</v>
      </c>
      <c r="D213" s="1079" t="s">
        <v>221</v>
      </c>
      <c r="E213" s="1079"/>
      <c r="F213" s="1079" t="s">
        <v>1011</v>
      </c>
      <c r="G213" s="1079">
        <v>1562</v>
      </c>
      <c r="H213" s="1079"/>
      <c r="I213" s="1079"/>
      <c r="J213" s="1079" t="s">
        <v>1010</v>
      </c>
      <c r="K213" s="996">
        <v>228000.01</v>
      </c>
      <c r="L213" s="996">
        <v>228000.01</v>
      </c>
      <c r="M213" s="997"/>
    </row>
    <row r="214" spans="1:30" s="925" customFormat="1" ht="24.95" customHeight="1" x14ac:dyDescent="0.35">
      <c r="A214" s="1067">
        <v>46253</v>
      </c>
      <c r="B214" s="926" t="s">
        <v>981</v>
      </c>
      <c r="D214" s="964" t="s">
        <v>90</v>
      </c>
      <c r="E214" s="964"/>
      <c r="F214" s="964"/>
      <c r="G214" s="964" t="s">
        <v>1012</v>
      </c>
      <c r="H214" s="964"/>
      <c r="I214" s="964"/>
      <c r="J214" s="964" t="s">
        <v>982</v>
      </c>
      <c r="K214" s="965">
        <v>587000</v>
      </c>
      <c r="L214" s="965">
        <v>587000</v>
      </c>
    </row>
    <row r="215" spans="1:30" s="1063" customFormat="1" ht="24.95" customHeight="1" x14ac:dyDescent="0.35">
      <c r="A215" s="1068">
        <v>46252</v>
      </c>
      <c r="B215" s="1069" t="s">
        <v>907</v>
      </c>
      <c r="D215" s="1062" t="s">
        <v>90</v>
      </c>
      <c r="E215" s="1062"/>
      <c r="F215" s="1062"/>
      <c r="G215" s="1062"/>
      <c r="H215" s="1062"/>
      <c r="I215" s="1062"/>
      <c r="J215" s="1062" t="s">
        <v>983</v>
      </c>
      <c r="K215" s="1070">
        <v>415500</v>
      </c>
      <c r="L215" s="1070">
        <v>415500</v>
      </c>
      <c r="N215" s="1071"/>
      <c r="O215" s="1071"/>
      <c r="P215" s="1071"/>
      <c r="Q215" s="1071"/>
      <c r="R215" s="1071"/>
      <c r="S215" s="1071"/>
      <c r="T215" s="1071"/>
      <c r="U215" s="1071"/>
      <c r="V215" s="1071"/>
      <c r="W215" s="1071"/>
      <c r="X215" s="1071"/>
      <c r="Y215" s="1071"/>
      <c r="Z215" s="1071"/>
      <c r="AA215" s="1071"/>
      <c r="AB215" s="1071"/>
      <c r="AC215" s="1071"/>
      <c r="AD215" s="1071"/>
    </row>
    <row r="216" spans="1:30" s="1075" customFormat="1" ht="24.95" customHeight="1" x14ac:dyDescent="0.25">
      <c r="A216" s="1041">
        <v>46252</v>
      </c>
      <c r="B216" s="1074" t="s">
        <v>984</v>
      </c>
      <c r="D216" s="1043" t="s">
        <v>92</v>
      </c>
      <c r="E216" s="1043"/>
      <c r="F216" s="1043" t="s">
        <v>986</v>
      </c>
      <c r="G216" s="1043">
        <v>1561</v>
      </c>
      <c r="H216" s="1043"/>
      <c r="I216" s="1043"/>
      <c r="J216" s="1043" t="s">
        <v>987</v>
      </c>
      <c r="K216" s="1044">
        <v>299700.8</v>
      </c>
      <c r="L216" s="1044"/>
      <c r="M216" s="1075" t="s">
        <v>988</v>
      </c>
      <c r="N216" s="1073"/>
      <c r="O216" s="1073"/>
      <c r="P216" s="1073"/>
      <c r="Q216" s="1073"/>
      <c r="R216" s="1073"/>
      <c r="S216" s="1073"/>
      <c r="T216" s="1073"/>
      <c r="U216" s="1073"/>
      <c r="V216" s="1073"/>
      <c r="W216" s="1073"/>
      <c r="X216" s="1073"/>
      <c r="Y216" s="1073"/>
      <c r="Z216" s="1073"/>
      <c r="AA216" s="1073"/>
      <c r="AB216" s="1073"/>
      <c r="AC216" s="1073"/>
      <c r="AD216" s="1073"/>
    </row>
    <row r="217" spans="1:30" s="429" customFormat="1" ht="24.95" customHeight="1" x14ac:dyDescent="0.35">
      <c r="A217" s="1076">
        <v>46251</v>
      </c>
      <c r="B217" s="429" t="s">
        <v>785</v>
      </c>
      <c r="D217" s="1048" t="s">
        <v>92</v>
      </c>
      <c r="E217" s="1048"/>
      <c r="F217" s="1048"/>
      <c r="G217" s="1048"/>
      <c r="H217" s="1048"/>
      <c r="I217" s="1048"/>
      <c r="J217" s="1048" t="s">
        <v>989</v>
      </c>
      <c r="K217" s="1027">
        <v>4360</v>
      </c>
      <c r="L217" s="1027">
        <v>4360</v>
      </c>
    </row>
    <row r="218" spans="1:30" s="1042" customFormat="1" ht="24.95" customHeight="1" x14ac:dyDescent="0.25">
      <c r="A218" s="1041">
        <v>46251</v>
      </c>
      <c r="B218" s="1042" t="s">
        <v>990</v>
      </c>
      <c r="D218" s="1043" t="s">
        <v>92</v>
      </c>
      <c r="E218" s="1043"/>
      <c r="F218" s="1043"/>
      <c r="G218" s="1043"/>
      <c r="H218" s="1043"/>
      <c r="I218" s="1043" t="s">
        <v>992</v>
      </c>
      <c r="J218" s="1043" t="s">
        <v>993</v>
      </c>
      <c r="K218" s="1044">
        <v>58750</v>
      </c>
      <c r="L218" s="1044"/>
      <c r="M218" s="1078" t="s">
        <v>994</v>
      </c>
      <c r="N218" s="1077"/>
      <c r="O218" s="1077"/>
      <c r="P218" s="1039"/>
      <c r="Q218" s="1039"/>
      <c r="R218" s="1039"/>
      <c r="S218" s="1039"/>
      <c r="T218" s="1039"/>
      <c r="U218" s="1039"/>
      <c r="V218" s="1039"/>
      <c r="W218" s="1039"/>
      <c r="X218" s="1039"/>
      <c r="Y218" s="1039"/>
      <c r="Z218" s="1039"/>
      <c r="AA218" s="1039"/>
      <c r="AB218" s="1039"/>
      <c r="AC218" s="1039"/>
      <c r="AD218" s="1039"/>
    </row>
    <row r="219" spans="1:30" s="1023" customFormat="1" ht="24.95" customHeight="1" x14ac:dyDescent="0.35">
      <c r="A219" s="1016"/>
      <c r="B219" s="1017" t="s">
        <v>7</v>
      </c>
      <c r="C219" s="1018"/>
      <c r="D219" s="1049" t="s">
        <v>140</v>
      </c>
      <c r="E219" s="1019"/>
      <c r="F219" s="1018"/>
      <c r="G219" s="1018"/>
      <c r="H219" s="1018"/>
      <c r="I219" s="1018"/>
      <c r="J219" s="1051"/>
      <c r="K219" s="1021">
        <f>SUM(K8:K214)</f>
        <v>30466428.260000009</v>
      </c>
      <c r="L219" s="1021">
        <f>SUM(L8:L217)</f>
        <v>25127417.020000003</v>
      </c>
      <c r="M219" s="1022"/>
      <c r="N219"/>
      <c r="O219"/>
      <c r="P219"/>
      <c r="Q219"/>
      <c r="R219"/>
      <c r="S219"/>
      <c r="T219"/>
      <c r="U219"/>
      <c r="V219"/>
      <c r="W219"/>
      <c r="X219"/>
      <c r="Y219"/>
      <c r="Z219"/>
      <c r="AA219"/>
      <c r="AB219"/>
      <c r="AC219"/>
      <c r="AD219"/>
    </row>
    <row r="220" spans="1:30" ht="24.95" customHeight="1" x14ac:dyDescent="0.35">
      <c r="A220" s="940" t="s">
        <v>64</v>
      </c>
      <c r="H220" s="658" t="s">
        <v>64</v>
      </c>
    </row>
    <row r="221" spans="1:30" ht="24.95" customHeight="1" x14ac:dyDescent="0.35"/>
    <row r="222" spans="1:30" ht="24.95" customHeight="1" x14ac:dyDescent="0.35">
      <c r="F222" s="524" t="s">
        <v>486</v>
      </c>
    </row>
    <row r="223" spans="1:30" ht="24.95" customHeight="1" x14ac:dyDescent="0.35">
      <c r="H223" s="658" t="s">
        <v>64</v>
      </c>
    </row>
    <row r="224" spans="1:30" ht="23.25" customHeight="1" x14ac:dyDescent="0.35">
      <c r="D224" s="658"/>
      <c r="E224" s="524"/>
      <c r="K224" s="658"/>
      <c r="L224" s="524"/>
    </row>
    <row r="225" ht="24.95" customHeight="1" x14ac:dyDescent="0.35"/>
    <row r="226" ht="24.95" customHeight="1" x14ac:dyDescent="0.35"/>
    <row r="227" ht="24.95" customHeight="1" x14ac:dyDescent="0.35"/>
    <row r="228" ht="24.95" customHeight="1" x14ac:dyDescent="0.35"/>
    <row r="229" ht="24.95" customHeight="1" x14ac:dyDescent="0.35"/>
    <row r="230" ht="24.95" customHeight="1" x14ac:dyDescent="0.35"/>
    <row r="231" ht="24.95" customHeight="1" x14ac:dyDescent="0.35"/>
    <row r="232" ht="24.95" customHeight="1" x14ac:dyDescent="0.35"/>
    <row r="233" ht="24.95" customHeight="1" x14ac:dyDescent="0.35"/>
    <row r="234" ht="24.95" customHeight="1" x14ac:dyDescent="0.35"/>
    <row r="235" ht="24.95" customHeight="1" x14ac:dyDescent="0.35"/>
    <row r="236" ht="24.95" customHeight="1" x14ac:dyDescent="0.35"/>
    <row r="237" ht="24.95" customHeight="1" x14ac:dyDescent="0.3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5"/>
  <sheetViews>
    <sheetView workbookViewId="0">
      <selection activeCell="I25" sqref="I25"/>
    </sheetView>
  </sheetViews>
  <sheetFormatPr defaultRowHeight="17.25" x14ac:dyDescent="0.3"/>
  <cols>
    <col min="1" max="1" width="13.5703125" style="268" customWidth="1"/>
    <col min="2" max="2" width="36.7109375" style="231" customWidth="1"/>
    <col min="3" max="3" width="0" style="231" hidden="1" customWidth="1"/>
    <col min="4" max="4" width="9.140625" style="234"/>
    <col min="5" max="5" width="9.140625" style="231"/>
    <col min="6" max="6" width="10.5703125" style="233" customWidth="1"/>
    <col min="7" max="7" width="10.5703125" style="235" customWidth="1"/>
    <col min="8" max="8" width="17.140625" style="236" customWidth="1"/>
    <col min="9" max="9" width="14.85546875" style="236" customWidth="1"/>
    <col min="10" max="10" width="15.28515625" style="236" customWidth="1"/>
    <col min="11" max="11" width="14.140625" style="236" customWidth="1"/>
    <col min="12" max="12" width="15.85546875" style="236" customWidth="1"/>
    <col min="13" max="13" width="10" style="236" customWidth="1"/>
    <col min="14" max="14" width="18" style="231" customWidth="1"/>
    <col min="15" max="15" width="8.28515625" style="277" customWidth="1"/>
    <col min="16" max="16" width="15.7109375" style="231" customWidth="1"/>
    <col min="17" max="16384" width="9.140625" style="231"/>
  </cols>
  <sheetData>
    <row r="1" spans="1:16" ht="22.5" x14ac:dyDescent="0.3">
      <c r="A1" s="1086" t="s">
        <v>8</v>
      </c>
      <c r="B1" s="1086"/>
      <c r="C1" s="1086"/>
      <c r="D1" s="1086"/>
      <c r="E1" s="1086"/>
      <c r="F1" s="1086"/>
      <c r="G1" s="1086"/>
      <c r="H1" s="1086"/>
      <c r="I1" s="1086"/>
      <c r="J1" s="1086"/>
      <c r="K1" s="1086"/>
      <c r="L1" s="1086"/>
      <c r="M1" s="1086"/>
      <c r="N1" s="1086"/>
      <c r="O1" s="1086"/>
      <c r="P1" s="1086"/>
    </row>
    <row r="2" spans="1:16" x14ac:dyDescent="0.3">
      <c r="A2" s="1087" t="s">
        <v>9</v>
      </c>
      <c r="B2" s="1087"/>
      <c r="C2" s="1087"/>
      <c r="D2" s="1087"/>
      <c r="E2" s="1087"/>
      <c r="F2" s="1087"/>
      <c r="G2" s="1087"/>
      <c r="H2" s="1087"/>
      <c r="I2" s="1087"/>
      <c r="J2" s="1087"/>
      <c r="K2" s="1087"/>
      <c r="L2" s="1087"/>
      <c r="M2" s="1087"/>
      <c r="N2" s="1087"/>
      <c r="O2" s="1087"/>
      <c r="P2" s="1087"/>
    </row>
    <row r="3" spans="1:16" x14ac:dyDescent="0.3">
      <c r="A3" s="1087" t="s">
        <v>10</v>
      </c>
      <c r="B3" s="1087"/>
      <c r="C3" s="1087"/>
      <c r="D3" s="1087"/>
      <c r="E3" s="1087"/>
      <c r="F3" s="1087"/>
      <c r="G3" s="1087"/>
      <c r="H3" s="1087"/>
      <c r="I3" s="1087"/>
      <c r="J3" s="1087"/>
      <c r="K3" s="1087"/>
      <c r="L3" s="1087"/>
      <c r="M3" s="1087"/>
      <c r="N3" s="1087"/>
      <c r="O3" s="1087"/>
      <c r="P3" s="1087"/>
    </row>
    <row r="4" spans="1:16" ht="18.75" x14ac:dyDescent="0.3">
      <c r="A4" s="1088" t="s">
        <v>377</v>
      </c>
      <c r="B4" s="1088"/>
      <c r="C4" s="1088"/>
      <c r="D4" s="1088"/>
      <c r="E4" s="1088"/>
      <c r="F4" s="1088"/>
      <c r="G4" s="1088"/>
      <c r="H4" s="1088"/>
      <c r="I4" s="1088"/>
      <c r="J4" s="1088"/>
      <c r="K4" s="1088"/>
      <c r="L4" s="1088"/>
      <c r="M4" s="1088"/>
      <c r="N4" s="1088"/>
      <c r="O4" s="1088"/>
      <c r="P4" s="1088"/>
    </row>
    <row r="5" spans="1:16" ht="5.25" customHeight="1" x14ac:dyDescent="0.3">
      <c r="A5" s="232"/>
      <c r="C5" s="233"/>
      <c r="E5" s="233"/>
      <c r="N5" s="236"/>
      <c r="O5" s="272"/>
    </row>
    <row r="6" spans="1:16" x14ac:dyDescent="0.3">
      <c r="A6" s="237" t="s">
        <v>0</v>
      </c>
      <c r="B6" s="238" t="s">
        <v>1</v>
      </c>
      <c r="C6" s="238" t="s">
        <v>2</v>
      </c>
      <c r="D6" s="239" t="s">
        <v>89</v>
      </c>
      <c r="E6" s="238" t="s">
        <v>76</v>
      </c>
      <c r="F6" s="238" t="s">
        <v>3</v>
      </c>
      <c r="G6" s="240" t="s">
        <v>4</v>
      </c>
      <c r="H6" s="241" t="s">
        <v>69</v>
      </c>
      <c r="I6" s="242" t="s">
        <v>70</v>
      </c>
      <c r="J6" s="242" t="s">
        <v>71</v>
      </c>
      <c r="K6" s="242" t="s">
        <v>72</v>
      </c>
      <c r="L6" s="242" t="s">
        <v>75</v>
      </c>
      <c r="M6" s="242" t="s">
        <v>73</v>
      </c>
      <c r="N6" s="242" t="s">
        <v>74</v>
      </c>
      <c r="O6" s="273"/>
      <c r="P6" s="243" t="s">
        <v>7</v>
      </c>
    </row>
    <row r="7" spans="1:16" ht="18" customHeight="1" x14ac:dyDescent="0.3">
      <c r="A7" s="244">
        <v>43878</v>
      </c>
      <c r="B7" s="245" t="s">
        <v>63</v>
      </c>
      <c r="C7" s="246"/>
      <c r="D7" s="247" t="s">
        <v>90</v>
      </c>
      <c r="E7" s="246"/>
      <c r="F7" s="246"/>
      <c r="G7" s="245" t="s">
        <v>102</v>
      </c>
      <c r="H7" s="254"/>
      <c r="I7" s="245"/>
      <c r="J7" s="249"/>
      <c r="K7" s="242"/>
      <c r="L7" s="242"/>
      <c r="M7" s="242"/>
      <c r="N7" s="254">
        <v>33421.01</v>
      </c>
      <c r="O7" s="274" t="s">
        <v>22</v>
      </c>
      <c r="P7" s="250"/>
    </row>
    <row r="8" spans="1:16" ht="18" customHeight="1" x14ac:dyDescent="0.3">
      <c r="A8" s="256">
        <v>44092</v>
      </c>
      <c r="B8" s="247" t="s">
        <v>78</v>
      </c>
      <c r="C8" s="246"/>
      <c r="D8" s="248" t="s">
        <v>92</v>
      </c>
      <c r="E8" s="246"/>
      <c r="F8" s="252"/>
      <c r="G8" s="255" t="s">
        <v>77</v>
      </c>
      <c r="H8" s="258"/>
      <c r="I8" s="258"/>
      <c r="J8" s="258"/>
      <c r="K8" s="258"/>
      <c r="L8" s="258"/>
      <c r="M8" s="258"/>
      <c r="N8" s="251">
        <v>108000</v>
      </c>
      <c r="O8" s="274"/>
      <c r="P8" s="250"/>
    </row>
    <row r="9" spans="1:16" ht="18" customHeight="1" x14ac:dyDescent="0.3">
      <c r="A9" s="256">
        <v>44352</v>
      </c>
      <c r="B9" s="247" t="s">
        <v>107</v>
      </c>
      <c r="C9" s="246"/>
      <c r="D9" s="247" t="s">
        <v>90</v>
      </c>
      <c r="E9" s="252"/>
      <c r="F9" s="252">
        <v>1918</v>
      </c>
      <c r="G9" s="255">
        <v>4457</v>
      </c>
      <c r="H9" s="254"/>
      <c r="I9" s="254"/>
      <c r="J9" s="254"/>
      <c r="K9" s="254"/>
      <c r="L9" s="254"/>
      <c r="M9" s="254"/>
      <c r="N9" s="251">
        <v>36289.599999999999</v>
      </c>
      <c r="O9" s="275"/>
      <c r="P9" s="250"/>
    </row>
    <row r="10" spans="1:16" ht="18" customHeight="1" x14ac:dyDescent="0.3">
      <c r="A10" s="256">
        <v>44413</v>
      </c>
      <c r="B10" s="247" t="s">
        <v>107</v>
      </c>
      <c r="C10" s="246"/>
      <c r="D10" s="247" t="s">
        <v>90</v>
      </c>
      <c r="E10" s="252"/>
      <c r="F10" s="252"/>
      <c r="G10" s="255">
        <v>4457</v>
      </c>
      <c r="H10" s="254"/>
      <c r="I10" s="254"/>
      <c r="J10" s="254"/>
      <c r="K10" s="254"/>
      <c r="L10" s="254"/>
      <c r="M10" s="254"/>
      <c r="N10" s="251">
        <v>176976.8</v>
      </c>
      <c r="O10" s="275"/>
      <c r="P10" s="250"/>
    </row>
    <row r="11" spans="1:16" ht="18" customHeight="1" x14ac:dyDescent="0.3">
      <c r="A11" s="256">
        <v>44420</v>
      </c>
      <c r="B11" s="245" t="s">
        <v>108</v>
      </c>
      <c r="C11" s="246"/>
      <c r="D11" s="247" t="s">
        <v>90</v>
      </c>
      <c r="E11" s="252"/>
      <c r="F11" s="252"/>
      <c r="G11" s="255" t="s">
        <v>120</v>
      </c>
      <c r="H11" s="254"/>
      <c r="I11" s="254"/>
      <c r="J11" s="254"/>
      <c r="K11" s="254"/>
      <c r="L11" s="254"/>
      <c r="M11" s="254"/>
      <c r="N11" s="254">
        <v>470000</v>
      </c>
      <c r="O11" s="275"/>
      <c r="P11" s="250"/>
    </row>
    <row r="12" spans="1:16" ht="18" customHeight="1" x14ac:dyDescent="0.3">
      <c r="A12" s="256">
        <v>44474</v>
      </c>
      <c r="B12" s="245" t="s">
        <v>110</v>
      </c>
      <c r="C12" s="246"/>
      <c r="D12" s="247" t="s">
        <v>92</v>
      </c>
      <c r="E12" s="252"/>
      <c r="F12" s="257"/>
      <c r="G12" s="255" t="s">
        <v>111</v>
      </c>
      <c r="H12" s="258"/>
      <c r="I12" s="258"/>
      <c r="J12" s="249"/>
      <c r="K12" s="249"/>
      <c r="L12" s="249"/>
      <c r="M12" s="249"/>
      <c r="N12" s="249">
        <v>125000</v>
      </c>
      <c r="O12" s="275" t="s">
        <v>22</v>
      </c>
      <c r="P12" s="250"/>
    </row>
    <row r="13" spans="1:16" s="234" customFormat="1" ht="18" customHeight="1" x14ac:dyDescent="0.3">
      <c r="A13" s="256">
        <v>44480</v>
      </c>
      <c r="B13" s="245" t="s">
        <v>43</v>
      </c>
      <c r="C13" s="246"/>
      <c r="D13" s="255" t="s">
        <v>90</v>
      </c>
      <c r="E13" s="252"/>
      <c r="F13" s="257">
        <v>2019</v>
      </c>
      <c r="G13" s="255" t="s">
        <v>132</v>
      </c>
      <c r="H13" s="258"/>
      <c r="I13" s="258"/>
      <c r="J13" s="253"/>
      <c r="K13" s="253"/>
      <c r="L13" s="253"/>
      <c r="M13" s="253"/>
      <c r="N13" s="253">
        <v>147281.20000000001</v>
      </c>
      <c r="O13" s="275"/>
      <c r="P13" s="247"/>
    </row>
    <row r="14" spans="1:16" ht="18" customHeight="1" x14ac:dyDescent="0.3">
      <c r="A14" s="256">
        <v>44589</v>
      </c>
      <c r="B14" s="245" t="s">
        <v>125</v>
      </c>
      <c r="C14" s="246"/>
      <c r="D14" s="247" t="s">
        <v>90</v>
      </c>
      <c r="E14" s="252"/>
      <c r="F14" s="252"/>
      <c r="G14" s="255">
        <v>4880</v>
      </c>
      <c r="H14" s="258"/>
      <c r="I14" s="258"/>
      <c r="J14" s="258"/>
      <c r="K14" s="258"/>
      <c r="L14" s="258"/>
      <c r="M14" s="258"/>
      <c r="N14" s="258">
        <v>37000</v>
      </c>
      <c r="O14" s="274" t="s">
        <v>22</v>
      </c>
      <c r="P14" s="250"/>
    </row>
    <row r="15" spans="1:16" ht="18" customHeight="1" x14ac:dyDescent="0.3">
      <c r="A15" s="256">
        <v>44607</v>
      </c>
      <c r="B15" s="259" t="s">
        <v>59</v>
      </c>
      <c r="C15" s="246"/>
      <c r="D15" s="247" t="s">
        <v>90</v>
      </c>
      <c r="E15" s="252" t="s">
        <v>135</v>
      </c>
      <c r="F15" s="252"/>
      <c r="G15" s="255" t="s">
        <v>131</v>
      </c>
      <c r="H15" s="258"/>
      <c r="I15" s="258"/>
      <c r="J15" s="258"/>
      <c r="K15" s="258"/>
      <c r="L15" s="258"/>
      <c r="M15" s="258"/>
      <c r="N15" s="258">
        <v>16076.04</v>
      </c>
      <c r="O15" s="274" t="s">
        <v>22</v>
      </c>
      <c r="P15" s="250"/>
    </row>
    <row r="16" spans="1:16" ht="18" customHeight="1" x14ac:dyDescent="0.3">
      <c r="A16" s="256">
        <v>44609</v>
      </c>
      <c r="B16" s="245" t="s">
        <v>59</v>
      </c>
      <c r="C16" s="246"/>
      <c r="D16" s="247" t="s">
        <v>90</v>
      </c>
      <c r="E16" s="252" t="s">
        <v>129</v>
      </c>
      <c r="F16" s="252"/>
      <c r="G16" s="255" t="s">
        <v>118</v>
      </c>
      <c r="H16" s="258"/>
      <c r="I16" s="258"/>
      <c r="J16" s="258"/>
      <c r="K16" s="258"/>
      <c r="L16" s="258"/>
      <c r="M16" s="258"/>
      <c r="N16" s="258">
        <v>7186.99</v>
      </c>
      <c r="O16" s="274" t="s">
        <v>22</v>
      </c>
      <c r="P16" s="250"/>
    </row>
    <row r="17" spans="1:16" ht="18" customHeight="1" x14ac:dyDescent="0.3">
      <c r="A17" s="256">
        <v>44614</v>
      </c>
      <c r="B17" s="245" t="s">
        <v>136</v>
      </c>
      <c r="C17" s="246"/>
      <c r="D17" s="247" t="s">
        <v>92</v>
      </c>
      <c r="E17" s="252"/>
      <c r="F17" s="252"/>
      <c r="G17" s="255" t="s">
        <v>376</v>
      </c>
      <c r="H17" s="258"/>
      <c r="I17" s="258"/>
      <c r="J17" s="258"/>
      <c r="K17" s="258"/>
      <c r="L17" s="258"/>
      <c r="M17" s="258"/>
      <c r="N17" s="258">
        <v>526625</v>
      </c>
      <c r="O17" s="274"/>
      <c r="P17" s="250"/>
    </row>
    <row r="18" spans="1:16" ht="18" customHeight="1" x14ac:dyDescent="0.3">
      <c r="A18" s="256">
        <v>44631</v>
      </c>
      <c r="B18" s="245" t="s">
        <v>136</v>
      </c>
      <c r="C18" s="246"/>
      <c r="D18" s="247" t="s">
        <v>92</v>
      </c>
      <c r="E18" s="252"/>
      <c r="F18" s="252"/>
      <c r="G18" s="255">
        <v>4943</v>
      </c>
      <c r="H18" s="258"/>
      <c r="I18" s="258"/>
      <c r="J18" s="258"/>
      <c r="K18" s="258"/>
      <c r="L18" s="258"/>
      <c r="M18" s="258"/>
      <c r="N18" s="258">
        <v>5975</v>
      </c>
      <c r="O18" s="275"/>
      <c r="P18" s="250"/>
    </row>
    <row r="19" spans="1:16" ht="18" customHeight="1" x14ac:dyDescent="0.3">
      <c r="A19" s="256">
        <v>44638</v>
      </c>
      <c r="B19" s="245" t="s">
        <v>136</v>
      </c>
      <c r="C19" s="246"/>
      <c r="D19" s="247" t="s">
        <v>92</v>
      </c>
      <c r="E19" s="252"/>
      <c r="F19" s="252"/>
      <c r="G19" s="255">
        <v>4953</v>
      </c>
      <c r="H19" s="258"/>
      <c r="I19" s="258"/>
      <c r="J19" s="258"/>
      <c r="K19" s="258"/>
      <c r="L19" s="258"/>
      <c r="M19" s="258"/>
      <c r="N19" s="258">
        <v>4950</v>
      </c>
      <c r="O19" s="275"/>
      <c r="P19" s="250"/>
    </row>
    <row r="20" spans="1:16" ht="18" customHeight="1" x14ac:dyDescent="0.3">
      <c r="A20" s="256">
        <v>44711</v>
      </c>
      <c r="B20" s="245" t="s">
        <v>153</v>
      </c>
      <c r="C20" s="246"/>
      <c r="D20" s="247" t="s">
        <v>92</v>
      </c>
      <c r="E20" s="252"/>
      <c r="F20" s="252"/>
      <c r="G20" s="255" t="s">
        <v>181</v>
      </c>
      <c r="H20" s="258"/>
      <c r="I20" s="258"/>
      <c r="J20" s="258"/>
      <c r="K20" s="258"/>
      <c r="L20" s="258"/>
      <c r="M20" s="258"/>
      <c r="N20" s="258">
        <v>164667</v>
      </c>
      <c r="O20" s="276"/>
      <c r="P20" s="250"/>
    </row>
    <row r="21" spans="1:16" ht="18" customHeight="1" x14ac:dyDescent="0.3">
      <c r="A21" s="256">
        <v>44714</v>
      </c>
      <c r="B21" s="245" t="s">
        <v>59</v>
      </c>
      <c r="C21" s="246"/>
      <c r="D21" s="247" t="s">
        <v>90</v>
      </c>
      <c r="E21" s="252"/>
      <c r="F21" s="252">
        <v>2062</v>
      </c>
      <c r="G21" s="255" t="s">
        <v>118</v>
      </c>
      <c r="H21" s="258"/>
      <c r="I21" s="258"/>
      <c r="J21" s="258"/>
      <c r="K21" s="258"/>
      <c r="L21" s="258"/>
      <c r="M21" s="258"/>
      <c r="N21" s="258">
        <v>77456</v>
      </c>
      <c r="O21" s="274" t="s">
        <v>22</v>
      </c>
      <c r="P21" s="250"/>
    </row>
    <row r="22" spans="1:16" ht="18" customHeight="1" x14ac:dyDescent="0.3">
      <c r="A22" s="256">
        <v>44714</v>
      </c>
      <c r="B22" s="245" t="s">
        <v>59</v>
      </c>
      <c r="C22" s="246"/>
      <c r="D22" s="247" t="s">
        <v>90</v>
      </c>
      <c r="E22" s="252" t="s">
        <v>143</v>
      </c>
      <c r="F22" s="252"/>
      <c r="G22" s="255" t="s">
        <v>118</v>
      </c>
      <c r="H22" s="258"/>
      <c r="I22" s="258"/>
      <c r="J22" s="258"/>
      <c r="K22" s="258"/>
      <c r="L22" s="258"/>
      <c r="M22" s="258"/>
      <c r="N22" s="258">
        <v>72499.08</v>
      </c>
      <c r="O22" s="274" t="s">
        <v>22</v>
      </c>
      <c r="P22" s="250"/>
    </row>
    <row r="23" spans="1:16" ht="18" customHeight="1" x14ac:dyDescent="0.3">
      <c r="A23" s="256">
        <v>44741</v>
      </c>
      <c r="B23" s="245" t="s">
        <v>59</v>
      </c>
      <c r="C23" s="246"/>
      <c r="D23" s="247" t="s">
        <v>90</v>
      </c>
      <c r="E23" s="252" t="s">
        <v>166</v>
      </c>
      <c r="F23" s="252"/>
      <c r="G23" s="255">
        <v>5098</v>
      </c>
      <c r="H23" s="258"/>
      <c r="I23" s="258"/>
      <c r="J23" s="258"/>
      <c r="K23" s="258"/>
      <c r="L23" s="249"/>
      <c r="M23" s="249"/>
      <c r="N23" s="249">
        <v>510</v>
      </c>
      <c r="O23" s="276" t="s">
        <v>22</v>
      </c>
      <c r="P23" s="250"/>
    </row>
    <row r="24" spans="1:16" ht="18" customHeight="1" x14ac:dyDescent="0.3">
      <c r="A24" s="256">
        <v>44768</v>
      </c>
      <c r="B24" s="245" t="s">
        <v>159</v>
      </c>
      <c r="C24" s="246"/>
      <c r="D24" s="247" t="s">
        <v>90</v>
      </c>
      <c r="E24" s="252"/>
      <c r="F24" s="252"/>
      <c r="G24" s="255" t="s">
        <v>151</v>
      </c>
      <c r="H24" s="258"/>
      <c r="I24" s="258"/>
      <c r="J24" s="258"/>
      <c r="K24" s="258"/>
      <c r="L24" s="258"/>
      <c r="M24" s="258"/>
      <c r="N24" s="258">
        <v>1035500</v>
      </c>
      <c r="O24" s="274" t="s">
        <v>22</v>
      </c>
      <c r="P24" s="250"/>
    </row>
    <row r="25" spans="1:16" ht="18" customHeight="1" x14ac:dyDescent="0.3">
      <c r="A25" s="256">
        <v>44786</v>
      </c>
      <c r="B25" s="245" t="s">
        <v>150</v>
      </c>
      <c r="C25" s="246"/>
      <c r="D25" s="247" t="s">
        <v>94</v>
      </c>
      <c r="E25" s="252"/>
      <c r="F25" s="252">
        <v>2136</v>
      </c>
      <c r="G25" s="255" t="s">
        <v>170</v>
      </c>
      <c r="H25" s="258"/>
      <c r="I25" s="258"/>
      <c r="J25" s="258"/>
      <c r="K25" s="258"/>
      <c r="L25" s="249"/>
      <c r="M25" s="258"/>
      <c r="N25" s="258">
        <v>193400</v>
      </c>
      <c r="O25" s="275" t="s">
        <v>22</v>
      </c>
      <c r="P25" s="250"/>
    </row>
    <row r="26" spans="1:16" ht="18" customHeight="1" x14ac:dyDescent="0.3">
      <c r="A26" s="256">
        <v>44824</v>
      </c>
      <c r="B26" s="245" t="s">
        <v>43</v>
      </c>
      <c r="C26" s="246"/>
      <c r="D26" s="247" t="s">
        <v>90</v>
      </c>
      <c r="E26" s="252"/>
      <c r="F26" s="252">
        <v>2162</v>
      </c>
      <c r="G26" s="255">
        <v>5218</v>
      </c>
      <c r="H26" s="258"/>
      <c r="I26" s="258"/>
      <c r="J26" s="258"/>
      <c r="K26" s="249"/>
      <c r="L26" s="258"/>
      <c r="M26" s="258"/>
      <c r="N26" s="258">
        <v>54650</v>
      </c>
      <c r="O26" s="275"/>
      <c r="P26" s="250"/>
    </row>
    <row r="27" spans="1:16" ht="18" customHeight="1" x14ac:dyDescent="0.3">
      <c r="A27" s="256">
        <v>44839</v>
      </c>
      <c r="B27" s="245" t="s">
        <v>43</v>
      </c>
      <c r="C27" s="246"/>
      <c r="D27" s="247" t="s">
        <v>90</v>
      </c>
      <c r="E27" s="252"/>
      <c r="F27" s="252">
        <v>2140</v>
      </c>
      <c r="G27" s="255">
        <v>5248</v>
      </c>
      <c r="H27" s="258"/>
      <c r="I27" s="258"/>
      <c r="J27" s="258"/>
      <c r="K27" s="258"/>
      <c r="L27" s="258"/>
      <c r="M27" s="258"/>
      <c r="N27" s="258">
        <v>25000</v>
      </c>
      <c r="O27" s="275"/>
      <c r="P27" s="250"/>
    </row>
    <row r="28" spans="1:16" ht="18" customHeight="1" x14ac:dyDescent="0.3">
      <c r="A28" s="256">
        <v>44855</v>
      </c>
      <c r="B28" s="245" t="s">
        <v>59</v>
      </c>
      <c r="C28" s="246"/>
      <c r="D28" s="247" t="s">
        <v>90</v>
      </c>
      <c r="E28" s="252" t="s">
        <v>164</v>
      </c>
      <c r="F28" s="252"/>
      <c r="G28" s="255" t="s">
        <v>118</v>
      </c>
      <c r="H28" s="258"/>
      <c r="I28" s="258"/>
      <c r="J28" s="258"/>
      <c r="K28" s="258"/>
      <c r="L28" s="258"/>
      <c r="M28" s="258"/>
      <c r="N28" s="258">
        <v>6650</v>
      </c>
      <c r="O28" s="274" t="s">
        <v>22</v>
      </c>
      <c r="P28" s="250"/>
    </row>
    <row r="29" spans="1:16" ht="18" customHeight="1" x14ac:dyDescent="0.3">
      <c r="A29" s="256">
        <v>44855</v>
      </c>
      <c r="B29" s="245" t="s">
        <v>59</v>
      </c>
      <c r="C29" s="246"/>
      <c r="D29" s="247" t="s">
        <v>90</v>
      </c>
      <c r="E29" s="252" t="s">
        <v>168</v>
      </c>
      <c r="F29" s="252"/>
      <c r="G29" s="255" t="s">
        <v>118</v>
      </c>
      <c r="H29" s="258"/>
      <c r="I29" s="258"/>
      <c r="J29" s="258"/>
      <c r="K29" s="258"/>
      <c r="L29" s="258"/>
      <c r="M29" s="258"/>
      <c r="N29" s="258">
        <v>3000</v>
      </c>
      <c r="O29" s="274" t="s">
        <v>22</v>
      </c>
      <c r="P29" s="250"/>
    </row>
    <row r="30" spans="1:16" ht="18" customHeight="1" x14ac:dyDescent="0.3">
      <c r="A30" s="256">
        <v>44916</v>
      </c>
      <c r="B30" s="245" t="s">
        <v>59</v>
      </c>
      <c r="C30" s="246"/>
      <c r="D30" s="247" t="s">
        <v>90</v>
      </c>
      <c r="E30" s="252"/>
      <c r="F30" s="252">
        <v>2176</v>
      </c>
      <c r="G30" s="255" t="s">
        <v>118</v>
      </c>
      <c r="H30" s="258"/>
      <c r="I30" s="258"/>
      <c r="J30" s="258"/>
      <c r="K30" s="258"/>
      <c r="L30" s="258"/>
      <c r="M30" s="249"/>
      <c r="N30" s="258">
        <v>186146</v>
      </c>
      <c r="O30" s="275"/>
      <c r="P30" s="250"/>
    </row>
    <row r="31" spans="1:16" ht="18" customHeight="1" x14ac:dyDescent="0.3">
      <c r="A31" s="256">
        <v>44954</v>
      </c>
      <c r="B31" s="245" t="s">
        <v>145</v>
      </c>
      <c r="C31" s="246"/>
      <c r="D31" s="247" t="s">
        <v>92</v>
      </c>
      <c r="E31" s="252" t="s">
        <v>260</v>
      </c>
      <c r="F31" s="252"/>
      <c r="G31" s="255" t="s">
        <v>262</v>
      </c>
      <c r="H31" s="258"/>
      <c r="I31" s="258"/>
      <c r="J31" s="258"/>
      <c r="K31" s="258"/>
      <c r="L31" s="258"/>
      <c r="M31" s="258"/>
      <c r="N31" s="258">
        <v>666000</v>
      </c>
      <c r="O31" s="274"/>
      <c r="P31" s="250"/>
    </row>
    <row r="32" spans="1:16" ht="18" customHeight="1" x14ac:dyDescent="0.3">
      <c r="A32" s="256">
        <v>44954</v>
      </c>
      <c r="B32" s="245" t="s">
        <v>145</v>
      </c>
      <c r="C32" s="246"/>
      <c r="D32" s="247" t="s">
        <v>92</v>
      </c>
      <c r="E32" s="252" t="s">
        <v>261</v>
      </c>
      <c r="F32" s="252"/>
      <c r="G32" s="255" t="s">
        <v>263</v>
      </c>
      <c r="H32" s="258"/>
      <c r="I32" s="258"/>
      <c r="J32" s="258"/>
      <c r="K32" s="258"/>
      <c r="L32" s="258"/>
      <c r="M32" s="258"/>
      <c r="N32" s="258">
        <v>657658.5</v>
      </c>
      <c r="O32" s="274"/>
      <c r="P32" s="250"/>
    </row>
    <row r="33" spans="1:16" ht="18" customHeight="1" x14ac:dyDescent="0.3">
      <c r="A33" s="256">
        <v>44977</v>
      </c>
      <c r="B33" s="245" t="s">
        <v>110</v>
      </c>
      <c r="C33" s="246"/>
      <c r="D33" s="255" t="s">
        <v>92</v>
      </c>
      <c r="E33" s="252"/>
      <c r="F33" s="252"/>
      <c r="G33" s="255">
        <v>5407</v>
      </c>
      <c r="H33" s="258"/>
      <c r="I33" s="258"/>
      <c r="J33" s="258"/>
      <c r="K33" s="258"/>
      <c r="L33" s="258"/>
      <c r="M33" s="249"/>
      <c r="N33" s="258">
        <v>89500</v>
      </c>
      <c r="O33" s="275"/>
      <c r="P33" s="250"/>
    </row>
    <row r="34" spans="1:16" ht="18" customHeight="1" x14ac:dyDescent="0.3">
      <c r="A34" s="256" t="s">
        <v>190</v>
      </c>
      <c r="B34" s="245" t="s">
        <v>191</v>
      </c>
      <c r="C34" s="246"/>
      <c r="D34" s="247" t="s">
        <v>92</v>
      </c>
      <c r="E34" s="252"/>
      <c r="F34" s="252"/>
      <c r="G34" s="255" t="s">
        <v>118</v>
      </c>
      <c r="H34" s="258"/>
      <c r="I34" s="258"/>
      <c r="J34" s="258"/>
      <c r="K34" s="258"/>
      <c r="L34" s="258"/>
      <c r="M34" s="258"/>
      <c r="N34" s="258">
        <v>67000</v>
      </c>
      <c r="O34" s="274" t="s">
        <v>22</v>
      </c>
      <c r="P34" s="250"/>
    </row>
    <row r="35" spans="1:16" ht="18" customHeight="1" x14ac:dyDescent="0.3">
      <c r="A35" s="256">
        <v>45014</v>
      </c>
      <c r="B35" s="245" t="s">
        <v>43</v>
      </c>
      <c r="C35" s="246"/>
      <c r="D35" s="255" t="s">
        <v>90</v>
      </c>
      <c r="E35" s="252"/>
      <c r="F35" s="252"/>
      <c r="G35" s="255">
        <v>5760</v>
      </c>
      <c r="H35" s="249"/>
      <c r="I35" s="258"/>
      <c r="J35" s="258"/>
      <c r="K35" s="249"/>
      <c r="L35" s="249"/>
      <c r="M35" s="249"/>
      <c r="N35" s="249">
        <v>51025</v>
      </c>
      <c r="O35" s="275"/>
      <c r="P35" s="250"/>
    </row>
    <row r="36" spans="1:16" ht="18" customHeight="1" x14ac:dyDescent="0.3">
      <c r="A36" s="256">
        <v>45017</v>
      </c>
      <c r="B36" s="245" t="s">
        <v>145</v>
      </c>
      <c r="C36" s="246"/>
      <c r="D36" s="247" t="s">
        <v>92</v>
      </c>
      <c r="E36" s="252"/>
      <c r="F36" s="252"/>
      <c r="G36" s="255">
        <v>5460</v>
      </c>
      <c r="H36" s="258"/>
      <c r="I36" s="258"/>
      <c r="J36" s="258"/>
      <c r="K36" s="258"/>
      <c r="L36" s="258"/>
      <c r="M36" s="258"/>
      <c r="N36" s="249">
        <v>413995.98</v>
      </c>
      <c r="O36" s="275"/>
      <c r="P36" s="250"/>
    </row>
    <row r="37" spans="1:16" ht="18" customHeight="1" x14ac:dyDescent="0.3">
      <c r="A37" s="256">
        <v>45147</v>
      </c>
      <c r="B37" s="245" t="s">
        <v>205</v>
      </c>
      <c r="C37" s="246"/>
      <c r="D37" s="247" t="s">
        <v>92</v>
      </c>
      <c r="E37" s="252"/>
      <c r="F37" s="252"/>
      <c r="G37" s="255">
        <v>5568</v>
      </c>
      <c r="H37" s="249"/>
      <c r="I37" s="249"/>
      <c r="J37" s="249"/>
      <c r="K37" s="249"/>
      <c r="L37" s="249"/>
      <c r="M37" s="249"/>
      <c r="N37" s="249">
        <v>10000</v>
      </c>
      <c r="O37" s="274" t="s">
        <v>210</v>
      </c>
      <c r="P37" s="250"/>
    </row>
    <row r="38" spans="1:16" ht="18" customHeight="1" x14ac:dyDescent="0.3">
      <c r="A38" s="256">
        <v>45158</v>
      </c>
      <c r="B38" s="245" t="s">
        <v>43</v>
      </c>
      <c r="C38" s="246"/>
      <c r="D38" s="255" t="s">
        <v>90</v>
      </c>
      <c r="E38" s="252"/>
      <c r="F38" s="252">
        <v>2357</v>
      </c>
      <c r="G38" s="255">
        <v>5587</v>
      </c>
      <c r="H38" s="249"/>
      <c r="I38" s="249"/>
      <c r="J38" s="249"/>
      <c r="K38" s="249"/>
      <c r="L38" s="249"/>
      <c r="M38" s="249"/>
      <c r="N38" s="249">
        <v>419745</v>
      </c>
      <c r="O38" s="275"/>
      <c r="P38" s="250"/>
    </row>
    <row r="39" spans="1:16" ht="18" customHeight="1" x14ac:dyDescent="0.3">
      <c r="A39" s="256">
        <v>45181</v>
      </c>
      <c r="B39" s="245" t="s">
        <v>145</v>
      </c>
      <c r="C39" s="246"/>
      <c r="D39" s="247" t="s">
        <v>90</v>
      </c>
      <c r="E39" s="252" t="s">
        <v>277</v>
      </c>
      <c r="F39" s="252"/>
      <c r="G39" s="255">
        <v>5606</v>
      </c>
      <c r="H39" s="249"/>
      <c r="I39" s="249"/>
      <c r="J39" s="249"/>
      <c r="K39" s="249"/>
      <c r="L39" s="249"/>
      <c r="M39" s="249"/>
      <c r="N39" s="249">
        <v>676930.8</v>
      </c>
      <c r="O39" s="275"/>
      <c r="P39" s="250"/>
    </row>
    <row r="40" spans="1:16" ht="18" customHeight="1" x14ac:dyDescent="0.3">
      <c r="A40" s="256">
        <v>45195</v>
      </c>
      <c r="B40" s="245" t="s">
        <v>271</v>
      </c>
      <c r="C40" s="246"/>
      <c r="D40" s="247" t="s">
        <v>92</v>
      </c>
      <c r="E40" s="252"/>
      <c r="F40" s="252"/>
      <c r="G40" s="255" t="s">
        <v>272</v>
      </c>
      <c r="H40" s="249"/>
      <c r="I40" s="249"/>
      <c r="J40" s="249"/>
      <c r="K40" s="249"/>
      <c r="L40" s="249"/>
      <c r="M40" s="249"/>
      <c r="N40" s="249">
        <v>2339.29</v>
      </c>
      <c r="O40" s="275" t="s">
        <v>22</v>
      </c>
      <c r="P40" s="250"/>
    </row>
    <row r="41" spans="1:16" ht="18" customHeight="1" x14ac:dyDescent="0.3">
      <c r="A41" s="256">
        <v>45223</v>
      </c>
      <c r="B41" s="245" t="s">
        <v>115</v>
      </c>
      <c r="C41" s="246"/>
      <c r="D41" s="255" t="s">
        <v>90</v>
      </c>
      <c r="E41" s="252"/>
      <c r="F41" s="252"/>
      <c r="G41" s="255">
        <v>5641</v>
      </c>
      <c r="H41" s="249"/>
      <c r="I41" s="249"/>
      <c r="J41" s="249"/>
      <c r="K41" s="249"/>
      <c r="L41" s="249"/>
      <c r="M41" s="249"/>
      <c r="N41" s="249">
        <v>445000</v>
      </c>
      <c r="O41" s="275"/>
      <c r="P41" s="250"/>
    </row>
    <row r="42" spans="1:16" ht="18" customHeight="1" x14ac:dyDescent="0.3">
      <c r="A42" s="256">
        <v>45310</v>
      </c>
      <c r="B42" s="260" t="s">
        <v>109</v>
      </c>
      <c r="C42" s="246"/>
      <c r="D42" s="255" t="s">
        <v>90</v>
      </c>
      <c r="E42" s="252"/>
      <c r="F42" s="252"/>
      <c r="G42" s="255" t="s">
        <v>327</v>
      </c>
      <c r="H42" s="249"/>
      <c r="I42" s="249"/>
      <c r="J42" s="249"/>
      <c r="K42" s="249"/>
      <c r="L42" s="249"/>
      <c r="M42" s="249"/>
      <c r="N42" s="249">
        <v>16550</v>
      </c>
      <c r="O42" s="275" t="s">
        <v>22</v>
      </c>
      <c r="P42" s="250"/>
    </row>
    <row r="43" spans="1:16" ht="18" customHeight="1" x14ac:dyDescent="0.3">
      <c r="A43" s="256">
        <v>45313</v>
      </c>
      <c r="B43" s="260" t="s">
        <v>37</v>
      </c>
      <c r="C43" s="246"/>
      <c r="D43" s="255" t="s">
        <v>90</v>
      </c>
      <c r="E43" s="252" t="s">
        <v>233</v>
      </c>
      <c r="F43" s="252"/>
      <c r="G43" s="255">
        <v>5714</v>
      </c>
      <c r="H43" s="249"/>
      <c r="I43" s="249"/>
      <c r="J43" s="249"/>
      <c r="K43" s="249"/>
      <c r="L43" s="249"/>
      <c r="M43" s="249"/>
      <c r="N43" s="249">
        <v>150000</v>
      </c>
      <c r="O43" s="275"/>
      <c r="P43" s="250"/>
    </row>
    <row r="44" spans="1:16" ht="18" customHeight="1" x14ac:dyDescent="0.3">
      <c r="A44" s="256">
        <v>45313</v>
      </c>
      <c r="B44" s="245" t="s">
        <v>230</v>
      </c>
      <c r="C44" s="246"/>
      <c r="D44" s="245" t="s">
        <v>92</v>
      </c>
      <c r="E44" s="252"/>
      <c r="F44" s="252"/>
      <c r="G44" s="255">
        <v>5715</v>
      </c>
      <c r="H44" s="249"/>
      <c r="I44" s="249"/>
      <c r="J44" s="249"/>
      <c r="K44" s="249"/>
      <c r="L44" s="249"/>
      <c r="M44" s="249"/>
      <c r="N44" s="249">
        <v>78</v>
      </c>
      <c r="O44" s="276" t="s">
        <v>255</v>
      </c>
      <c r="P44" s="250"/>
    </row>
    <row r="45" spans="1:16" ht="18" customHeight="1" x14ac:dyDescent="0.3">
      <c r="A45" s="256">
        <v>45342</v>
      </c>
      <c r="B45" s="260" t="s">
        <v>237</v>
      </c>
      <c r="C45" s="246"/>
      <c r="D45" s="255" t="s">
        <v>90</v>
      </c>
      <c r="E45" s="255"/>
      <c r="F45" s="252">
        <v>2358</v>
      </c>
      <c r="G45" s="255">
        <v>5739</v>
      </c>
      <c r="H45" s="249"/>
      <c r="I45" s="249"/>
      <c r="J45" s="249"/>
      <c r="K45" s="249"/>
      <c r="L45" s="249"/>
      <c r="M45" s="249"/>
      <c r="N45" s="249">
        <v>318000</v>
      </c>
      <c r="O45" s="276"/>
      <c r="P45" s="250"/>
    </row>
    <row r="46" spans="1:16" ht="18" customHeight="1" x14ac:dyDescent="0.3">
      <c r="A46" s="256">
        <v>45343</v>
      </c>
      <c r="B46" s="245" t="s">
        <v>59</v>
      </c>
      <c r="C46" s="246"/>
      <c r="D46" s="245" t="s">
        <v>90</v>
      </c>
      <c r="E46" s="252" t="s">
        <v>238</v>
      </c>
      <c r="F46" s="252"/>
      <c r="G46" s="255" t="s">
        <v>118</v>
      </c>
      <c r="H46" s="249"/>
      <c r="I46" s="249"/>
      <c r="J46" s="249"/>
      <c r="K46" s="249"/>
      <c r="L46" s="249"/>
      <c r="M46" s="249"/>
      <c r="N46" s="249">
        <v>22500</v>
      </c>
      <c r="O46" s="274" t="s">
        <v>22</v>
      </c>
      <c r="P46" s="250"/>
    </row>
    <row r="47" spans="1:16" ht="18" customHeight="1" x14ac:dyDescent="0.3">
      <c r="A47" s="256">
        <v>45344</v>
      </c>
      <c r="B47" s="260" t="s">
        <v>217</v>
      </c>
      <c r="C47" s="246"/>
      <c r="D47" s="255" t="s">
        <v>90</v>
      </c>
      <c r="E47" s="252"/>
      <c r="F47" s="252">
        <v>2315</v>
      </c>
      <c r="G47" s="255">
        <v>5740</v>
      </c>
      <c r="H47" s="249"/>
      <c r="I47" s="249"/>
      <c r="J47" s="249"/>
      <c r="K47" s="249"/>
      <c r="L47" s="249"/>
      <c r="M47" s="249"/>
      <c r="N47" s="249">
        <v>189330</v>
      </c>
      <c r="O47" s="274"/>
      <c r="P47" s="250"/>
    </row>
    <row r="48" spans="1:16" ht="18" customHeight="1" x14ac:dyDescent="0.3">
      <c r="A48" s="256">
        <v>45353</v>
      </c>
      <c r="B48" s="260" t="s">
        <v>241</v>
      </c>
      <c r="C48" s="246"/>
      <c r="D48" s="255" t="s">
        <v>90</v>
      </c>
      <c r="E48" s="252"/>
      <c r="F48" s="252"/>
      <c r="G48" s="252" t="s">
        <v>346</v>
      </c>
      <c r="H48" s="249"/>
      <c r="I48" s="249"/>
      <c r="J48" s="249"/>
      <c r="K48" s="249"/>
      <c r="L48" s="249"/>
      <c r="M48" s="249"/>
      <c r="N48" s="249">
        <v>142953</v>
      </c>
      <c r="O48" s="274" t="s">
        <v>22</v>
      </c>
      <c r="P48" s="250"/>
    </row>
    <row r="49" spans="1:16" ht="18" customHeight="1" x14ac:dyDescent="0.3">
      <c r="A49" s="256">
        <v>45371</v>
      </c>
      <c r="B49" s="245" t="s">
        <v>250</v>
      </c>
      <c r="C49" s="246"/>
      <c r="D49" s="255" t="s">
        <v>221</v>
      </c>
      <c r="E49" s="252"/>
      <c r="F49" s="252"/>
      <c r="G49" s="255">
        <v>5769</v>
      </c>
      <c r="H49" s="249"/>
      <c r="I49" s="249"/>
      <c r="J49" s="249"/>
      <c r="K49" s="249"/>
      <c r="L49" s="249"/>
      <c r="M49" s="249"/>
      <c r="N49" s="249">
        <v>250</v>
      </c>
      <c r="O49" s="274" t="s">
        <v>22</v>
      </c>
      <c r="P49" s="250"/>
    </row>
    <row r="50" spans="1:16" ht="18" customHeight="1" x14ac:dyDescent="0.3">
      <c r="A50" s="256">
        <v>45386</v>
      </c>
      <c r="B50" s="245" t="s">
        <v>145</v>
      </c>
      <c r="C50" s="246"/>
      <c r="D50" s="255" t="s">
        <v>90</v>
      </c>
      <c r="E50" s="252"/>
      <c r="F50" s="252"/>
      <c r="G50" s="255">
        <v>5776</v>
      </c>
      <c r="H50" s="249"/>
      <c r="I50" s="249"/>
      <c r="J50" s="249"/>
      <c r="K50" s="249"/>
      <c r="L50" s="249"/>
      <c r="M50" s="249"/>
      <c r="N50" s="249">
        <v>455997.92</v>
      </c>
      <c r="O50" s="274" t="s">
        <v>22</v>
      </c>
      <c r="P50" s="250"/>
    </row>
    <row r="51" spans="1:16" ht="18" customHeight="1" x14ac:dyDescent="0.3">
      <c r="A51" s="256">
        <v>45399</v>
      </c>
      <c r="B51" s="245" t="s">
        <v>43</v>
      </c>
      <c r="C51" s="246"/>
      <c r="D51" s="255" t="s">
        <v>90</v>
      </c>
      <c r="E51" s="252"/>
      <c r="F51" s="252">
        <v>2356</v>
      </c>
      <c r="G51" s="255" t="s">
        <v>258</v>
      </c>
      <c r="H51" s="249"/>
      <c r="I51" s="249"/>
      <c r="J51" s="249"/>
      <c r="K51" s="249"/>
      <c r="L51" s="249"/>
      <c r="M51" s="249"/>
      <c r="N51" s="249">
        <v>217025</v>
      </c>
      <c r="O51" s="275"/>
      <c r="P51" s="250"/>
    </row>
    <row r="52" spans="1:16" ht="18" customHeight="1" x14ac:dyDescent="0.3">
      <c r="A52" s="256">
        <v>45458</v>
      </c>
      <c r="B52" s="245" t="s">
        <v>43</v>
      </c>
      <c r="C52" s="246"/>
      <c r="D52" s="255" t="s">
        <v>90</v>
      </c>
      <c r="E52" s="252"/>
      <c r="F52" s="252">
        <v>2355</v>
      </c>
      <c r="G52" s="255" t="s">
        <v>290</v>
      </c>
      <c r="H52" s="249"/>
      <c r="I52" s="249"/>
      <c r="J52" s="249"/>
      <c r="K52" s="249"/>
      <c r="L52" s="249">
        <v>206450</v>
      </c>
      <c r="M52" s="249"/>
      <c r="N52" s="255"/>
      <c r="O52" s="275"/>
      <c r="P52" s="250"/>
    </row>
    <row r="53" spans="1:16" ht="18" customHeight="1" x14ac:dyDescent="0.3">
      <c r="A53" s="256">
        <v>45489</v>
      </c>
      <c r="B53" s="245" t="s">
        <v>285</v>
      </c>
      <c r="C53" s="246"/>
      <c r="D53" s="255" t="s">
        <v>221</v>
      </c>
      <c r="E53" s="252"/>
      <c r="F53" s="252">
        <v>2291</v>
      </c>
      <c r="G53" s="255">
        <v>5831</v>
      </c>
      <c r="H53" s="249"/>
      <c r="I53" s="258"/>
      <c r="J53" s="258"/>
      <c r="K53" s="258">
        <v>81500</v>
      </c>
      <c r="L53" s="249"/>
      <c r="M53" s="249"/>
      <c r="N53" s="255"/>
      <c r="O53" s="275"/>
      <c r="P53" s="250"/>
    </row>
    <row r="54" spans="1:16" ht="18" customHeight="1" x14ac:dyDescent="0.3">
      <c r="A54" s="256">
        <v>45489</v>
      </c>
      <c r="B54" s="245" t="s">
        <v>285</v>
      </c>
      <c r="C54" s="246"/>
      <c r="D54" s="255" t="s">
        <v>221</v>
      </c>
      <c r="E54" s="252"/>
      <c r="F54" s="252">
        <v>2292</v>
      </c>
      <c r="G54" s="255">
        <v>5832</v>
      </c>
      <c r="H54" s="249"/>
      <c r="I54" s="249"/>
      <c r="J54" s="249"/>
      <c r="K54" s="249">
        <v>351500</v>
      </c>
      <c r="L54" s="249"/>
      <c r="M54" s="249"/>
      <c r="N54" s="255"/>
      <c r="O54" s="275"/>
      <c r="P54" s="250"/>
    </row>
    <row r="55" spans="1:16" ht="18" customHeight="1" x14ac:dyDescent="0.3">
      <c r="A55" s="256">
        <v>45492</v>
      </c>
      <c r="B55" s="245" t="s">
        <v>270</v>
      </c>
      <c r="C55" s="246"/>
      <c r="D55" s="255" t="s">
        <v>90</v>
      </c>
      <c r="E55" s="252"/>
      <c r="F55" s="252">
        <v>2296</v>
      </c>
      <c r="G55" s="255">
        <v>5841</v>
      </c>
      <c r="H55" s="249"/>
      <c r="I55" s="249"/>
      <c r="J55" s="249"/>
      <c r="K55" s="249">
        <v>108900</v>
      </c>
      <c r="L55" s="249"/>
      <c r="M55" s="249"/>
      <c r="N55" s="255"/>
      <c r="O55" s="275"/>
      <c r="P55" s="250"/>
    </row>
    <row r="56" spans="1:16" ht="18" customHeight="1" x14ac:dyDescent="0.3">
      <c r="A56" s="256">
        <v>45500</v>
      </c>
      <c r="B56" s="245" t="s">
        <v>288</v>
      </c>
      <c r="C56" s="246"/>
      <c r="D56" s="255" t="s">
        <v>92</v>
      </c>
      <c r="E56" s="252"/>
      <c r="F56" s="252"/>
      <c r="G56" s="255">
        <v>5848</v>
      </c>
      <c r="H56" s="249"/>
      <c r="I56" s="249"/>
      <c r="J56" s="249"/>
      <c r="K56" s="249">
        <v>150000</v>
      </c>
      <c r="L56" s="249"/>
      <c r="M56" s="249"/>
      <c r="N56" s="255"/>
      <c r="O56" s="275"/>
      <c r="P56" s="250"/>
    </row>
    <row r="57" spans="1:16" ht="18" customHeight="1" x14ac:dyDescent="0.3">
      <c r="A57" s="256">
        <v>45505</v>
      </c>
      <c r="B57" s="245" t="s">
        <v>270</v>
      </c>
      <c r="C57" s="246"/>
      <c r="D57" s="255" t="s">
        <v>90</v>
      </c>
      <c r="E57" s="252"/>
      <c r="F57" s="252">
        <v>2298</v>
      </c>
      <c r="G57" s="255" t="s">
        <v>295</v>
      </c>
      <c r="H57" s="249"/>
      <c r="I57" s="249"/>
      <c r="J57" s="249">
        <v>475000</v>
      </c>
      <c r="K57" s="249"/>
      <c r="L57" s="249"/>
      <c r="M57" s="249"/>
      <c r="N57" s="255"/>
      <c r="O57" s="275"/>
      <c r="P57" s="250"/>
    </row>
    <row r="58" spans="1:16" ht="18" customHeight="1" x14ac:dyDescent="0.3">
      <c r="A58" s="256">
        <v>45512</v>
      </c>
      <c r="B58" s="245" t="s">
        <v>299</v>
      </c>
      <c r="C58" s="246"/>
      <c r="D58" s="255" t="s">
        <v>91</v>
      </c>
      <c r="E58" s="252"/>
      <c r="F58" s="252">
        <v>2299</v>
      </c>
      <c r="G58" s="255">
        <v>5855</v>
      </c>
      <c r="H58" s="249"/>
      <c r="I58" s="249"/>
      <c r="J58" s="249">
        <v>399800</v>
      </c>
      <c r="K58" s="249"/>
      <c r="L58" s="249"/>
      <c r="M58" s="249"/>
      <c r="N58" s="255"/>
      <c r="O58" s="275"/>
      <c r="P58" s="250"/>
    </row>
    <row r="59" spans="1:16" ht="18" customHeight="1" x14ac:dyDescent="0.3">
      <c r="A59" s="256">
        <v>45528</v>
      </c>
      <c r="B59" s="245" t="s">
        <v>321</v>
      </c>
      <c r="C59" s="246"/>
      <c r="D59" s="255" t="s">
        <v>90</v>
      </c>
      <c r="E59" s="252"/>
      <c r="F59" s="252">
        <v>2309</v>
      </c>
      <c r="G59" s="255">
        <v>5901</v>
      </c>
      <c r="H59" s="249"/>
      <c r="I59" s="258"/>
      <c r="J59" s="258">
        <v>120970</v>
      </c>
      <c r="K59" s="258" t="s">
        <v>323</v>
      </c>
      <c r="L59" s="249"/>
      <c r="M59" s="249"/>
      <c r="N59" s="255"/>
      <c r="O59" s="275"/>
      <c r="P59" s="250"/>
    </row>
    <row r="60" spans="1:16" ht="18" customHeight="1" x14ac:dyDescent="0.3">
      <c r="A60" s="256">
        <v>45533</v>
      </c>
      <c r="B60" s="245" t="s">
        <v>61</v>
      </c>
      <c r="C60" s="246"/>
      <c r="D60" s="255" t="s">
        <v>90</v>
      </c>
      <c r="E60" s="252"/>
      <c r="F60" s="252">
        <v>2307</v>
      </c>
      <c r="G60" s="255">
        <v>5873</v>
      </c>
      <c r="H60" s="249"/>
      <c r="I60" s="249"/>
      <c r="J60" s="249">
        <v>135105</v>
      </c>
      <c r="K60" s="249"/>
      <c r="L60" s="249"/>
      <c r="M60" s="249"/>
      <c r="N60" s="255"/>
      <c r="O60" s="275"/>
      <c r="P60" s="250"/>
    </row>
    <row r="61" spans="1:16" ht="18" customHeight="1" x14ac:dyDescent="0.3">
      <c r="A61" s="256">
        <v>45544</v>
      </c>
      <c r="B61" s="245" t="s">
        <v>217</v>
      </c>
      <c r="C61" s="246"/>
      <c r="D61" s="255" t="s">
        <v>90</v>
      </c>
      <c r="E61" s="252"/>
      <c r="F61" s="252">
        <v>2316</v>
      </c>
      <c r="G61" s="255">
        <v>5882</v>
      </c>
      <c r="H61" s="249"/>
      <c r="I61" s="249">
        <v>458000</v>
      </c>
      <c r="J61" s="258"/>
      <c r="K61" s="249"/>
      <c r="L61" s="249"/>
      <c r="M61" s="249"/>
      <c r="N61" s="255"/>
      <c r="O61" s="275"/>
      <c r="P61" s="250"/>
    </row>
    <row r="62" spans="1:16" ht="18" customHeight="1" x14ac:dyDescent="0.3">
      <c r="A62" s="256">
        <v>45551</v>
      </c>
      <c r="B62" s="245" t="s">
        <v>287</v>
      </c>
      <c r="C62" s="246"/>
      <c r="D62" s="255" t="s">
        <v>259</v>
      </c>
      <c r="E62" s="252" t="s">
        <v>319</v>
      </c>
      <c r="F62" s="252"/>
      <c r="G62" s="255" t="s">
        <v>118</v>
      </c>
      <c r="H62" s="249"/>
      <c r="I62" s="249">
        <v>132518.39999999999</v>
      </c>
      <c r="J62" s="258"/>
      <c r="K62" s="249"/>
      <c r="L62" s="249"/>
      <c r="M62" s="249"/>
      <c r="N62" s="255"/>
      <c r="O62" s="275"/>
      <c r="P62" s="250"/>
    </row>
    <row r="63" spans="1:16" ht="18" customHeight="1" x14ac:dyDescent="0.3">
      <c r="A63" s="256">
        <v>45568</v>
      </c>
      <c r="B63" s="245" t="s">
        <v>270</v>
      </c>
      <c r="C63" s="246"/>
      <c r="D63" s="255" t="s">
        <v>90</v>
      </c>
      <c r="E63" s="252"/>
      <c r="F63" s="252">
        <v>2363</v>
      </c>
      <c r="G63" s="255">
        <v>5892</v>
      </c>
      <c r="H63" s="249">
        <v>441500</v>
      </c>
      <c r="I63" s="258"/>
      <c r="J63" s="258"/>
      <c r="K63" s="249"/>
      <c r="L63" s="249"/>
      <c r="M63" s="249"/>
      <c r="N63" s="255"/>
      <c r="O63" s="275"/>
      <c r="P63" s="250"/>
    </row>
    <row r="64" spans="1:16" ht="18" customHeight="1" x14ac:dyDescent="0.3">
      <c r="A64" s="256">
        <v>45576</v>
      </c>
      <c r="B64" s="245" t="s">
        <v>270</v>
      </c>
      <c r="C64" s="246"/>
      <c r="D64" s="255" t="s">
        <v>90</v>
      </c>
      <c r="E64" s="252"/>
      <c r="F64" s="252">
        <v>2364</v>
      </c>
      <c r="G64" s="255">
        <v>5894</v>
      </c>
      <c r="H64" s="249">
        <v>365000</v>
      </c>
      <c r="I64" s="258"/>
      <c r="J64" s="258"/>
      <c r="K64" s="249"/>
      <c r="L64" s="249"/>
      <c r="M64" s="249"/>
      <c r="N64" s="255"/>
      <c r="O64" s="275"/>
      <c r="P64" s="250"/>
    </row>
    <row r="65" spans="1:16" ht="18" customHeight="1" x14ac:dyDescent="0.3">
      <c r="A65" s="256">
        <v>45583</v>
      </c>
      <c r="B65" s="245" t="s">
        <v>318</v>
      </c>
      <c r="C65" s="246"/>
      <c r="D65" s="255" t="s">
        <v>221</v>
      </c>
      <c r="E65" s="252"/>
      <c r="F65" s="252">
        <v>2352</v>
      </c>
      <c r="G65" s="255">
        <v>5897</v>
      </c>
      <c r="H65" s="249">
        <v>610000</v>
      </c>
      <c r="I65" s="258"/>
      <c r="J65" s="258"/>
      <c r="K65" s="249"/>
      <c r="L65" s="249"/>
      <c r="M65" s="249"/>
      <c r="N65" s="255"/>
      <c r="O65" s="275"/>
      <c r="P65" s="250"/>
    </row>
    <row r="66" spans="1:16" ht="18" customHeight="1" x14ac:dyDescent="0.3">
      <c r="A66" s="256">
        <v>45588</v>
      </c>
      <c r="B66" s="245" t="s">
        <v>334</v>
      </c>
      <c r="C66" s="246"/>
      <c r="D66" s="255" t="s">
        <v>282</v>
      </c>
      <c r="E66" s="252"/>
      <c r="F66" s="252"/>
      <c r="G66" s="255">
        <v>5908</v>
      </c>
      <c r="H66" s="249">
        <v>138000</v>
      </c>
      <c r="I66" s="258"/>
      <c r="J66" s="258"/>
      <c r="K66" s="249"/>
      <c r="L66" s="249"/>
      <c r="M66" s="249"/>
      <c r="N66" s="255"/>
      <c r="O66" s="275"/>
      <c r="P66" s="250"/>
    </row>
    <row r="67" spans="1:16" ht="18" customHeight="1" x14ac:dyDescent="0.3">
      <c r="A67" s="256">
        <v>45580</v>
      </c>
      <c r="B67" s="245" t="s">
        <v>338</v>
      </c>
      <c r="C67" s="246"/>
      <c r="D67" s="255" t="s">
        <v>92</v>
      </c>
      <c r="E67" s="252"/>
      <c r="F67" s="252"/>
      <c r="G67" s="255">
        <v>5966</v>
      </c>
      <c r="H67" s="249">
        <v>167083</v>
      </c>
      <c r="I67" s="258"/>
      <c r="J67" s="258"/>
      <c r="K67" s="249"/>
      <c r="L67" s="249"/>
      <c r="M67" s="249"/>
      <c r="N67" s="255"/>
      <c r="O67" s="275"/>
      <c r="P67" s="250"/>
    </row>
    <row r="68" spans="1:16" ht="18" customHeight="1" x14ac:dyDescent="0.3">
      <c r="A68" s="256">
        <v>45580</v>
      </c>
      <c r="B68" s="245" t="s">
        <v>338</v>
      </c>
      <c r="C68" s="246"/>
      <c r="D68" s="255" t="s">
        <v>92</v>
      </c>
      <c r="E68" s="252"/>
      <c r="F68" s="252">
        <v>2362</v>
      </c>
      <c r="G68" s="255">
        <v>5967</v>
      </c>
      <c r="H68" s="249">
        <v>112640</v>
      </c>
      <c r="I68" s="258"/>
      <c r="J68" s="258"/>
      <c r="K68" s="249"/>
      <c r="L68" s="249"/>
      <c r="M68" s="249"/>
      <c r="N68" s="255"/>
      <c r="O68" s="275"/>
      <c r="P68" s="250"/>
    </row>
    <row r="69" spans="1:16" ht="18" customHeight="1" x14ac:dyDescent="0.3">
      <c r="A69" s="256">
        <v>45593</v>
      </c>
      <c r="B69" s="245" t="s">
        <v>281</v>
      </c>
      <c r="C69" s="246"/>
      <c r="D69" s="255" t="s">
        <v>282</v>
      </c>
      <c r="E69" s="252"/>
      <c r="F69" s="252" t="s">
        <v>366</v>
      </c>
      <c r="G69" s="255" t="s">
        <v>360</v>
      </c>
      <c r="H69" s="249">
        <v>705100.29</v>
      </c>
      <c r="I69" s="258"/>
      <c r="J69" s="258"/>
      <c r="K69" s="249"/>
      <c r="L69" s="249"/>
      <c r="M69" s="249"/>
      <c r="N69" s="255"/>
      <c r="O69" s="275"/>
      <c r="P69" s="250"/>
    </row>
    <row r="70" spans="1:16" ht="18" customHeight="1" x14ac:dyDescent="0.3">
      <c r="A70" s="256">
        <v>45600</v>
      </c>
      <c r="B70" s="245" t="s">
        <v>287</v>
      </c>
      <c r="C70" s="246"/>
      <c r="D70" s="255" t="s">
        <v>259</v>
      </c>
      <c r="E70" s="252" t="s">
        <v>341</v>
      </c>
      <c r="F70" s="252"/>
      <c r="G70" s="255" t="s">
        <v>118</v>
      </c>
      <c r="H70" s="249">
        <v>83204.800000000003</v>
      </c>
      <c r="I70" s="258"/>
      <c r="J70" s="258"/>
      <c r="K70" s="249"/>
      <c r="L70" s="249"/>
      <c r="M70" s="249"/>
      <c r="N70" s="255"/>
      <c r="O70" s="275"/>
      <c r="P70" s="250"/>
    </row>
    <row r="71" spans="1:16" ht="18" customHeight="1" x14ac:dyDescent="0.3">
      <c r="A71" s="256">
        <v>45600</v>
      </c>
      <c r="B71" s="245" t="s">
        <v>287</v>
      </c>
      <c r="C71" s="246"/>
      <c r="D71" s="255" t="s">
        <v>259</v>
      </c>
      <c r="E71" s="252" t="s">
        <v>342</v>
      </c>
      <c r="F71" s="252"/>
      <c r="G71" s="255" t="s">
        <v>118</v>
      </c>
      <c r="H71" s="249">
        <v>15680</v>
      </c>
      <c r="I71" s="258"/>
      <c r="J71" s="258"/>
      <c r="K71" s="249"/>
      <c r="L71" s="249"/>
      <c r="M71" s="249"/>
      <c r="N71" s="255"/>
      <c r="O71" s="275"/>
      <c r="P71" s="250"/>
    </row>
    <row r="72" spans="1:16" ht="18" customHeight="1" x14ac:dyDescent="0.3">
      <c r="A72" s="256">
        <v>45601</v>
      </c>
      <c r="B72" s="245" t="s">
        <v>145</v>
      </c>
      <c r="C72" s="246"/>
      <c r="D72" s="255" t="s">
        <v>90</v>
      </c>
      <c r="E72" s="252"/>
      <c r="F72" s="252"/>
      <c r="G72" s="255">
        <v>5920</v>
      </c>
      <c r="H72" s="249">
        <v>320000</v>
      </c>
      <c r="I72" s="258"/>
      <c r="J72" s="258"/>
      <c r="K72" s="249"/>
      <c r="L72" s="249"/>
      <c r="M72" s="249"/>
      <c r="N72" s="255"/>
      <c r="O72" s="275"/>
      <c r="P72" s="250"/>
    </row>
    <row r="73" spans="1:16" ht="18" customHeight="1" x14ac:dyDescent="0.3">
      <c r="A73" s="256">
        <v>45602</v>
      </c>
      <c r="B73" s="245" t="s">
        <v>321</v>
      </c>
      <c r="C73" s="246"/>
      <c r="D73" s="255" t="s">
        <v>90</v>
      </c>
      <c r="E73" s="252"/>
      <c r="F73" s="252">
        <v>2332</v>
      </c>
      <c r="G73" s="255">
        <v>5922</v>
      </c>
      <c r="H73" s="249">
        <v>3353500</v>
      </c>
      <c r="I73" s="258"/>
      <c r="J73" s="258"/>
      <c r="K73" s="249"/>
      <c r="L73" s="249"/>
      <c r="M73" s="249"/>
      <c r="N73" s="255"/>
      <c r="O73" s="275"/>
      <c r="P73" s="250"/>
    </row>
    <row r="74" spans="1:16" ht="18" customHeight="1" x14ac:dyDescent="0.3">
      <c r="A74" s="256">
        <v>45607</v>
      </c>
      <c r="B74" s="245" t="s">
        <v>287</v>
      </c>
      <c r="C74" s="246"/>
      <c r="D74" s="255" t="s">
        <v>259</v>
      </c>
      <c r="E74" s="252" t="s">
        <v>357</v>
      </c>
      <c r="F74" s="252"/>
      <c r="G74" s="255" t="s">
        <v>118</v>
      </c>
      <c r="H74" s="249">
        <v>47040</v>
      </c>
      <c r="I74" s="258"/>
      <c r="J74" s="258"/>
      <c r="K74" s="249"/>
      <c r="L74" s="249"/>
      <c r="M74" s="249"/>
      <c r="N74" s="255"/>
      <c r="O74" s="275"/>
      <c r="P74" s="250"/>
    </row>
    <row r="75" spans="1:16" ht="18" customHeight="1" x14ac:dyDescent="0.3">
      <c r="A75" s="256">
        <v>45611</v>
      </c>
      <c r="B75" s="245" t="s">
        <v>287</v>
      </c>
      <c r="C75" s="246"/>
      <c r="D75" s="255" t="s">
        <v>259</v>
      </c>
      <c r="E75" s="252" t="s">
        <v>369</v>
      </c>
      <c r="F75" s="252"/>
      <c r="G75" s="255" t="s">
        <v>118</v>
      </c>
      <c r="H75" s="249">
        <v>71680</v>
      </c>
      <c r="I75" s="258"/>
      <c r="J75" s="258"/>
      <c r="K75" s="249"/>
      <c r="L75" s="249"/>
      <c r="M75" s="249"/>
      <c r="N75" s="255"/>
      <c r="O75" s="275"/>
      <c r="P75" s="250"/>
    </row>
    <row r="76" spans="1:16" ht="18" customHeight="1" x14ac:dyDescent="0.3">
      <c r="A76" s="256">
        <v>45616</v>
      </c>
      <c r="B76" s="245" t="s">
        <v>270</v>
      </c>
      <c r="C76" s="246"/>
      <c r="D76" s="255" t="s">
        <v>90</v>
      </c>
      <c r="E76" s="252"/>
      <c r="F76" s="252">
        <v>2334</v>
      </c>
      <c r="G76" s="255" t="s">
        <v>373</v>
      </c>
      <c r="H76" s="249">
        <v>113500</v>
      </c>
      <c r="I76" s="258"/>
      <c r="J76" s="258"/>
      <c r="K76" s="249"/>
      <c r="L76" s="249"/>
      <c r="M76" s="249"/>
      <c r="N76" s="255"/>
      <c r="O76" s="275"/>
      <c r="P76" s="250"/>
    </row>
    <row r="77" spans="1:16" s="267" customFormat="1" ht="18" customHeight="1" x14ac:dyDescent="0.2">
      <c r="A77" s="261"/>
      <c r="B77" s="262" t="s">
        <v>7</v>
      </c>
      <c r="C77" s="263"/>
      <c r="D77" s="264" t="s">
        <v>140</v>
      </c>
      <c r="E77" s="263"/>
      <c r="F77" s="263"/>
      <c r="G77" s="265"/>
      <c r="H77" s="266">
        <f t="shared" ref="H77:N77" si="0">SUM(H7:H76)</f>
        <v>6543928.0899999999</v>
      </c>
      <c r="I77" s="266">
        <f t="shared" si="0"/>
        <v>590518.4</v>
      </c>
      <c r="J77" s="266">
        <f t="shared" si="0"/>
        <v>1130875</v>
      </c>
      <c r="K77" s="266">
        <f t="shared" si="0"/>
        <v>691900</v>
      </c>
      <c r="L77" s="266">
        <f t="shared" si="0"/>
        <v>206450</v>
      </c>
      <c r="M77" s="266">
        <f t="shared" si="0"/>
        <v>0</v>
      </c>
      <c r="N77" s="266">
        <f t="shared" si="0"/>
        <v>8526138.2100000009</v>
      </c>
      <c r="O77" s="273"/>
      <c r="P77" s="266">
        <f>(H77+I77+J77+K77+L77+N77)</f>
        <v>17689809.700000003</v>
      </c>
    </row>
    <row r="78" spans="1:16" x14ac:dyDescent="0.3">
      <c r="A78" s="268" t="s">
        <v>64</v>
      </c>
      <c r="F78" s="233" t="s">
        <v>64</v>
      </c>
    </row>
    <row r="80" spans="1:16" x14ac:dyDescent="0.3">
      <c r="E80" s="231" t="s">
        <v>324</v>
      </c>
      <c r="N80" s="236"/>
    </row>
    <row r="81" spans="6:16" x14ac:dyDescent="0.3">
      <c r="F81" s="233" t="s">
        <v>64</v>
      </c>
      <c r="N81" s="236"/>
    </row>
    <row r="82" spans="6:16" x14ac:dyDescent="0.3">
      <c r="G82" s="231"/>
      <c r="H82" s="231"/>
      <c r="I82" s="231" t="s">
        <v>64</v>
      </c>
      <c r="J82" s="231"/>
      <c r="N82" s="236"/>
      <c r="O82" s="278"/>
    </row>
    <row r="83" spans="6:16" x14ac:dyDescent="0.3">
      <c r="N83" s="236"/>
      <c r="P83" s="236"/>
    </row>
    <row r="84" spans="6:16" x14ac:dyDescent="0.3">
      <c r="N84" s="236"/>
    </row>
    <row r="85" spans="6:16" x14ac:dyDescent="0.3">
      <c r="N85" s="236"/>
    </row>
    <row r="86" spans="6:16" x14ac:dyDescent="0.3">
      <c r="N86" s="236"/>
    </row>
    <row r="87" spans="6:16" x14ac:dyDescent="0.3">
      <c r="N87" s="236"/>
    </row>
    <row r="88" spans="6:16" x14ac:dyDescent="0.3">
      <c r="N88" s="236"/>
    </row>
    <row r="89" spans="6:16" x14ac:dyDescent="0.3">
      <c r="N89" s="236"/>
    </row>
    <row r="90" spans="6:16" x14ac:dyDescent="0.3">
      <c r="N90" s="236"/>
    </row>
    <row r="91" spans="6:16" x14ac:dyDescent="0.3">
      <c r="N91" s="269"/>
    </row>
    <row r="92" spans="6:16" x14ac:dyDescent="0.3">
      <c r="N92" s="270"/>
    </row>
    <row r="93" spans="6:16" x14ac:dyDescent="0.3">
      <c r="N93" s="271"/>
    </row>
    <row r="94" spans="6:16" x14ac:dyDescent="0.3">
      <c r="N94" s="270"/>
    </row>
    <row r="95" spans="6:16" x14ac:dyDescent="0.3">
      <c r="N95" s="271"/>
    </row>
  </sheetData>
  <mergeCells count="4">
    <mergeCell ref="A1:P1"/>
    <mergeCell ref="A2:P2"/>
    <mergeCell ref="A3:P3"/>
    <mergeCell ref="A4:P4"/>
  </mergeCells>
  <pageMargins left="0.23622047244094491" right="0.23622047244094491" top="0.23622047244094491" bottom="0.23622047244094491" header="0.31496062992125984" footer="0.31496062992125984"/>
  <pageSetup paperSize="5" scale="73" orientation="landscape" horizontalDpi="360" verticalDpi="36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2"/>
  <sheetViews>
    <sheetView workbookViewId="0">
      <selection activeCell="B30" sqref="B30"/>
    </sheetView>
  </sheetViews>
  <sheetFormatPr defaultRowHeight="15" x14ac:dyDescent="0.25"/>
  <cols>
    <col min="2" max="2" width="22.28515625" customWidth="1"/>
    <col min="6" max="6" width="16.42578125" bestFit="1" customWidth="1"/>
  </cols>
  <sheetData>
    <row r="2" spans="1:7" ht="25.5" x14ac:dyDescent="0.35">
      <c r="A2" s="668" t="s">
        <v>459</v>
      </c>
      <c r="B2" s="669"/>
      <c r="F2" s="678" t="s">
        <v>461</v>
      </c>
    </row>
    <row r="3" spans="1:7" x14ac:dyDescent="0.25">
      <c r="F3" s="96"/>
    </row>
    <row r="4" spans="1:7" ht="22.5" x14ac:dyDescent="0.3">
      <c r="A4" s="672" t="s">
        <v>460</v>
      </c>
      <c r="B4" s="671"/>
      <c r="F4" s="96">
        <v>3375583.2</v>
      </c>
    </row>
    <row r="5" spans="1:7" x14ac:dyDescent="0.25">
      <c r="F5" s="678"/>
    </row>
    <row r="6" spans="1:7" ht="22.5" x14ac:dyDescent="0.3">
      <c r="A6" s="673" t="s">
        <v>462</v>
      </c>
      <c r="B6" s="673"/>
      <c r="F6" s="96">
        <v>324491.02</v>
      </c>
    </row>
    <row r="7" spans="1:7" x14ac:dyDescent="0.25">
      <c r="F7" s="678"/>
    </row>
    <row r="8" spans="1:7" ht="22.5" x14ac:dyDescent="0.3">
      <c r="A8" s="674" t="s">
        <v>463</v>
      </c>
      <c r="B8" s="674"/>
      <c r="F8" s="679">
        <v>290070</v>
      </c>
      <c r="G8" t="s">
        <v>464</v>
      </c>
    </row>
    <row r="9" spans="1:7" x14ac:dyDescent="0.25">
      <c r="F9" s="678"/>
    </row>
    <row r="10" spans="1:7" ht="22.5" x14ac:dyDescent="0.3">
      <c r="A10" s="675" t="s">
        <v>465</v>
      </c>
      <c r="B10" s="675"/>
      <c r="F10" s="679">
        <v>1406500</v>
      </c>
      <c r="G10" t="s">
        <v>464</v>
      </c>
    </row>
    <row r="11" spans="1:7" x14ac:dyDescent="0.25">
      <c r="F11" s="678"/>
    </row>
    <row r="12" spans="1:7" ht="22.5" x14ac:dyDescent="0.3">
      <c r="A12" s="676" t="s">
        <v>434</v>
      </c>
      <c r="B12" s="676"/>
      <c r="F12" s="679">
        <v>3105000</v>
      </c>
    </row>
    <row r="13" spans="1:7" x14ac:dyDescent="0.25">
      <c r="F13" s="678"/>
    </row>
    <row r="14" spans="1:7" ht="22.5" x14ac:dyDescent="0.3">
      <c r="A14" s="677" t="s">
        <v>466</v>
      </c>
      <c r="B14" s="677"/>
      <c r="F14" s="679">
        <v>297900</v>
      </c>
    </row>
    <row r="16" spans="1:7" ht="22.5" x14ac:dyDescent="0.3">
      <c r="A16" s="680" t="s">
        <v>467</v>
      </c>
      <c r="B16" s="680"/>
      <c r="F16" s="679">
        <v>117500</v>
      </c>
    </row>
    <row r="17" spans="1:6" x14ac:dyDescent="0.25">
      <c r="F17" s="678"/>
    </row>
    <row r="18" spans="1:6" ht="22.5" x14ac:dyDescent="0.3">
      <c r="A18" s="681" t="s">
        <v>468</v>
      </c>
      <c r="B18" s="681"/>
      <c r="F18" s="679">
        <v>228000</v>
      </c>
    </row>
    <row r="19" spans="1:6" x14ac:dyDescent="0.25">
      <c r="F19" s="678"/>
    </row>
    <row r="20" spans="1:6" ht="23.25" thickBot="1" x14ac:dyDescent="0.35">
      <c r="A20" s="682" t="s">
        <v>469</v>
      </c>
      <c r="B20" s="682"/>
      <c r="F20" s="679">
        <v>837875</v>
      </c>
    </row>
    <row r="21" spans="1:6" ht="15.75" thickTop="1" x14ac:dyDescent="0.25">
      <c r="F21" s="678"/>
    </row>
    <row r="22" spans="1:6" ht="22.5" x14ac:dyDescent="0.3">
      <c r="A22" s="670" t="s">
        <v>470</v>
      </c>
      <c r="B22" s="670"/>
      <c r="F22" s="679">
        <v>46500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L37" sqref="L37"/>
    </sheetView>
  </sheetViews>
  <sheetFormatPr defaultRowHeight="15" x14ac:dyDescent="0.25"/>
  <cols>
    <col min="1" max="1" width="10.7109375" bestFit="1" customWidth="1"/>
    <col min="2" max="2" width="20.5703125" customWidth="1"/>
    <col min="3" max="3" width="10.5703125" bestFit="1" customWidth="1"/>
    <col min="4" max="4" width="25" customWidth="1"/>
    <col min="5" max="5" width="18.5703125" customWidth="1"/>
    <col min="6" max="6" width="16.42578125" customWidth="1"/>
  </cols>
  <sheetData>
    <row r="1" spans="1:7" x14ac:dyDescent="0.25">
      <c r="A1" s="1089" t="s">
        <v>268</v>
      </c>
      <c r="B1" s="1089"/>
      <c r="C1" s="1089"/>
      <c r="D1" s="1089"/>
      <c r="E1" s="1089"/>
      <c r="F1" s="1089"/>
      <c r="G1" s="1089"/>
    </row>
    <row r="2" spans="1:7" x14ac:dyDescent="0.25">
      <c r="A2" s="1089"/>
      <c r="B2" s="1089"/>
      <c r="C2" s="1089"/>
      <c r="D2" s="1089"/>
      <c r="E2" s="1089"/>
      <c r="F2" s="1089"/>
      <c r="G2" s="1089"/>
    </row>
    <row r="3" spans="1:7" x14ac:dyDescent="0.25">
      <c r="A3" s="1089"/>
      <c r="B3" s="1089"/>
      <c r="C3" s="1089"/>
      <c r="D3" s="1089"/>
      <c r="E3" s="1089"/>
      <c r="F3" s="1089"/>
      <c r="G3" s="1089"/>
    </row>
    <row r="4" spans="1:7" x14ac:dyDescent="0.25">
      <c r="A4" s="96"/>
      <c r="B4" s="96"/>
      <c r="C4" s="211"/>
      <c r="D4" s="96"/>
      <c r="E4" s="96"/>
      <c r="F4" s="96"/>
      <c r="G4" s="96"/>
    </row>
    <row r="5" spans="1:7" x14ac:dyDescent="0.25">
      <c r="A5" s="21" t="s">
        <v>0</v>
      </c>
      <c r="B5" s="23" t="s">
        <v>82</v>
      </c>
      <c r="C5" s="26" t="s">
        <v>11</v>
      </c>
      <c r="D5" s="24" t="s">
        <v>14</v>
      </c>
      <c r="E5" s="25" t="s">
        <v>15</v>
      </c>
      <c r="F5" s="21" t="s">
        <v>16</v>
      </c>
      <c r="G5" s="26" t="s">
        <v>6</v>
      </c>
    </row>
  </sheetData>
  <mergeCells count="1">
    <mergeCell ref="A1:G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election activeCell="G31" sqref="G31"/>
    </sheetView>
  </sheetViews>
  <sheetFormatPr defaultRowHeight="15" x14ac:dyDescent="0.25"/>
  <cols>
    <col min="1" max="1" width="11.42578125" customWidth="1"/>
    <col min="2" max="2" width="11.42578125" style="28" customWidth="1"/>
    <col min="3" max="3" width="11.5703125" customWidth="1"/>
    <col min="4" max="4" width="21.7109375" style="29" customWidth="1"/>
    <col min="5" max="5" width="15" style="29" customWidth="1"/>
    <col min="6" max="6" width="12.42578125" style="48" customWidth="1"/>
    <col min="7" max="7" width="37.28515625" customWidth="1"/>
    <col min="8" max="8" width="18.85546875" customWidth="1"/>
    <col min="9" max="9" width="21.5703125" customWidth="1"/>
    <col min="10" max="10" width="14.85546875" customWidth="1"/>
  </cols>
  <sheetData>
    <row r="1" spans="1:11" x14ac:dyDescent="0.25">
      <c r="A1" s="1089" t="s">
        <v>152</v>
      </c>
      <c r="B1" s="1089"/>
      <c r="C1" s="1089"/>
      <c r="D1" s="1089"/>
      <c r="E1" s="1089"/>
      <c r="F1" s="1089"/>
      <c r="G1" s="1089"/>
      <c r="H1" s="1089"/>
      <c r="I1" s="1089"/>
      <c r="J1" s="1089"/>
    </row>
    <row r="2" spans="1:11" x14ac:dyDescent="0.25">
      <c r="A2" s="1089"/>
      <c r="B2" s="1089"/>
      <c r="C2" s="1089"/>
      <c r="D2" s="1089"/>
      <c r="E2" s="1089"/>
      <c r="F2" s="1089"/>
      <c r="G2" s="1089"/>
      <c r="H2" s="1089"/>
      <c r="I2" s="1089"/>
      <c r="J2" s="1089"/>
    </row>
    <row r="3" spans="1:11" x14ac:dyDescent="0.25">
      <c r="A3" s="1089"/>
      <c r="B3" s="1089"/>
      <c r="C3" s="1089"/>
      <c r="D3" s="1089"/>
      <c r="E3" s="1089"/>
      <c r="F3" s="1089"/>
      <c r="G3" s="1089"/>
      <c r="H3" s="1089"/>
      <c r="I3" s="1089"/>
      <c r="J3" s="1089"/>
    </row>
    <row r="4" spans="1:11" x14ac:dyDescent="0.25">
      <c r="A4" s="96"/>
      <c r="B4" s="96"/>
      <c r="C4" s="96"/>
      <c r="D4" s="96"/>
      <c r="E4" s="96"/>
      <c r="F4" s="47"/>
      <c r="G4" s="96"/>
      <c r="H4" s="96"/>
      <c r="I4" s="96"/>
      <c r="J4" s="96"/>
    </row>
    <row r="5" spans="1:11" x14ac:dyDescent="0.25">
      <c r="A5" s="37" t="s">
        <v>6</v>
      </c>
      <c r="B5" s="21" t="s">
        <v>0</v>
      </c>
      <c r="C5" s="22" t="s">
        <v>12</v>
      </c>
      <c r="D5" s="23" t="s">
        <v>13</v>
      </c>
      <c r="E5" s="23" t="s">
        <v>82</v>
      </c>
      <c r="F5" s="26" t="s">
        <v>11</v>
      </c>
      <c r="G5" s="24" t="s">
        <v>14</v>
      </c>
      <c r="H5" s="25" t="s">
        <v>15</v>
      </c>
      <c r="I5" s="21" t="s">
        <v>16</v>
      </c>
      <c r="J5" s="26" t="s">
        <v>6</v>
      </c>
      <c r="K5" s="27"/>
    </row>
    <row r="6" spans="1:11" s="37" customFormat="1" x14ac:dyDescent="0.25">
      <c r="B6" s="38"/>
      <c r="C6" s="39"/>
      <c r="F6" s="125"/>
      <c r="G6" s="40"/>
    </row>
    <row r="7" spans="1:11" s="142" customFormat="1" ht="15.75" x14ac:dyDescent="0.25">
      <c r="A7" s="140" t="s">
        <v>32</v>
      </c>
      <c r="B7" s="141"/>
      <c r="D7" s="143"/>
      <c r="E7" s="143"/>
      <c r="F7" s="144" t="e">
        <f>SUM(#REF!)</f>
        <v>#REF!</v>
      </c>
    </row>
    <row r="9" spans="1:11" x14ac:dyDescent="0.25">
      <c r="H9" t="s">
        <v>113</v>
      </c>
    </row>
    <row r="31" spans="7:7" x14ac:dyDescent="0.25">
      <c r="G31">
        <v>41</v>
      </c>
    </row>
  </sheetData>
  <mergeCells count="1">
    <mergeCell ref="A1:J3"/>
  </mergeCells>
  <pageMargins left="0.7" right="0.7" top="0.75" bottom="0.75" header="0.3" footer="0.3"/>
  <pageSetup orientation="portrait"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85"/>
  <sheetViews>
    <sheetView topLeftCell="A67" workbookViewId="0">
      <selection activeCell="A63" sqref="A63:XFD63"/>
    </sheetView>
  </sheetViews>
  <sheetFormatPr defaultRowHeight="21" x14ac:dyDescent="0.35"/>
  <cols>
    <col min="1" max="1" width="26.5703125" style="354" customWidth="1"/>
    <col min="2" max="2" width="36" style="330" customWidth="1"/>
    <col min="3" max="3" width="19" style="339" customWidth="1"/>
    <col min="4" max="4" width="9.140625" style="330"/>
    <col min="5" max="5" width="21.28515625" style="339" customWidth="1"/>
    <col min="6" max="6" width="16" style="330" customWidth="1"/>
    <col min="7" max="9" width="9.140625" style="330"/>
    <col min="10" max="10" width="11.5703125" style="330" bestFit="1" customWidth="1"/>
    <col min="11" max="16384" width="9.140625" style="330"/>
  </cols>
  <sheetData>
    <row r="3" spans="1:6" x14ac:dyDescent="0.35">
      <c r="A3" s="1090" t="s">
        <v>21</v>
      </c>
      <c r="B3" s="1090"/>
      <c r="C3" s="1090"/>
      <c r="D3" s="1090"/>
      <c r="E3" s="1090"/>
      <c r="F3" s="1090"/>
    </row>
    <row r="4" spans="1:6" x14ac:dyDescent="0.35">
      <c r="A4" s="1090" t="s">
        <v>25</v>
      </c>
      <c r="B4" s="1090"/>
      <c r="C4" s="1090"/>
      <c r="D4" s="1090"/>
      <c r="E4" s="1090"/>
      <c r="F4" s="1090"/>
    </row>
    <row r="5" spans="1:6" x14ac:dyDescent="0.35">
      <c r="A5" s="331"/>
      <c r="B5" s="332"/>
      <c r="C5" s="333"/>
      <c r="D5" s="334"/>
      <c r="E5" s="335"/>
      <c r="F5" s="336"/>
    </row>
    <row r="6" spans="1:6" x14ac:dyDescent="0.35">
      <c r="A6" s="331" t="s">
        <v>26</v>
      </c>
      <c r="B6" s="334" t="s">
        <v>18</v>
      </c>
      <c r="C6" s="333" t="s">
        <v>19</v>
      </c>
      <c r="D6" s="334" t="s">
        <v>20</v>
      </c>
      <c r="E6" s="333" t="s">
        <v>11</v>
      </c>
      <c r="F6" s="334" t="s">
        <v>6</v>
      </c>
    </row>
    <row r="7" spans="1:6" x14ac:dyDescent="0.35">
      <c r="A7" s="331"/>
      <c r="B7" s="334"/>
      <c r="C7" s="333"/>
      <c r="D7" s="334"/>
      <c r="E7" s="333"/>
      <c r="F7" s="334"/>
    </row>
    <row r="8" spans="1:6" x14ac:dyDescent="0.35">
      <c r="A8" s="337">
        <v>43818</v>
      </c>
      <c r="B8" s="338" t="s">
        <v>62</v>
      </c>
      <c r="C8" s="339">
        <v>659169.19999999995</v>
      </c>
      <c r="D8" s="340">
        <v>0.1</v>
      </c>
      <c r="E8" s="339">
        <v>65916.92</v>
      </c>
    </row>
    <row r="9" spans="1:6" x14ac:dyDescent="0.35">
      <c r="A9" s="337">
        <v>43818</v>
      </c>
      <c r="B9" s="338" t="s">
        <v>62</v>
      </c>
      <c r="C9" s="339">
        <v>1396246.89</v>
      </c>
      <c r="D9" s="340">
        <v>0.1</v>
      </c>
      <c r="E9" s="339">
        <v>139624.69</v>
      </c>
    </row>
    <row r="10" spans="1:6" x14ac:dyDescent="0.35">
      <c r="A10" s="341">
        <v>43893</v>
      </c>
      <c r="B10" s="338" t="s">
        <v>79</v>
      </c>
      <c r="C10" s="339">
        <v>1787916.07</v>
      </c>
      <c r="D10" s="340">
        <v>0.1</v>
      </c>
      <c r="E10" s="339">
        <v>178791.61</v>
      </c>
      <c r="F10" s="342" t="s">
        <v>298</v>
      </c>
    </row>
    <row r="11" spans="1:6" x14ac:dyDescent="0.35">
      <c r="A11" s="341">
        <v>43893</v>
      </c>
      <c r="B11" s="338" t="s">
        <v>80</v>
      </c>
      <c r="C11" s="339">
        <v>553593.48</v>
      </c>
      <c r="D11" s="340">
        <v>0.1</v>
      </c>
      <c r="E11" s="339">
        <v>55359.35</v>
      </c>
      <c r="F11" s="342" t="s">
        <v>329</v>
      </c>
    </row>
    <row r="12" spans="1:6" x14ac:dyDescent="0.35">
      <c r="A12" s="341"/>
      <c r="B12" s="338" t="s">
        <v>81</v>
      </c>
      <c r="C12" s="339">
        <v>6355433.8099999996</v>
      </c>
      <c r="D12" s="340">
        <v>0.1</v>
      </c>
      <c r="E12" s="339">
        <v>635543.38</v>
      </c>
    </row>
    <row r="13" spans="1:6" x14ac:dyDescent="0.35">
      <c r="A13" s="341">
        <v>44259</v>
      </c>
      <c r="B13" s="338" t="s">
        <v>84</v>
      </c>
      <c r="C13" s="339">
        <v>1853651.31</v>
      </c>
      <c r="D13" s="340">
        <v>0.1</v>
      </c>
      <c r="E13" s="339">
        <v>185365.13</v>
      </c>
    </row>
    <row r="14" spans="1:6" x14ac:dyDescent="0.35">
      <c r="A14" s="341">
        <v>44140</v>
      </c>
      <c r="B14" s="338" t="s">
        <v>87</v>
      </c>
      <c r="C14" s="339">
        <v>70000</v>
      </c>
      <c r="D14" s="340">
        <v>0.01</v>
      </c>
      <c r="E14" s="339">
        <v>700</v>
      </c>
      <c r="F14" s="330" t="s">
        <v>128</v>
      </c>
    </row>
    <row r="15" spans="1:6" x14ac:dyDescent="0.35">
      <c r="A15" s="341">
        <v>44140</v>
      </c>
      <c r="B15" s="338" t="s">
        <v>86</v>
      </c>
      <c r="C15" s="339">
        <v>280000</v>
      </c>
      <c r="D15" s="340">
        <v>0.01</v>
      </c>
      <c r="E15" s="339">
        <v>2800</v>
      </c>
      <c r="F15" s="330" t="s">
        <v>192</v>
      </c>
    </row>
    <row r="16" spans="1:6" ht="42" x14ac:dyDescent="0.35">
      <c r="A16" s="341">
        <v>44369</v>
      </c>
      <c r="B16" s="343" t="s">
        <v>103</v>
      </c>
      <c r="C16" s="339">
        <v>996614.36</v>
      </c>
      <c r="D16" s="340">
        <v>0.1</v>
      </c>
      <c r="E16" s="339">
        <v>99661.64</v>
      </c>
    </row>
    <row r="17" spans="1:6" ht="42" x14ac:dyDescent="0.35">
      <c r="A17" s="341">
        <v>44371</v>
      </c>
      <c r="B17" s="343" t="s">
        <v>114</v>
      </c>
      <c r="C17" s="339">
        <v>987160</v>
      </c>
      <c r="D17" s="340">
        <v>0.01</v>
      </c>
      <c r="E17" s="339">
        <v>9871.6</v>
      </c>
      <c r="F17" s="330" t="s">
        <v>330</v>
      </c>
    </row>
    <row r="18" spans="1:6" x14ac:dyDescent="0.35">
      <c r="A18" s="341">
        <v>44540</v>
      </c>
      <c r="B18" s="344" t="s">
        <v>127</v>
      </c>
      <c r="C18" s="339">
        <v>316000</v>
      </c>
      <c r="D18" s="340">
        <v>0.01</v>
      </c>
      <c r="E18" s="339">
        <v>3160</v>
      </c>
      <c r="F18" s="330" t="s">
        <v>291</v>
      </c>
    </row>
    <row r="19" spans="1:6" ht="42" x14ac:dyDescent="0.35">
      <c r="A19" s="341">
        <v>44126</v>
      </c>
      <c r="B19" s="345" t="s">
        <v>137</v>
      </c>
      <c r="C19" s="339">
        <v>899500</v>
      </c>
      <c r="D19" s="340">
        <v>0.01</v>
      </c>
      <c r="E19" s="339">
        <v>8995</v>
      </c>
      <c r="F19" s="330" t="s">
        <v>293</v>
      </c>
    </row>
    <row r="20" spans="1:6" ht="42" x14ac:dyDescent="0.35">
      <c r="A20" s="341">
        <v>44896</v>
      </c>
      <c r="B20" s="343" t="s">
        <v>146</v>
      </c>
      <c r="C20" s="339">
        <v>685301.67</v>
      </c>
      <c r="D20" s="340">
        <v>0.1</v>
      </c>
      <c r="E20" s="346">
        <v>68530.17</v>
      </c>
      <c r="F20" s="342"/>
    </row>
    <row r="21" spans="1:6" ht="42" x14ac:dyDescent="0.35">
      <c r="A21" s="341" t="s">
        <v>148</v>
      </c>
      <c r="B21" s="343" t="s">
        <v>147</v>
      </c>
      <c r="C21" s="339">
        <v>317847.96000000002</v>
      </c>
      <c r="D21" s="340">
        <v>0.1</v>
      </c>
      <c r="E21" s="346">
        <v>31784.799999999999</v>
      </c>
      <c r="F21" s="342"/>
    </row>
    <row r="22" spans="1:6" ht="42" x14ac:dyDescent="0.35">
      <c r="A22" s="341">
        <v>44714</v>
      </c>
      <c r="B22" s="343" t="s">
        <v>240</v>
      </c>
      <c r="C22" s="339">
        <v>241662.29</v>
      </c>
      <c r="D22" s="340">
        <v>0.1</v>
      </c>
      <c r="E22" s="347">
        <v>24166.23</v>
      </c>
      <c r="F22" s="342"/>
    </row>
    <row r="23" spans="1:6" ht="42" x14ac:dyDescent="0.35">
      <c r="A23" s="341">
        <v>44760</v>
      </c>
      <c r="B23" s="345" t="s">
        <v>154</v>
      </c>
      <c r="C23" s="339">
        <v>899500</v>
      </c>
      <c r="D23" s="340">
        <v>0.01</v>
      </c>
      <c r="E23" s="346">
        <v>8995</v>
      </c>
      <c r="F23" s="338" t="s">
        <v>292</v>
      </c>
    </row>
    <row r="24" spans="1:6" ht="42" x14ac:dyDescent="0.35">
      <c r="A24" s="341">
        <v>44496</v>
      </c>
      <c r="B24" s="343" t="s">
        <v>156</v>
      </c>
      <c r="C24" s="339">
        <v>1731046</v>
      </c>
      <c r="D24" s="340">
        <v>0.1</v>
      </c>
      <c r="E24" s="346">
        <v>173104.6</v>
      </c>
      <c r="F24" s="342" t="s">
        <v>283</v>
      </c>
    </row>
    <row r="25" spans="1:6" ht="41.25" x14ac:dyDescent="0.35">
      <c r="A25" s="348">
        <v>44594</v>
      </c>
      <c r="B25" s="349" t="s">
        <v>215</v>
      </c>
      <c r="C25" s="339">
        <v>860000</v>
      </c>
      <c r="D25" s="340">
        <v>0.1</v>
      </c>
      <c r="E25" s="346">
        <v>86000</v>
      </c>
      <c r="F25" s="342" t="s">
        <v>283</v>
      </c>
    </row>
    <row r="26" spans="1:6" ht="42" x14ac:dyDescent="0.35">
      <c r="A26" s="341">
        <v>44846</v>
      </c>
      <c r="B26" s="343" t="s">
        <v>161</v>
      </c>
      <c r="C26" s="339">
        <v>1059339.49</v>
      </c>
      <c r="D26" s="340">
        <v>0.1</v>
      </c>
      <c r="E26" s="346">
        <v>105933.95</v>
      </c>
      <c r="F26" s="342"/>
    </row>
    <row r="27" spans="1:6" ht="42" x14ac:dyDescent="0.35">
      <c r="A27" s="341" t="s">
        <v>178</v>
      </c>
      <c r="B27" s="343" t="s">
        <v>180</v>
      </c>
      <c r="C27" s="339">
        <v>3955343.62</v>
      </c>
      <c r="D27" s="340">
        <v>0.1</v>
      </c>
      <c r="E27" s="346">
        <v>395534.36</v>
      </c>
      <c r="F27" s="342"/>
    </row>
    <row r="28" spans="1:6" ht="42" x14ac:dyDescent="0.35">
      <c r="A28" s="341" t="s">
        <v>178</v>
      </c>
      <c r="B28" s="343" t="s">
        <v>183</v>
      </c>
      <c r="C28" s="339">
        <v>3754816.26</v>
      </c>
      <c r="D28" s="340">
        <v>0.1</v>
      </c>
      <c r="E28" s="346">
        <v>375481.63</v>
      </c>
      <c r="F28" s="342"/>
    </row>
    <row r="29" spans="1:6" ht="42" x14ac:dyDescent="0.35">
      <c r="A29" s="341">
        <v>44551</v>
      </c>
      <c r="B29" s="343" t="s">
        <v>184</v>
      </c>
      <c r="C29" s="339">
        <v>19023.43</v>
      </c>
      <c r="D29" s="340">
        <v>0.1</v>
      </c>
      <c r="E29" s="346">
        <v>1902.34</v>
      </c>
      <c r="F29" s="342"/>
    </row>
    <row r="30" spans="1:6" ht="42" x14ac:dyDescent="0.35">
      <c r="A30" s="341" t="s">
        <v>188</v>
      </c>
      <c r="B30" s="343" t="s">
        <v>189</v>
      </c>
      <c r="C30" s="339">
        <v>7354792.29</v>
      </c>
      <c r="D30" s="340">
        <v>0.1</v>
      </c>
      <c r="E30" s="346">
        <v>735479.23</v>
      </c>
      <c r="F30" s="342"/>
    </row>
    <row r="31" spans="1:6" ht="42" x14ac:dyDescent="0.35">
      <c r="A31" s="341" t="s">
        <v>194</v>
      </c>
      <c r="B31" s="343" t="s">
        <v>195</v>
      </c>
      <c r="C31" s="339">
        <v>1559532.88</v>
      </c>
      <c r="D31" s="340">
        <v>0.1</v>
      </c>
      <c r="E31" s="346">
        <v>155953.29</v>
      </c>
      <c r="F31" s="342"/>
    </row>
    <row r="32" spans="1:6" ht="63" x14ac:dyDescent="0.35">
      <c r="A32" s="341" t="s">
        <v>194</v>
      </c>
      <c r="B32" s="343" t="s">
        <v>196</v>
      </c>
      <c r="C32" s="339">
        <v>6309405.2699999996</v>
      </c>
      <c r="D32" s="340">
        <v>0.1</v>
      </c>
      <c r="E32" s="346">
        <v>630940.53</v>
      </c>
      <c r="F32" s="342"/>
    </row>
    <row r="33" spans="1:6" x14ac:dyDescent="0.35">
      <c r="A33" s="341">
        <v>44707</v>
      </c>
      <c r="B33" s="343" t="s">
        <v>197</v>
      </c>
      <c r="C33" s="339">
        <v>847662.5</v>
      </c>
      <c r="D33" s="340">
        <v>0.1</v>
      </c>
      <c r="E33" s="346">
        <v>84766.25</v>
      </c>
      <c r="F33" s="342" t="s">
        <v>408</v>
      </c>
    </row>
    <row r="34" spans="1:6" ht="42" x14ac:dyDescent="0.35">
      <c r="A34" s="341">
        <v>45002</v>
      </c>
      <c r="B34" s="343" t="s">
        <v>198</v>
      </c>
      <c r="C34" s="339">
        <v>1780185</v>
      </c>
      <c r="D34" s="340">
        <v>0.1</v>
      </c>
      <c r="E34" s="346">
        <v>178018.5</v>
      </c>
      <c r="F34" s="342" t="s">
        <v>283</v>
      </c>
    </row>
    <row r="35" spans="1:6" ht="42" x14ac:dyDescent="0.35">
      <c r="A35" s="341">
        <v>43879</v>
      </c>
      <c r="B35" s="343" t="s">
        <v>61</v>
      </c>
      <c r="C35" s="339">
        <v>2090148.6</v>
      </c>
      <c r="D35" s="340">
        <v>0.1</v>
      </c>
      <c r="E35" s="346">
        <v>209014.86</v>
      </c>
      <c r="F35" s="342" t="s">
        <v>218</v>
      </c>
    </row>
    <row r="36" spans="1:6" ht="42" x14ac:dyDescent="0.35">
      <c r="A36" s="341" t="s">
        <v>194</v>
      </c>
      <c r="B36" s="343" t="s">
        <v>200</v>
      </c>
      <c r="C36" s="339">
        <v>8180856.9800000004</v>
      </c>
      <c r="D36" s="340">
        <v>0.1</v>
      </c>
      <c r="E36" s="346">
        <v>818085.7</v>
      </c>
      <c r="F36" s="342"/>
    </row>
    <row r="37" spans="1:6" ht="42" x14ac:dyDescent="0.35">
      <c r="A37" s="341">
        <v>2022</v>
      </c>
      <c r="B37" s="343" t="s">
        <v>201</v>
      </c>
      <c r="C37" s="339">
        <v>3141270.88</v>
      </c>
      <c r="D37" s="340">
        <v>0.1</v>
      </c>
      <c r="E37" s="346">
        <v>314127.09000000003</v>
      </c>
      <c r="F37" s="342"/>
    </row>
    <row r="38" spans="1:6" ht="42" x14ac:dyDescent="0.35">
      <c r="A38" s="341" t="s">
        <v>194</v>
      </c>
      <c r="B38" s="343" t="s">
        <v>203</v>
      </c>
      <c r="C38" s="339">
        <v>2465300.0299999998</v>
      </c>
      <c r="D38" s="340">
        <v>0.1</v>
      </c>
      <c r="E38" s="346">
        <v>246530</v>
      </c>
      <c r="F38" s="342"/>
    </row>
    <row r="39" spans="1:6" ht="42" x14ac:dyDescent="0.35">
      <c r="A39" s="341" t="s">
        <v>194</v>
      </c>
      <c r="B39" s="343" t="s">
        <v>204</v>
      </c>
      <c r="C39" s="339">
        <v>1352500.65</v>
      </c>
      <c r="D39" s="340">
        <v>0.1</v>
      </c>
      <c r="E39" s="346">
        <v>135250.07</v>
      </c>
      <c r="F39" s="342"/>
    </row>
    <row r="40" spans="1:6" ht="42" x14ac:dyDescent="0.35">
      <c r="A40" s="341">
        <v>45078</v>
      </c>
      <c r="B40" s="343" t="s">
        <v>207</v>
      </c>
      <c r="C40" s="339">
        <v>1046555.95</v>
      </c>
      <c r="D40" s="340">
        <v>0.1</v>
      </c>
      <c r="E40" s="346">
        <v>104655.59</v>
      </c>
      <c r="F40" s="342" t="s">
        <v>283</v>
      </c>
    </row>
    <row r="41" spans="1:6" ht="63" x14ac:dyDescent="0.35">
      <c r="A41" s="341" t="s">
        <v>208</v>
      </c>
      <c r="B41" s="343" t="s">
        <v>209</v>
      </c>
      <c r="C41" s="339">
        <v>4673979.16</v>
      </c>
      <c r="D41" s="340">
        <v>0.1</v>
      </c>
      <c r="E41" s="346">
        <v>467397.92</v>
      </c>
      <c r="F41" s="342"/>
    </row>
    <row r="42" spans="1:6" ht="42" x14ac:dyDescent="0.35">
      <c r="A42" s="341" t="s">
        <v>178</v>
      </c>
      <c r="B42" s="343" t="s">
        <v>200</v>
      </c>
      <c r="C42" s="339">
        <v>2627300.69</v>
      </c>
      <c r="D42" s="340">
        <v>0.1</v>
      </c>
      <c r="E42" s="346">
        <v>262730.07</v>
      </c>
      <c r="F42" s="342"/>
    </row>
    <row r="43" spans="1:6" ht="42" x14ac:dyDescent="0.35">
      <c r="A43" s="341" t="s">
        <v>178</v>
      </c>
      <c r="B43" s="343" t="s">
        <v>211</v>
      </c>
      <c r="C43" s="339">
        <v>2595287.86</v>
      </c>
      <c r="D43" s="340">
        <v>0.1</v>
      </c>
      <c r="E43" s="346">
        <v>259528.79</v>
      </c>
      <c r="F43" s="342"/>
    </row>
    <row r="44" spans="1:6" ht="42" x14ac:dyDescent="0.35">
      <c r="A44" s="341" t="s">
        <v>178</v>
      </c>
      <c r="B44" s="343" t="s">
        <v>212</v>
      </c>
      <c r="C44" s="339">
        <v>1053515.04</v>
      </c>
      <c r="D44" s="340">
        <v>0.1</v>
      </c>
      <c r="E44" s="346">
        <v>105351.5</v>
      </c>
      <c r="F44" s="342"/>
    </row>
    <row r="45" spans="1:6" ht="42" x14ac:dyDescent="0.35">
      <c r="A45" s="341" t="s">
        <v>178</v>
      </c>
      <c r="B45" s="343" t="s">
        <v>213</v>
      </c>
      <c r="C45" s="339">
        <v>2676965.54</v>
      </c>
      <c r="D45" s="340">
        <v>0.1</v>
      </c>
      <c r="E45" s="346">
        <v>267696.55</v>
      </c>
      <c r="F45" s="342"/>
    </row>
    <row r="46" spans="1:6" ht="63" x14ac:dyDescent="0.35">
      <c r="A46" s="341" t="s">
        <v>178</v>
      </c>
      <c r="B46" s="343" t="s">
        <v>214</v>
      </c>
      <c r="C46" s="339">
        <v>1423887.7</v>
      </c>
      <c r="D46" s="340">
        <v>0.1</v>
      </c>
      <c r="E46" s="346">
        <v>142388.76999999999</v>
      </c>
      <c r="F46" s="342"/>
    </row>
    <row r="47" spans="1:6" ht="63" x14ac:dyDescent="0.35">
      <c r="A47" s="341" t="s">
        <v>178</v>
      </c>
      <c r="B47" s="343" t="s">
        <v>196</v>
      </c>
      <c r="C47" s="339">
        <v>1529310.83</v>
      </c>
      <c r="D47" s="340">
        <v>0.1</v>
      </c>
      <c r="E47" s="346">
        <v>152931.07999999999</v>
      </c>
      <c r="F47" s="342"/>
    </row>
    <row r="48" spans="1:6" x14ac:dyDescent="0.35">
      <c r="A48" s="341">
        <v>45184</v>
      </c>
      <c r="B48" s="343" t="s">
        <v>216</v>
      </c>
      <c r="C48" s="339">
        <v>2198900</v>
      </c>
      <c r="D48" s="340">
        <v>0.01</v>
      </c>
      <c r="E48" s="346">
        <v>21989</v>
      </c>
      <c r="F48" s="342" t="s">
        <v>297</v>
      </c>
    </row>
    <row r="49" spans="1:10" x14ac:dyDescent="0.35">
      <c r="A49" s="341">
        <v>45255</v>
      </c>
      <c r="B49" s="343" t="s">
        <v>219</v>
      </c>
      <c r="C49" s="339">
        <v>345000</v>
      </c>
      <c r="D49" s="340">
        <v>0.01</v>
      </c>
      <c r="E49" s="346">
        <v>3450</v>
      </c>
      <c r="F49" s="342"/>
    </row>
    <row r="50" spans="1:10" ht="42" x14ac:dyDescent="0.35">
      <c r="A50" s="341" t="s">
        <v>188</v>
      </c>
      <c r="B50" s="343" t="s">
        <v>213</v>
      </c>
      <c r="C50" s="339">
        <v>740999.8</v>
      </c>
      <c r="D50" s="340">
        <v>0.1</v>
      </c>
      <c r="E50" s="346">
        <v>74099.98</v>
      </c>
      <c r="F50" s="342"/>
    </row>
    <row r="51" spans="1:10" x14ac:dyDescent="0.35">
      <c r="A51" s="341">
        <v>45255</v>
      </c>
      <c r="B51" s="343" t="s">
        <v>219</v>
      </c>
      <c r="C51" s="339">
        <v>345000</v>
      </c>
      <c r="D51" s="340">
        <v>0.01</v>
      </c>
      <c r="E51" s="346">
        <v>3450</v>
      </c>
      <c r="F51" s="342"/>
    </row>
    <row r="52" spans="1:10" ht="42" x14ac:dyDescent="0.35">
      <c r="A52" s="341" t="s">
        <v>194</v>
      </c>
      <c r="B52" s="343" t="s">
        <v>220</v>
      </c>
      <c r="C52" s="339">
        <v>3377930.52</v>
      </c>
      <c r="D52" s="340">
        <v>0.1</v>
      </c>
      <c r="E52" s="346">
        <v>337793.05</v>
      </c>
      <c r="F52" s="342"/>
    </row>
    <row r="53" spans="1:10" ht="42" x14ac:dyDescent="0.35">
      <c r="A53" s="341" t="s">
        <v>194</v>
      </c>
      <c r="B53" s="343" t="s">
        <v>180</v>
      </c>
      <c r="C53" s="339">
        <v>1528622.01</v>
      </c>
      <c r="D53" s="340">
        <v>0.1</v>
      </c>
      <c r="E53" s="346">
        <v>152862.20000000001</v>
      </c>
      <c r="F53" s="342"/>
    </row>
    <row r="54" spans="1:10" s="342" customFormat="1" x14ac:dyDescent="0.35">
      <c r="A54" s="350">
        <v>44707</v>
      </c>
      <c r="B54" s="351" t="s">
        <v>222</v>
      </c>
      <c r="C54" s="352">
        <v>149587.5</v>
      </c>
      <c r="D54" s="353">
        <v>0.1</v>
      </c>
      <c r="E54" s="352">
        <v>14958.75</v>
      </c>
      <c r="F54" s="342" t="s">
        <v>407</v>
      </c>
    </row>
    <row r="55" spans="1:10" x14ac:dyDescent="0.35">
      <c r="A55" s="341" t="s">
        <v>194</v>
      </c>
      <c r="B55" s="343" t="s">
        <v>245</v>
      </c>
      <c r="C55" s="339">
        <v>1334172.58</v>
      </c>
      <c r="D55" s="340">
        <v>0.1</v>
      </c>
      <c r="E55" s="346">
        <v>133417.26</v>
      </c>
      <c r="F55" s="342"/>
    </row>
    <row r="56" spans="1:10" ht="42" x14ac:dyDescent="0.35">
      <c r="A56" s="341">
        <v>45226</v>
      </c>
      <c r="B56" s="343" t="s">
        <v>225</v>
      </c>
      <c r="C56" s="339">
        <v>1969642</v>
      </c>
      <c r="D56" s="340">
        <v>0.01</v>
      </c>
      <c r="E56" s="346">
        <v>19696.419999999998</v>
      </c>
      <c r="F56" s="342"/>
    </row>
    <row r="57" spans="1:10" x14ac:dyDescent="0.35">
      <c r="A57" s="341">
        <v>45261</v>
      </c>
      <c r="B57" s="343" t="s">
        <v>226</v>
      </c>
      <c r="C57" s="339">
        <v>810000</v>
      </c>
      <c r="D57" s="340">
        <v>0.01</v>
      </c>
      <c r="E57" s="346">
        <v>8100</v>
      </c>
      <c r="F57" s="342"/>
    </row>
    <row r="58" spans="1:10" x14ac:dyDescent="0.35">
      <c r="A58" s="341">
        <v>45252</v>
      </c>
      <c r="B58" s="343" t="s">
        <v>229</v>
      </c>
      <c r="C58" s="339">
        <v>2850</v>
      </c>
      <c r="D58" s="340">
        <v>0.01</v>
      </c>
      <c r="E58" s="346">
        <v>28.5</v>
      </c>
      <c r="F58" s="342"/>
    </row>
    <row r="59" spans="1:10" x14ac:dyDescent="0.35">
      <c r="A59" s="341">
        <v>45310</v>
      </c>
      <c r="B59" s="343" t="s">
        <v>232</v>
      </c>
      <c r="C59" s="339">
        <v>92000</v>
      </c>
      <c r="D59" s="340">
        <v>0.1</v>
      </c>
      <c r="E59" s="346">
        <v>9200</v>
      </c>
      <c r="F59" s="342"/>
    </row>
    <row r="60" spans="1:10" ht="63" x14ac:dyDescent="0.35">
      <c r="A60" s="341" t="s">
        <v>178</v>
      </c>
      <c r="B60" s="343" t="s">
        <v>242</v>
      </c>
      <c r="C60" s="339">
        <v>1780173.56</v>
      </c>
      <c r="D60" s="340">
        <v>0.1</v>
      </c>
      <c r="E60" s="346">
        <v>178017.36</v>
      </c>
      <c r="F60" s="342"/>
    </row>
    <row r="61" spans="1:10" ht="42" x14ac:dyDescent="0.35">
      <c r="A61" s="341" t="s">
        <v>178</v>
      </c>
      <c r="B61" s="343" t="s">
        <v>243</v>
      </c>
      <c r="C61" s="339">
        <v>1505786.73</v>
      </c>
      <c r="D61" s="340">
        <v>0.1</v>
      </c>
      <c r="E61" s="346">
        <v>150578.67000000001</v>
      </c>
      <c r="F61" s="342"/>
    </row>
    <row r="62" spans="1:10" x14ac:dyDescent="0.35">
      <c r="A62" s="341" t="s">
        <v>178</v>
      </c>
      <c r="B62" s="343" t="s">
        <v>244</v>
      </c>
      <c r="C62" s="339">
        <v>159550.19</v>
      </c>
      <c r="D62" s="340">
        <v>0.1</v>
      </c>
      <c r="E62" s="346">
        <v>1595501.85</v>
      </c>
      <c r="F62" s="342"/>
    </row>
    <row r="63" spans="1:10" ht="42" x14ac:dyDescent="0.35">
      <c r="A63" s="341">
        <v>45265</v>
      </c>
      <c r="B63" s="343" t="s">
        <v>246</v>
      </c>
      <c r="C63" s="339">
        <v>1894967.71</v>
      </c>
      <c r="D63" s="340">
        <v>0.1</v>
      </c>
      <c r="E63" s="346">
        <v>189496.77</v>
      </c>
      <c r="F63" s="342"/>
    </row>
    <row r="64" spans="1:10" ht="42" x14ac:dyDescent="0.35">
      <c r="A64" s="341">
        <v>45207</v>
      </c>
      <c r="B64" s="343" t="s">
        <v>247</v>
      </c>
      <c r="C64" s="339">
        <v>733500</v>
      </c>
      <c r="D64" s="340">
        <v>0.01</v>
      </c>
      <c r="E64" s="346">
        <v>7335</v>
      </c>
      <c r="F64" s="342"/>
      <c r="J64" s="339"/>
    </row>
    <row r="65" spans="1:10" x14ac:dyDescent="0.35">
      <c r="A65" s="341">
        <v>45252</v>
      </c>
      <c r="B65" s="343" t="s">
        <v>249</v>
      </c>
      <c r="C65" s="339">
        <v>7970</v>
      </c>
      <c r="D65" s="340">
        <v>0.01</v>
      </c>
      <c r="E65" s="346">
        <v>79.7</v>
      </c>
      <c r="F65" s="342"/>
      <c r="J65" s="339"/>
    </row>
    <row r="66" spans="1:10" ht="42" x14ac:dyDescent="0.35">
      <c r="A66" s="341">
        <v>45168</v>
      </c>
      <c r="B66" s="343" t="s">
        <v>274</v>
      </c>
      <c r="C66" s="339">
        <v>414200</v>
      </c>
      <c r="D66" s="340">
        <v>0.01</v>
      </c>
      <c r="E66" s="346">
        <v>4142</v>
      </c>
      <c r="F66" s="342"/>
      <c r="J66" s="339"/>
    </row>
    <row r="67" spans="1:10" x14ac:dyDescent="0.35">
      <c r="A67" s="341">
        <v>45411</v>
      </c>
      <c r="B67" s="343" t="s">
        <v>275</v>
      </c>
      <c r="C67" s="339">
        <v>319925</v>
      </c>
      <c r="D67" s="340">
        <v>0.01</v>
      </c>
      <c r="E67" s="346">
        <v>3199.25</v>
      </c>
      <c r="F67" s="342"/>
    </row>
    <row r="68" spans="1:10" ht="21" customHeight="1" x14ac:dyDescent="0.35">
      <c r="A68" s="341" t="s">
        <v>279</v>
      </c>
      <c r="B68" s="343" t="s">
        <v>280</v>
      </c>
      <c r="C68" s="339">
        <v>7513378.1900000004</v>
      </c>
      <c r="D68" s="340">
        <v>0.1</v>
      </c>
      <c r="E68" s="346">
        <v>751337.82</v>
      </c>
      <c r="F68" s="342"/>
    </row>
    <row r="69" spans="1:10" x14ac:dyDescent="0.35">
      <c r="A69" s="341">
        <v>45453</v>
      </c>
      <c r="B69" s="343" t="s">
        <v>284</v>
      </c>
      <c r="C69" s="339">
        <v>128000</v>
      </c>
      <c r="D69" s="340">
        <v>0.05</v>
      </c>
      <c r="E69" s="346">
        <v>6400</v>
      </c>
      <c r="F69" s="342"/>
    </row>
    <row r="70" spans="1:10" x14ac:dyDescent="0.35">
      <c r="A70" s="341">
        <v>45467</v>
      </c>
      <c r="B70" s="343" t="s">
        <v>434</v>
      </c>
      <c r="C70" s="339">
        <v>6048500</v>
      </c>
      <c r="D70" s="340">
        <v>0.02</v>
      </c>
      <c r="E70" s="346">
        <v>120970</v>
      </c>
      <c r="F70" s="342"/>
    </row>
    <row r="71" spans="1:10" ht="42" x14ac:dyDescent="0.35">
      <c r="A71" s="341">
        <v>45321</v>
      </c>
      <c r="B71" s="343" t="s">
        <v>314</v>
      </c>
      <c r="C71" s="339">
        <v>622000</v>
      </c>
      <c r="D71" s="340">
        <v>0.01</v>
      </c>
      <c r="E71" s="346">
        <v>6220</v>
      </c>
      <c r="F71" s="342"/>
    </row>
    <row r="72" spans="1:10" ht="42" x14ac:dyDescent="0.35">
      <c r="A72" s="341">
        <v>45489</v>
      </c>
      <c r="B72" s="343" t="s">
        <v>307</v>
      </c>
      <c r="C72" s="339">
        <v>420000</v>
      </c>
      <c r="D72" s="340">
        <v>0.05</v>
      </c>
      <c r="E72" s="346">
        <v>21000</v>
      </c>
      <c r="F72" s="342"/>
    </row>
    <row r="73" spans="1:10" ht="42" x14ac:dyDescent="0.35">
      <c r="A73" s="341">
        <v>45281</v>
      </c>
      <c r="B73" s="343" t="s">
        <v>315</v>
      </c>
      <c r="C73" s="339">
        <v>392500</v>
      </c>
      <c r="D73" s="340">
        <v>0.01</v>
      </c>
      <c r="E73" s="346">
        <v>3925</v>
      </c>
      <c r="F73" s="342"/>
    </row>
    <row r="74" spans="1:10" ht="42" x14ac:dyDescent="0.35">
      <c r="A74" s="341">
        <v>45509</v>
      </c>
      <c r="B74" s="343" t="s">
        <v>326</v>
      </c>
      <c r="C74" s="339">
        <v>338000</v>
      </c>
      <c r="D74" s="340">
        <v>0.01</v>
      </c>
      <c r="E74" s="346">
        <v>3380</v>
      </c>
      <c r="F74" s="342"/>
    </row>
    <row r="75" spans="1:10" x14ac:dyDescent="0.35">
      <c r="A75" s="341">
        <v>45393</v>
      </c>
      <c r="B75" s="343" t="s">
        <v>359</v>
      </c>
      <c r="C75" s="339">
        <v>21280</v>
      </c>
      <c r="D75" s="340">
        <v>0.1</v>
      </c>
      <c r="E75" s="346">
        <v>2128</v>
      </c>
      <c r="F75" s="342"/>
    </row>
    <row r="76" spans="1:10" ht="63" x14ac:dyDescent="0.35">
      <c r="A76" s="341">
        <v>44984</v>
      </c>
      <c r="B76" s="343" t="s">
        <v>371</v>
      </c>
      <c r="C76" s="339">
        <v>1397914.54</v>
      </c>
      <c r="D76" s="340">
        <v>0.1</v>
      </c>
      <c r="E76" s="346">
        <v>139791.45000000001</v>
      </c>
      <c r="F76" s="342"/>
    </row>
    <row r="77" spans="1:10" ht="42" x14ac:dyDescent="0.35">
      <c r="A77" s="341">
        <v>45265</v>
      </c>
      <c r="B77" s="343" t="s">
        <v>372</v>
      </c>
      <c r="C77" s="339">
        <v>1049676.8</v>
      </c>
      <c r="D77" s="340">
        <v>0.1</v>
      </c>
      <c r="E77" s="346">
        <v>104967.67999999999</v>
      </c>
      <c r="F77" s="342"/>
    </row>
    <row r="78" spans="1:10" x14ac:dyDescent="0.35">
      <c r="B78" s="332" t="s">
        <v>32</v>
      </c>
      <c r="C78" s="355"/>
      <c r="D78" s="332"/>
      <c r="E78" s="355">
        <f>SUM(E8:E77)</f>
        <v>11995583.899999997</v>
      </c>
    </row>
    <row r="82" spans="2:7" x14ac:dyDescent="0.35">
      <c r="F82" s="339"/>
      <c r="G82" s="330" t="s">
        <v>64</v>
      </c>
    </row>
    <row r="83" spans="2:7" x14ac:dyDescent="0.35">
      <c r="F83" s="339"/>
    </row>
    <row r="84" spans="2:7" x14ac:dyDescent="0.35">
      <c r="F84" s="339"/>
    </row>
    <row r="85" spans="2:7" x14ac:dyDescent="0.35">
      <c r="B85" s="342"/>
    </row>
  </sheetData>
  <mergeCells count="2">
    <mergeCell ref="A3:F3"/>
    <mergeCell ref="A4:F4"/>
  </mergeCells>
  <pageMargins left="0.98425196850393704" right="0.98425196850393704" top="0.98425196850393704" bottom="0.98425196850393704" header="0.51181102362204722" footer="0.51181102362204722"/>
  <pageSetup paperSize="9" scale="50" fitToWidth="0" orientation="landscape" horizontalDpi="360" verticalDpi="36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68"/>
  <sheetViews>
    <sheetView topLeftCell="A52" workbookViewId="0">
      <selection activeCell="C61" sqref="C61"/>
    </sheetView>
  </sheetViews>
  <sheetFormatPr defaultRowHeight="21" x14ac:dyDescent="0.35"/>
  <cols>
    <col min="1" max="1" width="26.5703125" style="354" customWidth="1"/>
    <col min="2" max="2" width="36" style="330" customWidth="1"/>
    <col min="3" max="3" width="19" style="339" customWidth="1"/>
    <col min="4" max="4" width="9.140625" style="330"/>
    <col min="5" max="5" width="21.28515625" style="339" customWidth="1"/>
    <col min="6" max="6" width="16" style="330" customWidth="1"/>
    <col min="7" max="9" width="9.140625" style="330"/>
    <col min="10" max="10" width="11.5703125" style="330" bestFit="1" customWidth="1"/>
    <col min="11" max="16384" width="9.140625" style="330"/>
  </cols>
  <sheetData>
    <row r="3" spans="1:6" x14ac:dyDescent="0.35">
      <c r="A3" s="1090" t="s">
        <v>21</v>
      </c>
      <c r="B3" s="1090"/>
      <c r="C3" s="1090"/>
      <c r="D3" s="1090"/>
      <c r="E3" s="1090"/>
      <c r="F3" s="1090"/>
    </row>
    <row r="4" spans="1:6" x14ac:dyDescent="0.35">
      <c r="A4" s="1090" t="s">
        <v>25</v>
      </c>
      <c r="B4" s="1090"/>
      <c r="C4" s="1090"/>
      <c r="D4" s="1090"/>
      <c r="E4" s="1090"/>
      <c r="F4" s="1090"/>
    </row>
    <row r="5" spans="1:6" x14ac:dyDescent="0.35">
      <c r="A5" s="331"/>
      <c r="B5" s="332"/>
      <c r="C5" s="509"/>
      <c r="D5" s="334"/>
      <c r="E5" s="335"/>
      <c r="F5" s="336"/>
    </row>
    <row r="6" spans="1:6" ht="42" x14ac:dyDescent="0.35">
      <c r="A6" s="331" t="s">
        <v>26</v>
      </c>
      <c r="B6" s="334" t="s">
        <v>18</v>
      </c>
      <c r="C6" s="993" t="s">
        <v>19</v>
      </c>
      <c r="D6" s="994" t="s">
        <v>20</v>
      </c>
      <c r="E6" s="509" t="s">
        <v>11</v>
      </c>
      <c r="F6" s="334" t="s">
        <v>6</v>
      </c>
    </row>
    <row r="7" spans="1:6" x14ac:dyDescent="0.35">
      <c r="A7" s="331"/>
      <c r="B7" s="334"/>
      <c r="C7" s="509"/>
      <c r="D7" s="334"/>
      <c r="E7" s="509"/>
      <c r="F7" s="334"/>
    </row>
    <row r="8" spans="1:6" x14ac:dyDescent="0.35">
      <c r="A8" s="337">
        <v>43818</v>
      </c>
      <c r="B8" s="338" t="s">
        <v>62</v>
      </c>
      <c r="C8" s="339">
        <v>659169.19999999995</v>
      </c>
      <c r="D8" s="340">
        <v>0.1</v>
      </c>
      <c r="E8" s="339">
        <v>65916.92</v>
      </c>
    </row>
    <row r="9" spans="1:6" x14ac:dyDescent="0.35">
      <c r="A9" s="337">
        <v>43818</v>
      </c>
      <c r="B9" s="338" t="s">
        <v>62</v>
      </c>
      <c r="C9" s="339">
        <v>1396246.89</v>
      </c>
      <c r="D9" s="340">
        <v>0.1</v>
      </c>
      <c r="E9" s="339">
        <v>139624.69</v>
      </c>
    </row>
    <row r="10" spans="1:6" x14ac:dyDescent="0.35">
      <c r="A10" s="341">
        <v>43893</v>
      </c>
      <c r="B10" s="338" t="s">
        <v>79</v>
      </c>
      <c r="C10" s="339">
        <v>1787916.07</v>
      </c>
      <c r="D10" s="340">
        <v>0.1</v>
      </c>
      <c r="E10" s="339">
        <v>178791.61</v>
      </c>
      <c r="F10" s="342" t="s">
        <v>298</v>
      </c>
    </row>
    <row r="11" spans="1:6" x14ac:dyDescent="0.35">
      <c r="A11" s="341">
        <v>43893</v>
      </c>
      <c r="B11" s="338" t="s">
        <v>80</v>
      </c>
      <c r="C11" s="339">
        <v>553593.48</v>
      </c>
      <c r="D11" s="340">
        <v>0.1</v>
      </c>
      <c r="E11" s="339">
        <v>55359.35</v>
      </c>
      <c r="F11" s="342" t="s">
        <v>329</v>
      </c>
    </row>
    <row r="12" spans="1:6" x14ac:dyDescent="0.35">
      <c r="A12" s="341"/>
      <c r="B12" s="338" t="s">
        <v>81</v>
      </c>
      <c r="C12" s="339">
        <v>6355433.8099999996</v>
      </c>
      <c r="D12" s="340">
        <v>0.1</v>
      </c>
      <c r="E12" s="339">
        <v>635543.38</v>
      </c>
    </row>
    <row r="13" spans="1:6" x14ac:dyDescent="0.35">
      <c r="A13" s="341">
        <v>44259</v>
      </c>
      <c r="B13" s="338" t="s">
        <v>84</v>
      </c>
      <c r="C13" s="339">
        <v>1853651.31</v>
      </c>
      <c r="D13" s="340">
        <v>0.1</v>
      </c>
      <c r="E13" s="339">
        <v>185365.13</v>
      </c>
    </row>
    <row r="14" spans="1:6" x14ac:dyDescent="0.35">
      <c r="A14" s="341">
        <v>44140</v>
      </c>
      <c r="B14" s="338" t="s">
        <v>87</v>
      </c>
      <c r="C14" s="339">
        <v>70000</v>
      </c>
      <c r="D14" s="340">
        <v>0.01</v>
      </c>
      <c r="E14" s="339">
        <v>700</v>
      </c>
      <c r="F14" s="330" t="s">
        <v>128</v>
      </c>
    </row>
    <row r="15" spans="1:6" x14ac:dyDescent="0.35">
      <c r="A15" s="341">
        <v>44140</v>
      </c>
      <c r="B15" s="338" t="s">
        <v>86</v>
      </c>
      <c r="C15" s="339">
        <v>280000</v>
      </c>
      <c r="D15" s="340">
        <v>0.01</v>
      </c>
      <c r="E15" s="339">
        <v>2800</v>
      </c>
      <c r="F15" s="330" t="s">
        <v>192</v>
      </c>
    </row>
    <row r="16" spans="1:6" ht="42" x14ac:dyDescent="0.35">
      <c r="A16" s="341">
        <v>44369</v>
      </c>
      <c r="B16" s="343" t="s">
        <v>103</v>
      </c>
      <c r="C16" s="339">
        <v>996614.36</v>
      </c>
      <c r="D16" s="340">
        <v>0.1</v>
      </c>
      <c r="E16" s="339">
        <v>99661.64</v>
      </c>
    </row>
    <row r="17" spans="1:19" x14ac:dyDescent="0.35">
      <c r="A17" s="341">
        <v>44540</v>
      </c>
      <c r="B17" s="344" t="s">
        <v>127</v>
      </c>
      <c r="C17" s="339">
        <v>316000</v>
      </c>
      <c r="D17" s="340">
        <v>0.01</v>
      </c>
      <c r="E17" s="339">
        <v>3160</v>
      </c>
      <c r="F17" s="330" t="s">
        <v>291</v>
      </c>
    </row>
    <row r="18" spans="1:19" ht="42" x14ac:dyDescent="0.35">
      <c r="A18" s="341">
        <v>44126</v>
      </c>
      <c r="B18" s="345" t="s">
        <v>137</v>
      </c>
      <c r="C18" s="339">
        <v>899500</v>
      </c>
      <c r="D18" s="340">
        <v>0.01</v>
      </c>
      <c r="E18" s="339">
        <v>8995</v>
      </c>
      <c r="F18" s="330" t="s">
        <v>293</v>
      </c>
    </row>
    <row r="19" spans="1:19" ht="42" x14ac:dyDescent="0.35">
      <c r="A19" s="341">
        <v>44896</v>
      </c>
      <c r="B19" s="343" t="s">
        <v>146</v>
      </c>
      <c r="C19" s="339">
        <v>685301.67</v>
      </c>
      <c r="D19" s="340">
        <v>0.1</v>
      </c>
      <c r="E19" s="346">
        <v>68530.17</v>
      </c>
      <c r="F19" s="342"/>
    </row>
    <row r="20" spans="1:19" ht="42" x14ac:dyDescent="0.35">
      <c r="A20" s="341" t="s">
        <v>148</v>
      </c>
      <c r="B20" s="343" t="s">
        <v>147</v>
      </c>
      <c r="C20" s="339">
        <v>317847.96000000002</v>
      </c>
      <c r="D20" s="340">
        <v>0.1</v>
      </c>
      <c r="E20" s="346">
        <v>31784.799999999999</v>
      </c>
      <c r="F20" s="342"/>
    </row>
    <row r="21" spans="1:19" ht="42" x14ac:dyDescent="0.35">
      <c r="A21" s="341">
        <v>44714</v>
      </c>
      <c r="B21" s="343" t="s">
        <v>240</v>
      </c>
      <c r="C21" s="339">
        <v>241662.29</v>
      </c>
      <c r="D21" s="340">
        <v>0.1</v>
      </c>
      <c r="E21" s="347">
        <v>24166.23</v>
      </c>
      <c r="F21" s="342"/>
    </row>
    <row r="22" spans="1:19" ht="42" x14ac:dyDescent="0.35">
      <c r="A22" s="341">
        <v>44760</v>
      </c>
      <c r="B22" s="345" t="s">
        <v>154</v>
      </c>
      <c r="C22" s="339">
        <v>899500</v>
      </c>
      <c r="D22" s="340">
        <v>0.01</v>
      </c>
      <c r="E22" s="346">
        <v>8995</v>
      </c>
      <c r="F22" s="338" t="s">
        <v>292</v>
      </c>
    </row>
    <row r="23" spans="1:19" ht="42" x14ac:dyDescent="0.35">
      <c r="A23" s="341">
        <v>44496</v>
      </c>
      <c r="B23" s="343" t="s">
        <v>156</v>
      </c>
      <c r="C23" s="339">
        <v>1731046</v>
      </c>
      <c r="D23" s="340">
        <v>0.1</v>
      </c>
      <c r="E23" s="346">
        <v>173104.6</v>
      </c>
      <c r="F23" s="342" t="s">
        <v>283</v>
      </c>
    </row>
    <row r="24" spans="1:19" ht="41.25" x14ac:dyDescent="0.35">
      <c r="A24" s="348">
        <v>44594</v>
      </c>
      <c r="B24" s="349" t="s">
        <v>215</v>
      </c>
      <c r="C24" s="339">
        <v>860000</v>
      </c>
      <c r="D24" s="340">
        <v>0.1</v>
      </c>
      <c r="E24" s="346">
        <v>86000</v>
      </c>
      <c r="F24" s="342" t="s">
        <v>283</v>
      </c>
    </row>
    <row r="25" spans="1:19" ht="42" x14ac:dyDescent="0.35">
      <c r="A25" s="341">
        <v>44846</v>
      </c>
      <c r="B25" s="343" t="s">
        <v>161</v>
      </c>
      <c r="C25" s="339">
        <v>1059339.49</v>
      </c>
      <c r="D25" s="340">
        <v>0.1</v>
      </c>
      <c r="E25" s="346">
        <v>105933.95</v>
      </c>
      <c r="F25" s="342"/>
    </row>
    <row r="26" spans="1:19" ht="42" x14ac:dyDescent="0.35">
      <c r="A26" s="341">
        <v>44551</v>
      </c>
      <c r="B26" s="343" t="s">
        <v>184</v>
      </c>
      <c r="C26" s="339">
        <v>19023.43</v>
      </c>
      <c r="D26" s="340">
        <v>0.1</v>
      </c>
      <c r="E26" s="346">
        <v>1902.34</v>
      </c>
      <c r="F26" s="342"/>
    </row>
    <row r="27" spans="1:19" s="1005" customFormat="1" ht="30" x14ac:dyDescent="0.25">
      <c r="A27" s="1032" t="s">
        <v>194</v>
      </c>
      <c r="B27" s="1033" t="s">
        <v>195</v>
      </c>
      <c r="C27" s="1034">
        <v>1559532.88</v>
      </c>
      <c r="D27" s="1035">
        <v>0.1</v>
      </c>
      <c r="E27" s="1034">
        <v>155953.29</v>
      </c>
      <c r="F27" s="1005" t="s">
        <v>945</v>
      </c>
    </row>
    <row r="28" spans="1:19" x14ac:dyDescent="0.35">
      <c r="A28" s="341">
        <v>44707</v>
      </c>
      <c r="B28" s="343" t="s">
        <v>197</v>
      </c>
      <c r="C28" s="339">
        <v>847662.5</v>
      </c>
      <c r="D28" s="340">
        <v>0.1</v>
      </c>
      <c r="E28" s="346">
        <v>84766.25</v>
      </c>
      <c r="F28" s="342" t="s">
        <v>408</v>
      </c>
    </row>
    <row r="29" spans="1:19" ht="42" x14ac:dyDescent="0.35">
      <c r="A29" s="341">
        <v>45002</v>
      </c>
      <c r="B29" s="343" t="s">
        <v>198</v>
      </c>
      <c r="C29" s="339">
        <v>1780185</v>
      </c>
      <c r="D29" s="340">
        <v>0.1</v>
      </c>
      <c r="E29" s="346">
        <v>178018.5</v>
      </c>
      <c r="F29" s="342" t="s">
        <v>283</v>
      </c>
    </row>
    <row r="30" spans="1:19" ht="42" x14ac:dyDescent="0.35">
      <c r="A30" s="341">
        <v>43879</v>
      </c>
      <c r="B30" s="343" t="s">
        <v>61</v>
      </c>
      <c r="C30" s="339">
        <v>2090148.6</v>
      </c>
      <c r="D30" s="340">
        <v>0.1</v>
      </c>
      <c r="E30" s="346">
        <v>209014.86</v>
      </c>
      <c r="F30" s="342" t="s">
        <v>218</v>
      </c>
      <c r="S30" s="330" t="s">
        <v>504</v>
      </c>
    </row>
    <row r="31" spans="1:19" ht="42" x14ac:dyDescent="0.35">
      <c r="A31" s="341" t="s">
        <v>194</v>
      </c>
      <c r="B31" s="343" t="s">
        <v>203</v>
      </c>
      <c r="C31" s="339">
        <v>2465300.0299999998</v>
      </c>
      <c r="D31" s="340">
        <v>0.1</v>
      </c>
      <c r="E31" s="346">
        <v>246530</v>
      </c>
      <c r="F31" s="342"/>
    </row>
    <row r="32" spans="1:19" ht="42" x14ac:dyDescent="0.35">
      <c r="A32" s="341" t="s">
        <v>194</v>
      </c>
      <c r="B32" s="343" t="s">
        <v>204</v>
      </c>
      <c r="C32" s="339">
        <v>1352500.65</v>
      </c>
      <c r="D32" s="340">
        <v>0.1</v>
      </c>
      <c r="E32" s="346">
        <v>135250.07</v>
      </c>
      <c r="F32" s="342"/>
    </row>
    <row r="33" spans="1:15" ht="42" x14ac:dyDescent="0.35">
      <c r="A33" s="341">
        <v>45078</v>
      </c>
      <c r="B33" s="343" t="s">
        <v>207</v>
      </c>
      <c r="C33" s="339">
        <v>1046555.95</v>
      </c>
      <c r="D33" s="340">
        <v>0.1</v>
      </c>
      <c r="E33" s="346">
        <v>104655.59</v>
      </c>
      <c r="F33" s="342" t="s">
        <v>283</v>
      </c>
    </row>
    <row r="34" spans="1:15" ht="42" x14ac:dyDescent="0.35">
      <c r="A34" s="341" t="s">
        <v>178</v>
      </c>
      <c r="B34" s="343" t="s">
        <v>211</v>
      </c>
      <c r="C34" s="339">
        <v>2595287.86</v>
      </c>
      <c r="D34" s="340">
        <v>0.1</v>
      </c>
      <c r="E34" s="346">
        <v>259528.79</v>
      </c>
      <c r="F34" s="342"/>
    </row>
    <row r="35" spans="1:15" ht="42" x14ac:dyDescent="0.35">
      <c r="A35" s="341" t="s">
        <v>178</v>
      </c>
      <c r="B35" s="343" t="s">
        <v>212</v>
      </c>
      <c r="C35" s="339">
        <v>1053515.04</v>
      </c>
      <c r="D35" s="340">
        <v>0.1</v>
      </c>
      <c r="E35" s="346">
        <v>105351.5</v>
      </c>
      <c r="F35" s="342"/>
    </row>
    <row r="36" spans="1:15" s="1006" customFormat="1" ht="30" x14ac:dyDescent="0.25">
      <c r="A36" s="1028" t="s">
        <v>178</v>
      </c>
      <c r="B36" s="1029" t="s">
        <v>213</v>
      </c>
      <c r="C36" s="1030">
        <v>2676965.54</v>
      </c>
      <c r="D36" s="1031">
        <v>0.1</v>
      </c>
      <c r="E36" s="1030">
        <v>267696.55</v>
      </c>
      <c r="F36" s="1005" t="s">
        <v>945</v>
      </c>
      <c r="G36" s="1005"/>
      <c r="H36" s="1005"/>
      <c r="I36" s="1005"/>
      <c r="J36" s="1005"/>
    </row>
    <row r="37" spans="1:15" ht="63" x14ac:dyDescent="0.35">
      <c r="A37" s="341" t="s">
        <v>178</v>
      </c>
      <c r="B37" s="343" t="s">
        <v>214</v>
      </c>
      <c r="C37" s="339">
        <v>1423887.7</v>
      </c>
      <c r="D37" s="340">
        <v>0.1</v>
      </c>
      <c r="E37" s="346">
        <v>142388.76999999999</v>
      </c>
      <c r="F37" s="342"/>
    </row>
    <row r="38" spans="1:15" x14ac:dyDescent="0.35">
      <c r="A38" s="341">
        <v>45184</v>
      </c>
      <c r="B38" s="343" t="s">
        <v>216</v>
      </c>
      <c r="C38" s="339">
        <v>2198900</v>
      </c>
      <c r="D38" s="340">
        <v>0.01</v>
      </c>
      <c r="E38" s="346">
        <v>21989</v>
      </c>
      <c r="F38" s="342" t="s">
        <v>297</v>
      </c>
      <c r="M38" s="512" t="s">
        <v>441</v>
      </c>
      <c r="N38" s="512"/>
      <c r="O38" s="512"/>
    </row>
    <row r="39" spans="1:15" s="1006" customFormat="1" ht="30" x14ac:dyDescent="0.25">
      <c r="A39" s="1028" t="s">
        <v>188</v>
      </c>
      <c r="B39" s="1029" t="s">
        <v>213</v>
      </c>
      <c r="C39" s="1030">
        <v>740999.8</v>
      </c>
      <c r="D39" s="1031">
        <v>0.1</v>
      </c>
      <c r="E39" s="1030">
        <v>74099.98</v>
      </c>
      <c r="F39" s="1005" t="s">
        <v>945</v>
      </c>
      <c r="G39" s="1005"/>
      <c r="H39" s="1005"/>
      <c r="I39" s="1005"/>
      <c r="J39" s="1005"/>
    </row>
    <row r="40" spans="1:15" s="342" customFormat="1" x14ac:dyDescent="0.35">
      <c r="A40" s="350">
        <v>44707</v>
      </c>
      <c r="B40" s="351" t="s">
        <v>222</v>
      </c>
      <c r="C40" s="352">
        <v>149587.5</v>
      </c>
      <c r="D40" s="353">
        <v>0.1</v>
      </c>
      <c r="E40" s="352">
        <v>14958.75</v>
      </c>
      <c r="F40" s="342" t="s">
        <v>407</v>
      </c>
    </row>
    <row r="41" spans="1:15" x14ac:dyDescent="0.35">
      <c r="A41" s="341" t="s">
        <v>194</v>
      </c>
      <c r="B41" s="343" t="s">
        <v>245</v>
      </c>
      <c r="C41" s="339">
        <v>1334172.58</v>
      </c>
      <c r="D41" s="340">
        <v>0.1</v>
      </c>
      <c r="E41" s="346">
        <v>133417.26</v>
      </c>
      <c r="F41" s="342"/>
    </row>
    <row r="42" spans="1:15" ht="42" x14ac:dyDescent="0.35">
      <c r="A42" s="341">
        <v>45226</v>
      </c>
      <c r="B42" s="343" t="s">
        <v>225</v>
      </c>
      <c r="C42" s="339">
        <v>1969642</v>
      </c>
      <c r="D42" s="340">
        <v>0.01</v>
      </c>
      <c r="E42" s="346">
        <v>19696.419999999998</v>
      </c>
      <c r="F42" s="342"/>
    </row>
    <row r="43" spans="1:15" x14ac:dyDescent="0.35">
      <c r="A43" s="341">
        <v>45261</v>
      </c>
      <c r="B43" s="343" t="s">
        <v>226</v>
      </c>
      <c r="C43" s="339">
        <v>810000</v>
      </c>
      <c r="D43" s="340">
        <v>0.01</v>
      </c>
      <c r="E43" s="346">
        <v>8100</v>
      </c>
      <c r="F43" s="342"/>
    </row>
    <row r="44" spans="1:15" x14ac:dyDescent="0.35">
      <c r="A44" s="341">
        <v>45252</v>
      </c>
      <c r="B44" s="343" t="s">
        <v>229</v>
      </c>
      <c r="C44" s="339">
        <v>2850</v>
      </c>
      <c r="D44" s="340">
        <v>0.01</v>
      </c>
      <c r="E44" s="346">
        <v>28.5</v>
      </c>
      <c r="F44" s="342"/>
    </row>
    <row r="45" spans="1:15" x14ac:dyDescent="0.35">
      <c r="A45" s="341">
        <v>45310</v>
      </c>
      <c r="B45" s="343" t="s">
        <v>232</v>
      </c>
      <c r="C45" s="339">
        <v>92000</v>
      </c>
      <c r="D45" s="340">
        <v>0.1</v>
      </c>
      <c r="E45" s="346">
        <v>9200</v>
      </c>
      <c r="F45" s="342"/>
    </row>
    <row r="46" spans="1:15" ht="42" x14ac:dyDescent="0.35">
      <c r="A46" s="341" t="s">
        <v>178</v>
      </c>
      <c r="B46" s="343" t="s">
        <v>243</v>
      </c>
      <c r="C46" s="339">
        <v>1505786.73</v>
      </c>
      <c r="D46" s="340">
        <v>0.1</v>
      </c>
      <c r="E46" s="346">
        <v>150578.67000000001</v>
      </c>
      <c r="F46" s="342"/>
    </row>
    <row r="47" spans="1:15" x14ac:dyDescent="0.35">
      <c r="A47" s="341" t="s">
        <v>178</v>
      </c>
      <c r="B47" s="343" t="s">
        <v>244</v>
      </c>
      <c r="C47" s="339">
        <v>159550.19</v>
      </c>
      <c r="D47" s="340">
        <v>0.1</v>
      </c>
      <c r="E47" s="346">
        <v>1595501.85</v>
      </c>
      <c r="F47" s="342"/>
    </row>
    <row r="48" spans="1:15" ht="42" x14ac:dyDescent="0.35">
      <c r="A48" s="341">
        <v>45265</v>
      </c>
      <c r="B48" s="343" t="s">
        <v>246</v>
      </c>
      <c r="C48" s="339">
        <v>1894967.71</v>
      </c>
      <c r="D48" s="340">
        <v>0.1</v>
      </c>
      <c r="E48" s="346">
        <v>189496.77</v>
      </c>
      <c r="F48" s="342"/>
    </row>
    <row r="49" spans="1:10" x14ac:dyDescent="0.35">
      <c r="A49" s="341">
        <v>45252</v>
      </c>
      <c r="B49" s="343" t="s">
        <v>249</v>
      </c>
      <c r="C49" s="339">
        <v>7970</v>
      </c>
      <c r="D49" s="340">
        <v>0.01</v>
      </c>
      <c r="E49" s="346">
        <v>79.7</v>
      </c>
      <c r="F49" s="342"/>
      <c r="J49" s="339"/>
    </row>
    <row r="50" spans="1:10" x14ac:dyDescent="0.35">
      <c r="A50" s="341">
        <v>45411</v>
      </c>
      <c r="B50" s="343" t="s">
        <v>275</v>
      </c>
      <c r="C50" s="339">
        <v>319925</v>
      </c>
      <c r="D50" s="340">
        <v>0.01</v>
      </c>
      <c r="E50" s="346">
        <v>3199.25</v>
      </c>
      <c r="F50" s="342"/>
    </row>
    <row r="51" spans="1:10" ht="21" customHeight="1" x14ac:dyDescent="0.35">
      <c r="A51" s="341" t="s">
        <v>279</v>
      </c>
      <c r="B51" s="343" t="s">
        <v>280</v>
      </c>
      <c r="C51" s="339">
        <v>7513378.1900000004</v>
      </c>
      <c r="D51" s="340">
        <v>0.1</v>
      </c>
      <c r="E51" s="346">
        <v>751337.82</v>
      </c>
      <c r="F51" s="342"/>
    </row>
    <row r="52" spans="1:10" x14ac:dyDescent="0.35">
      <c r="A52" s="341">
        <v>45453</v>
      </c>
      <c r="B52" s="343" t="s">
        <v>284</v>
      </c>
      <c r="C52" s="339">
        <v>128000</v>
      </c>
      <c r="D52" s="340">
        <v>0.05</v>
      </c>
      <c r="E52" s="346">
        <v>6400</v>
      </c>
      <c r="F52" s="342"/>
    </row>
    <row r="53" spans="1:10" x14ac:dyDescent="0.35">
      <c r="A53" s="341">
        <v>45467</v>
      </c>
      <c r="B53" s="343" t="s">
        <v>434</v>
      </c>
      <c r="C53" s="339">
        <v>6048500</v>
      </c>
      <c r="D53" s="340">
        <v>0.02</v>
      </c>
      <c r="E53" s="346">
        <v>120970</v>
      </c>
      <c r="F53" s="342"/>
    </row>
    <row r="54" spans="1:10" ht="42" x14ac:dyDescent="0.35">
      <c r="A54" s="341">
        <v>45321</v>
      </c>
      <c r="B54" s="343" t="s">
        <v>314</v>
      </c>
      <c r="C54" s="339">
        <v>622000</v>
      </c>
      <c r="D54" s="340">
        <v>0.01</v>
      </c>
      <c r="E54" s="346">
        <v>6220</v>
      </c>
      <c r="F54" s="342"/>
    </row>
    <row r="55" spans="1:10" ht="42" x14ac:dyDescent="0.35">
      <c r="A55" s="341">
        <v>45489</v>
      </c>
      <c r="B55" s="343" t="s">
        <v>307</v>
      </c>
      <c r="C55" s="339">
        <v>420000</v>
      </c>
      <c r="D55" s="340">
        <v>0.05</v>
      </c>
      <c r="E55" s="346">
        <v>21000</v>
      </c>
      <c r="F55" s="342"/>
    </row>
    <row r="56" spans="1:10" ht="42" x14ac:dyDescent="0.35">
      <c r="A56" s="341">
        <v>45281</v>
      </c>
      <c r="B56" s="343" t="s">
        <v>315</v>
      </c>
      <c r="C56" s="339">
        <v>392500</v>
      </c>
      <c r="D56" s="340">
        <v>0.01</v>
      </c>
      <c r="E56" s="346">
        <v>3925</v>
      </c>
      <c r="F56" s="342"/>
    </row>
    <row r="57" spans="1:10" x14ac:dyDescent="0.35">
      <c r="A57" s="341">
        <v>45393</v>
      </c>
      <c r="B57" s="343" t="s">
        <v>359</v>
      </c>
      <c r="C57" s="339">
        <v>21280</v>
      </c>
      <c r="D57" s="340">
        <v>0.1</v>
      </c>
      <c r="E57" s="346">
        <v>2128</v>
      </c>
      <c r="F57" s="342"/>
    </row>
    <row r="58" spans="1:10" ht="63" x14ac:dyDescent="0.35">
      <c r="A58" s="341">
        <v>44984</v>
      </c>
      <c r="B58" s="343" t="s">
        <v>371</v>
      </c>
      <c r="C58" s="339">
        <v>1397914.54</v>
      </c>
      <c r="D58" s="340">
        <v>0.1</v>
      </c>
      <c r="E58" s="346">
        <v>139791.45000000001</v>
      </c>
      <c r="F58" s="342"/>
    </row>
    <row r="59" spans="1:10" ht="42" x14ac:dyDescent="0.35">
      <c r="A59" s="341">
        <v>45265</v>
      </c>
      <c r="B59" s="343" t="s">
        <v>372</v>
      </c>
      <c r="C59" s="339">
        <v>1049676.8</v>
      </c>
      <c r="D59" s="340">
        <v>0.1</v>
      </c>
      <c r="E59" s="346">
        <v>104967.67999999999</v>
      </c>
      <c r="F59" s="342"/>
    </row>
    <row r="60" spans="1:10" x14ac:dyDescent="0.35">
      <c r="A60" s="341">
        <v>46219</v>
      </c>
      <c r="B60" s="343" t="s">
        <v>970</v>
      </c>
      <c r="C60" s="339">
        <v>337980</v>
      </c>
      <c r="D60" s="340">
        <v>0.01</v>
      </c>
      <c r="E60" s="346">
        <v>3379.8</v>
      </c>
      <c r="F60" s="342"/>
    </row>
    <row r="61" spans="1:10" x14ac:dyDescent="0.35">
      <c r="B61" s="332" t="s">
        <v>32</v>
      </c>
      <c r="C61" s="355"/>
      <c r="D61" s="332"/>
      <c r="E61" s="355">
        <f>SUM(E8:E60)</f>
        <v>7145954.8799999999</v>
      </c>
    </row>
    <row r="65" spans="2:7" x14ac:dyDescent="0.35">
      <c r="F65" s="339"/>
      <c r="G65" s="330" t="s">
        <v>64</v>
      </c>
    </row>
    <row r="66" spans="2:7" x14ac:dyDescent="0.35">
      <c r="F66" s="339"/>
    </row>
    <row r="67" spans="2:7" x14ac:dyDescent="0.35">
      <c r="F67" s="339"/>
    </row>
    <row r="68" spans="2:7" x14ac:dyDescent="0.35">
      <c r="B68" s="342"/>
    </row>
  </sheetData>
  <mergeCells count="2">
    <mergeCell ref="A3:F3"/>
    <mergeCell ref="A4:F4"/>
  </mergeCells>
  <pageMargins left="0.70866141732283472" right="0.70866141732283472" top="0.74803149606299213" bottom="0.74803149606299213" header="0.31496062992125984" footer="0.31496062992125984"/>
  <pageSetup paperSize="9" scale="50" fitToWidth="0" orientation="landscape"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opLeftCell="A4" workbookViewId="0">
      <selection activeCell="E7" sqref="E7"/>
    </sheetView>
  </sheetViews>
  <sheetFormatPr defaultRowHeight="15" x14ac:dyDescent="0.25"/>
  <cols>
    <col min="1" max="1" width="11.5703125" style="59" customWidth="1"/>
    <col min="2" max="2" width="36.7109375" customWidth="1"/>
    <col min="3" max="3" width="0" hidden="1" customWidth="1"/>
    <col min="5" max="5" width="10.5703125" style="30" customWidth="1"/>
    <col min="6" max="6" width="10.5703125" style="34" customWidth="1"/>
    <col min="7" max="7" width="14" style="70" customWidth="1"/>
    <col min="8" max="8" width="24.140625" customWidth="1"/>
    <col min="9" max="9" width="16.28515625" customWidth="1"/>
    <col min="10" max="10" width="36.140625" style="34" customWidth="1"/>
  </cols>
  <sheetData>
    <row r="1" spans="1:10" ht="16.5" x14ac:dyDescent="0.3">
      <c r="A1" s="1" t="s">
        <v>8</v>
      </c>
      <c r="B1" s="2"/>
      <c r="C1" s="3"/>
      <c r="D1" s="3"/>
      <c r="E1" s="3"/>
      <c r="F1" s="4"/>
      <c r="G1" s="60"/>
      <c r="H1" s="5"/>
      <c r="I1" s="5"/>
      <c r="J1" s="31"/>
    </row>
    <row r="2" spans="1:10" x14ac:dyDescent="0.25">
      <c r="A2" s="6" t="s">
        <v>9</v>
      </c>
      <c r="B2" s="7"/>
      <c r="C2" s="8"/>
      <c r="D2" s="8"/>
      <c r="E2" s="8"/>
      <c r="F2" s="9"/>
      <c r="G2" s="61"/>
      <c r="H2" s="11"/>
      <c r="I2" s="11"/>
      <c r="J2" s="32"/>
    </row>
    <row r="3" spans="1:10" x14ac:dyDescent="0.25">
      <c r="A3" s="6" t="s">
        <v>10</v>
      </c>
      <c r="B3" s="7"/>
      <c r="C3" s="8"/>
      <c r="D3" s="8"/>
      <c r="E3" s="8"/>
      <c r="F3" s="9"/>
      <c r="G3" s="61"/>
      <c r="H3" s="10"/>
      <c r="I3" s="10"/>
      <c r="J3" s="32"/>
    </row>
    <row r="4" spans="1:10" x14ac:dyDescent="0.25">
      <c r="A4" s="13" t="s">
        <v>66</v>
      </c>
      <c r="B4" s="7"/>
      <c r="C4" s="8"/>
      <c r="D4" s="8"/>
      <c r="E4" s="8"/>
      <c r="F4" s="9"/>
      <c r="G4" s="62"/>
      <c r="H4" s="7"/>
      <c r="I4" s="12"/>
      <c r="J4" s="9"/>
    </row>
    <row r="5" spans="1:10" x14ac:dyDescent="0.25">
      <c r="A5" s="74" t="s">
        <v>0</v>
      </c>
      <c r="B5" s="14" t="s">
        <v>1</v>
      </c>
      <c r="C5" s="14" t="s">
        <v>2</v>
      </c>
      <c r="D5" s="14" t="s">
        <v>58</v>
      </c>
      <c r="E5" s="14" t="s">
        <v>3</v>
      </c>
      <c r="F5" s="33" t="s">
        <v>4</v>
      </c>
      <c r="G5" s="63" t="s">
        <v>11</v>
      </c>
      <c r="H5" s="14" t="s">
        <v>6</v>
      </c>
      <c r="I5" s="15"/>
      <c r="J5" s="14"/>
    </row>
    <row r="6" spans="1:10" s="44" customFormat="1" x14ac:dyDescent="0.25">
      <c r="A6" s="75">
        <v>42458</v>
      </c>
      <c r="B6" s="41" t="s">
        <v>28</v>
      </c>
      <c r="C6" s="42"/>
      <c r="D6" s="42"/>
      <c r="E6" s="43"/>
      <c r="F6" s="52" t="s">
        <v>29</v>
      </c>
      <c r="G6" s="65">
        <v>404429.55</v>
      </c>
      <c r="H6" s="46" t="s">
        <v>44</v>
      </c>
      <c r="I6" s="53" t="s">
        <v>67</v>
      </c>
      <c r="J6" s="41" t="s">
        <v>34</v>
      </c>
    </row>
    <row r="7" spans="1:10" s="44" customFormat="1" x14ac:dyDescent="0.25">
      <c r="A7" s="128" t="s">
        <v>157</v>
      </c>
      <c r="B7" s="121" t="s">
        <v>158</v>
      </c>
      <c r="C7" s="129"/>
      <c r="D7" s="130"/>
      <c r="E7" s="43"/>
      <c r="F7" s="111" t="s">
        <v>118</v>
      </c>
      <c r="G7" s="103">
        <v>448810</v>
      </c>
      <c r="H7" s="206" t="s">
        <v>223</v>
      </c>
      <c r="I7" s="53"/>
      <c r="J7" s="41"/>
    </row>
    <row r="8" spans="1:10" s="55" customFormat="1" x14ac:dyDescent="0.25">
      <c r="A8" s="79"/>
      <c r="B8" s="18" t="s">
        <v>7</v>
      </c>
      <c r="C8" s="16"/>
      <c r="D8" s="16"/>
      <c r="E8" s="16"/>
      <c r="F8" s="19"/>
      <c r="G8" s="69">
        <f>SUM(G6:G7)</f>
        <v>853239.55</v>
      </c>
      <c r="H8" s="18"/>
      <c r="I8" s="56"/>
      <c r="J8" s="33"/>
    </row>
    <row r="9" spans="1:10" x14ac:dyDescent="0.25">
      <c r="A9" s="80"/>
      <c r="B9" s="45"/>
      <c r="J9"/>
    </row>
    <row r="21" spans="1:10" x14ac:dyDescent="0.25">
      <c r="A21"/>
      <c r="E21"/>
      <c r="F21"/>
      <c r="G21"/>
      <c r="J21" s="34" t="s">
        <v>47</v>
      </c>
    </row>
  </sheetData>
  <pageMargins left="0.7" right="0.7" top="0.75" bottom="0.75" header="0.3" footer="0.3"/>
  <pageSetup orientation="portrait" horizontalDpi="360" verticalDpi="36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2"/>
  <sheetViews>
    <sheetView topLeftCell="A22" zoomScaleNormal="100" workbookViewId="0">
      <selection activeCell="Q9" sqref="Q9"/>
    </sheetView>
  </sheetViews>
  <sheetFormatPr defaultRowHeight="15" x14ac:dyDescent="0.25"/>
  <cols>
    <col min="1" max="1" width="11.5703125" style="59" customWidth="1"/>
    <col min="2" max="2" width="36.7109375" customWidth="1"/>
    <col min="3" max="3" width="0" hidden="1" customWidth="1"/>
    <col min="4" max="4" width="9.140625" style="192"/>
    <col min="5" max="5" width="12.5703125" style="193" customWidth="1"/>
    <col min="6" max="7" width="10.5703125" style="194" customWidth="1"/>
    <col min="8" max="8" width="14" style="195" customWidth="1"/>
    <col min="9" max="9" width="24.140625" style="192" customWidth="1"/>
    <col min="10" max="10" width="16.28515625" style="192" customWidth="1"/>
    <col min="11" max="11" width="36.140625" style="193" customWidth="1"/>
    <col min="12" max="12" width="11.42578125" bestFit="1" customWidth="1"/>
    <col min="13" max="13" width="13.28515625" bestFit="1" customWidth="1"/>
  </cols>
  <sheetData>
    <row r="1" spans="1:11" ht="16.5" x14ac:dyDescent="0.3">
      <c r="A1" s="1" t="s">
        <v>8</v>
      </c>
      <c r="B1" s="2"/>
      <c r="C1" s="3"/>
      <c r="D1" s="153"/>
      <c r="E1" s="154"/>
      <c r="F1" s="153"/>
      <c r="G1" s="153"/>
      <c r="H1" s="60"/>
      <c r="I1" s="155"/>
      <c r="J1" s="155"/>
      <c r="K1" s="156"/>
    </row>
    <row r="2" spans="1:11" x14ac:dyDescent="0.25">
      <c r="A2" s="6" t="s">
        <v>9</v>
      </c>
      <c r="B2" s="7"/>
      <c r="C2" s="8"/>
      <c r="D2" s="157"/>
      <c r="E2" s="158"/>
      <c r="F2" s="157"/>
      <c r="G2" s="157"/>
      <c r="H2" s="61"/>
      <c r="I2" s="159"/>
      <c r="J2" s="159"/>
      <c r="K2" s="160"/>
    </row>
    <row r="3" spans="1:11" x14ac:dyDescent="0.25">
      <c r="A3" s="127" t="s">
        <v>65</v>
      </c>
      <c r="B3" s="7"/>
      <c r="C3" s="8"/>
      <c r="D3" s="157"/>
      <c r="E3" s="158"/>
      <c r="F3" s="157"/>
      <c r="G3" s="157"/>
      <c r="H3" s="62"/>
      <c r="I3" s="161"/>
      <c r="J3" s="162"/>
      <c r="K3" s="158"/>
    </row>
    <row r="4" spans="1:11" x14ac:dyDescent="0.25">
      <c r="A4" s="74" t="s">
        <v>0</v>
      </c>
      <c r="B4" s="14" t="s">
        <v>1</v>
      </c>
      <c r="C4" s="14" t="s">
        <v>2</v>
      </c>
      <c r="D4" s="163" t="s">
        <v>89</v>
      </c>
      <c r="E4" s="163" t="s">
        <v>104</v>
      </c>
      <c r="F4" s="163" t="s">
        <v>3</v>
      </c>
      <c r="G4" s="163" t="s">
        <v>4</v>
      </c>
      <c r="H4" s="69" t="s">
        <v>5</v>
      </c>
      <c r="I4" s="163" t="s">
        <v>6</v>
      </c>
      <c r="J4" s="164"/>
      <c r="K4" s="163"/>
    </row>
    <row r="5" spans="1:11" s="35" customFormat="1" x14ac:dyDescent="0.25">
      <c r="A5" s="73">
        <v>43578</v>
      </c>
      <c r="B5" s="83" t="s">
        <v>17</v>
      </c>
      <c r="C5" s="17"/>
      <c r="D5" s="165" t="s">
        <v>91</v>
      </c>
      <c r="E5" s="150"/>
      <c r="F5" s="166"/>
      <c r="G5" s="166">
        <v>2787</v>
      </c>
      <c r="H5" s="64">
        <v>4430</v>
      </c>
      <c r="I5" s="83" t="s">
        <v>83</v>
      </c>
      <c r="J5" s="167"/>
      <c r="K5" s="168" t="s">
        <v>53</v>
      </c>
    </row>
    <row r="6" spans="1:11" s="44" customFormat="1" x14ac:dyDescent="0.25">
      <c r="A6" s="76">
        <v>43319</v>
      </c>
      <c r="B6" s="135" t="s">
        <v>93</v>
      </c>
      <c r="C6" s="108"/>
      <c r="D6" s="169" t="s">
        <v>91</v>
      </c>
      <c r="E6" s="170"/>
      <c r="F6" s="169"/>
      <c r="G6" s="169">
        <v>2209</v>
      </c>
      <c r="H6" s="109">
        <v>13315</v>
      </c>
      <c r="I6" s="170" t="s">
        <v>100</v>
      </c>
      <c r="J6" s="171"/>
      <c r="K6" s="58" t="s">
        <v>46</v>
      </c>
    </row>
    <row r="7" spans="1:11" s="44" customFormat="1" x14ac:dyDescent="0.25">
      <c r="A7" s="76">
        <v>43433</v>
      </c>
      <c r="B7" s="135" t="s">
        <v>93</v>
      </c>
      <c r="C7" s="108"/>
      <c r="D7" s="169" t="s">
        <v>91</v>
      </c>
      <c r="E7" s="170"/>
      <c r="F7" s="169"/>
      <c r="G7" s="169">
        <v>2427</v>
      </c>
      <c r="H7" s="109">
        <v>177934.4</v>
      </c>
      <c r="I7" s="170" t="s">
        <v>99</v>
      </c>
      <c r="J7" s="171"/>
      <c r="K7" s="58" t="s">
        <v>52</v>
      </c>
    </row>
    <row r="8" spans="1:11" s="35" customFormat="1" x14ac:dyDescent="0.25">
      <c r="A8" s="77">
        <v>43354</v>
      </c>
      <c r="B8" s="150" t="s">
        <v>48</v>
      </c>
      <c r="C8" s="17"/>
      <c r="D8" s="165" t="s">
        <v>91</v>
      </c>
      <c r="E8" s="150"/>
      <c r="F8" s="166"/>
      <c r="G8" s="166">
        <v>2265</v>
      </c>
      <c r="H8" s="66">
        <v>9800</v>
      </c>
      <c r="I8" s="150" t="s">
        <v>149</v>
      </c>
      <c r="J8" s="57"/>
      <c r="K8" s="58" t="s">
        <v>50</v>
      </c>
    </row>
    <row r="9" spans="1:11" s="35" customFormat="1" x14ac:dyDescent="0.25">
      <c r="A9" s="78">
        <v>43678</v>
      </c>
      <c r="B9" s="204" t="s">
        <v>56</v>
      </c>
      <c r="C9" s="49"/>
      <c r="D9" s="173" t="s">
        <v>90</v>
      </c>
      <c r="E9" s="174"/>
      <c r="F9" s="175"/>
      <c r="G9" s="175">
        <v>2987</v>
      </c>
      <c r="H9" s="104">
        <v>8430</v>
      </c>
      <c r="I9" s="174" t="s">
        <v>95</v>
      </c>
      <c r="J9" s="176"/>
      <c r="K9" s="177" t="s">
        <v>57</v>
      </c>
    </row>
    <row r="10" spans="1:11" s="71" customFormat="1" x14ac:dyDescent="0.25">
      <c r="A10" s="79">
        <v>42977</v>
      </c>
      <c r="B10" s="149" t="s">
        <v>37</v>
      </c>
      <c r="C10" s="16"/>
      <c r="D10" s="84" t="s">
        <v>90</v>
      </c>
      <c r="E10" s="83"/>
      <c r="F10" s="178"/>
      <c r="G10" s="178">
        <v>1473</v>
      </c>
      <c r="H10" s="72"/>
      <c r="I10" s="179" t="s">
        <v>40</v>
      </c>
      <c r="J10" s="180"/>
      <c r="K10" s="179" t="s">
        <v>41</v>
      </c>
    </row>
    <row r="11" spans="1:11" s="71" customFormat="1" x14ac:dyDescent="0.25">
      <c r="A11" s="79">
        <v>43599</v>
      </c>
      <c r="B11" s="151" t="s">
        <v>37</v>
      </c>
      <c r="C11" s="49"/>
      <c r="D11" s="84" t="s">
        <v>90</v>
      </c>
      <c r="E11" s="83"/>
      <c r="F11" s="178"/>
      <c r="G11" s="178">
        <v>2836</v>
      </c>
      <c r="H11" s="72">
        <v>22600</v>
      </c>
      <c r="I11" s="83" t="s">
        <v>96</v>
      </c>
      <c r="J11" s="180"/>
      <c r="K11" s="181" t="s">
        <v>54</v>
      </c>
    </row>
    <row r="12" spans="1:11" s="71" customFormat="1" x14ac:dyDescent="0.25">
      <c r="A12" s="79">
        <v>43816</v>
      </c>
      <c r="B12" s="151">
        <v>3</v>
      </c>
      <c r="C12" s="49"/>
      <c r="D12" s="165" t="s">
        <v>90</v>
      </c>
      <c r="E12" s="150"/>
      <c r="F12" s="166"/>
      <c r="G12" s="166">
        <v>3226</v>
      </c>
      <c r="H12" s="64">
        <v>196000</v>
      </c>
      <c r="I12" s="150" t="s">
        <v>97</v>
      </c>
      <c r="J12" s="182"/>
      <c r="K12" s="177" t="s">
        <v>60</v>
      </c>
    </row>
    <row r="13" spans="1:11" s="35" customFormat="1" x14ac:dyDescent="0.25">
      <c r="A13" s="145">
        <v>42808</v>
      </c>
      <c r="B13" s="41" t="s">
        <v>24</v>
      </c>
      <c r="C13" s="17"/>
      <c r="D13" s="165" t="s">
        <v>98</v>
      </c>
      <c r="E13" s="150"/>
      <c r="F13" s="166" t="s">
        <v>27</v>
      </c>
      <c r="G13" s="166">
        <v>1213</v>
      </c>
      <c r="H13" s="64">
        <v>239960</v>
      </c>
      <c r="I13" s="46" t="s">
        <v>141</v>
      </c>
      <c r="J13" s="172"/>
      <c r="K13" s="51" t="s">
        <v>38</v>
      </c>
    </row>
    <row r="14" spans="1:11" s="35" customFormat="1" x14ac:dyDescent="0.25">
      <c r="A14" s="77">
        <v>43629</v>
      </c>
      <c r="B14" s="152" t="s">
        <v>51</v>
      </c>
      <c r="C14" s="17"/>
      <c r="D14" s="165" t="s">
        <v>91</v>
      </c>
      <c r="E14" s="150"/>
      <c r="F14" s="166"/>
      <c r="G14" s="166">
        <v>2896</v>
      </c>
      <c r="H14" s="64">
        <v>9811</v>
      </c>
      <c r="I14" s="150" t="s">
        <v>101</v>
      </c>
      <c r="J14" s="183"/>
      <c r="K14" s="184" t="s">
        <v>55</v>
      </c>
    </row>
    <row r="15" spans="1:11" s="35" customFormat="1" x14ac:dyDescent="0.25">
      <c r="A15" s="77">
        <v>43269</v>
      </c>
      <c r="B15" s="148" t="s">
        <v>42</v>
      </c>
      <c r="C15" s="17"/>
      <c r="D15" s="165" t="s">
        <v>91</v>
      </c>
      <c r="E15" s="150"/>
      <c r="F15" s="166"/>
      <c r="G15" s="166" t="s">
        <v>227</v>
      </c>
      <c r="H15" s="64">
        <v>614950</v>
      </c>
      <c r="I15" s="150" t="s">
        <v>149</v>
      </c>
      <c r="J15" s="124"/>
      <c r="K15" s="184" t="s">
        <v>45</v>
      </c>
    </row>
    <row r="16" spans="1:11" s="44" customFormat="1" x14ac:dyDescent="0.25">
      <c r="A16" s="76">
        <v>43357</v>
      </c>
      <c r="B16" s="148" t="s">
        <v>36</v>
      </c>
      <c r="C16" s="42"/>
      <c r="D16" s="185" t="s">
        <v>90</v>
      </c>
      <c r="E16" s="148"/>
      <c r="F16" s="186"/>
      <c r="G16" s="186">
        <v>2204</v>
      </c>
      <c r="H16" s="68">
        <v>75000</v>
      </c>
      <c r="I16" s="46" t="s">
        <v>68</v>
      </c>
      <c r="J16" s="187"/>
      <c r="K16" s="50" t="s">
        <v>49</v>
      </c>
    </row>
    <row r="17" spans="1:12" s="36" customFormat="1" x14ac:dyDescent="0.25">
      <c r="A17" s="79">
        <v>42493</v>
      </c>
      <c r="B17" s="149" t="s">
        <v>23</v>
      </c>
      <c r="C17" s="16"/>
      <c r="D17" s="84" t="s">
        <v>92</v>
      </c>
      <c r="E17" s="83"/>
      <c r="F17" s="84"/>
      <c r="G17" s="178" t="s">
        <v>30</v>
      </c>
      <c r="H17" s="68">
        <v>63950</v>
      </c>
      <c r="I17" s="83" t="s">
        <v>325</v>
      </c>
      <c r="J17" s="188"/>
      <c r="K17" s="189"/>
    </row>
    <row r="18" spans="1:12" s="36" customFormat="1" x14ac:dyDescent="0.25">
      <c r="A18" s="79">
        <v>42516</v>
      </c>
      <c r="B18" s="149" t="s">
        <v>23</v>
      </c>
      <c r="C18" s="16"/>
      <c r="D18" s="84" t="s">
        <v>92</v>
      </c>
      <c r="E18" s="83"/>
      <c r="F18" s="84"/>
      <c r="G18" s="178" t="s">
        <v>31</v>
      </c>
      <c r="H18" s="68">
        <v>26000</v>
      </c>
      <c r="I18" s="83" t="s">
        <v>325</v>
      </c>
      <c r="J18" s="188"/>
      <c r="K18" s="189"/>
    </row>
    <row r="19" spans="1:12" s="36" customFormat="1" x14ac:dyDescent="0.25">
      <c r="A19" s="79">
        <v>42678</v>
      </c>
      <c r="B19" s="149" t="s">
        <v>23</v>
      </c>
      <c r="C19" s="16"/>
      <c r="D19" s="84" t="s">
        <v>92</v>
      </c>
      <c r="E19" s="83"/>
      <c r="F19" s="84"/>
      <c r="G19" s="84">
        <v>1004</v>
      </c>
      <c r="H19" s="68">
        <v>126500</v>
      </c>
      <c r="I19" s="83" t="s">
        <v>325</v>
      </c>
      <c r="J19" s="188"/>
      <c r="K19" s="146" t="s">
        <v>33</v>
      </c>
    </row>
    <row r="20" spans="1:12" s="36" customFormat="1" x14ac:dyDescent="0.25">
      <c r="A20" s="79">
        <v>42833</v>
      </c>
      <c r="B20" s="149" t="s">
        <v>23</v>
      </c>
      <c r="C20" s="16"/>
      <c r="D20" s="84" t="s">
        <v>92</v>
      </c>
      <c r="E20" s="83"/>
      <c r="F20" s="84"/>
      <c r="G20" s="84" t="s">
        <v>39</v>
      </c>
      <c r="H20" s="68">
        <v>41605</v>
      </c>
      <c r="I20" s="83" t="s">
        <v>325</v>
      </c>
      <c r="J20" s="188"/>
      <c r="K20" s="146" t="s">
        <v>35</v>
      </c>
    </row>
    <row r="21" spans="1:12" s="81" customFormat="1" x14ac:dyDescent="0.25">
      <c r="A21" s="97">
        <v>44270</v>
      </c>
      <c r="B21" s="135" t="s">
        <v>37</v>
      </c>
      <c r="C21" s="98"/>
      <c r="D21" s="138" t="s">
        <v>92</v>
      </c>
      <c r="E21" s="100"/>
      <c r="F21" s="138"/>
      <c r="G21" s="138">
        <v>4175</v>
      </c>
      <c r="H21" s="99"/>
      <c r="I21" s="100" t="s">
        <v>175</v>
      </c>
      <c r="J21" s="190"/>
      <c r="K21" s="100" t="s">
        <v>85</v>
      </c>
      <c r="L21" s="106"/>
    </row>
    <row r="22" spans="1:12" s="36" customFormat="1" x14ac:dyDescent="0.25">
      <c r="A22" s="107">
        <v>44326</v>
      </c>
      <c r="B22" s="54" t="s">
        <v>88</v>
      </c>
      <c r="C22" s="102"/>
      <c r="D22" s="84" t="s">
        <v>259</v>
      </c>
      <c r="E22" s="93"/>
      <c r="F22" s="130"/>
      <c r="G22" s="130" t="s">
        <v>228</v>
      </c>
      <c r="H22" s="103">
        <v>314028.25</v>
      </c>
      <c r="I22" s="93" t="s">
        <v>402</v>
      </c>
      <c r="J22" s="191"/>
      <c r="K22" s="93" t="s">
        <v>172</v>
      </c>
      <c r="L22" s="105"/>
    </row>
    <row r="23" spans="1:12" s="36" customFormat="1" x14ac:dyDescent="0.25">
      <c r="A23" s="107">
        <v>44399</v>
      </c>
      <c r="B23" s="121" t="s">
        <v>105</v>
      </c>
      <c r="C23" s="102"/>
      <c r="D23" s="130" t="s">
        <v>92</v>
      </c>
      <c r="E23" s="111"/>
      <c r="F23" s="130"/>
      <c r="G23" s="130">
        <v>4550</v>
      </c>
      <c r="H23" s="103"/>
      <c r="I23" s="93" t="s">
        <v>401</v>
      </c>
      <c r="J23" s="191"/>
      <c r="K23" s="93" t="s">
        <v>106</v>
      </c>
      <c r="L23" s="105"/>
    </row>
    <row r="24" spans="1:12" s="36" customFormat="1" x14ac:dyDescent="0.25">
      <c r="A24" s="101">
        <v>44510</v>
      </c>
      <c r="B24" s="121" t="s">
        <v>117</v>
      </c>
      <c r="C24" s="102"/>
      <c r="D24" s="130" t="s">
        <v>259</v>
      </c>
      <c r="E24" s="111"/>
      <c r="F24" s="130"/>
      <c r="G24" s="130" t="s">
        <v>118</v>
      </c>
      <c r="H24" s="103">
        <v>217098.64</v>
      </c>
      <c r="I24" s="93" t="s">
        <v>22</v>
      </c>
      <c r="J24" s="191"/>
      <c r="K24" s="93"/>
      <c r="L24" s="105"/>
    </row>
    <row r="25" spans="1:12" s="36" customFormat="1" x14ac:dyDescent="0.25">
      <c r="A25" s="101" t="s">
        <v>116</v>
      </c>
      <c r="B25" s="121" t="s">
        <v>117</v>
      </c>
      <c r="C25" s="102"/>
      <c r="D25" s="130" t="s">
        <v>259</v>
      </c>
      <c r="E25" s="111"/>
      <c r="F25" s="130"/>
      <c r="G25" s="130" t="s">
        <v>118</v>
      </c>
      <c r="H25" s="103">
        <v>299516.59999999998</v>
      </c>
      <c r="I25" s="93" t="s">
        <v>119</v>
      </c>
      <c r="J25" s="191"/>
      <c r="K25" s="93"/>
      <c r="L25" s="105"/>
    </row>
    <row r="26" spans="1:12" s="36" customFormat="1" x14ac:dyDescent="0.25">
      <c r="A26" s="101">
        <v>44539</v>
      </c>
      <c r="B26" s="147" t="s">
        <v>122</v>
      </c>
      <c r="C26" s="102"/>
      <c r="D26" s="130" t="s">
        <v>90</v>
      </c>
      <c r="E26" s="111"/>
      <c r="F26" s="130"/>
      <c r="G26" s="130">
        <v>4810</v>
      </c>
      <c r="H26" s="103"/>
      <c r="I26" s="93" t="s">
        <v>176</v>
      </c>
      <c r="J26" s="191"/>
      <c r="K26" s="93" t="s">
        <v>123</v>
      </c>
      <c r="L26" s="105"/>
    </row>
    <row r="27" spans="1:12" s="36" customFormat="1" x14ac:dyDescent="0.25">
      <c r="A27" s="101">
        <v>44539</v>
      </c>
      <c r="B27" s="147" t="s">
        <v>122</v>
      </c>
      <c r="C27" s="102"/>
      <c r="D27" s="130" t="s">
        <v>90</v>
      </c>
      <c r="E27" s="111"/>
      <c r="F27" s="130"/>
      <c r="G27" s="130">
        <v>4811</v>
      </c>
      <c r="H27" s="103"/>
      <c r="I27" s="93" t="s">
        <v>177</v>
      </c>
      <c r="J27" s="191"/>
      <c r="K27" s="93" t="s">
        <v>124</v>
      </c>
      <c r="L27" s="105"/>
    </row>
    <row r="28" spans="1:12" s="81" customFormat="1" x14ac:dyDescent="0.25">
      <c r="A28" s="134">
        <v>44844</v>
      </c>
      <c r="B28" s="135" t="s">
        <v>162</v>
      </c>
      <c r="C28" s="136"/>
      <c r="D28" s="138" t="s">
        <v>92</v>
      </c>
      <c r="E28" s="139"/>
      <c r="F28" s="138"/>
      <c r="G28" s="138">
        <v>5259</v>
      </c>
      <c r="H28" s="99"/>
      <c r="I28" s="100" t="s">
        <v>224</v>
      </c>
      <c r="J28" s="190"/>
      <c r="K28" s="100" t="s">
        <v>163</v>
      </c>
      <c r="L28" s="106"/>
    </row>
    <row r="29" spans="1:12" s="36" customFormat="1" x14ac:dyDescent="0.25">
      <c r="A29" s="128">
        <v>44893</v>
      </c>
      <c r="B29" s="121" t="s">
        <v>43</v>
      </c>
      <c r="C29" s="129"/>
      <c r="D29" s="130" t="s">
        <v>90</v>
      </c>
      <c r="E29" s="111"/>
      <c r="F29" s="130"/>
      <c r="G29" s="130">
        <v>5316</v>
      </c>
      <c r="H29" s="103">
        <v>28000</v>
      </c>
      <c r="I29" s="93" t="s">
        <v>235</v>
      </c>
      <c r="J29" s="191"/>
      <c r="K29" s="93" t="s">
        <v>173</v>
      </c>
      <c r="L29" s="105"/>
    </row>
    <row r="30" spans="1:12" s="36" customFormat="1" x14ac:dyDescent="0.25">
      <c r="A30" s="128">
        <v>44991</v>
      </c>
      <c r="B30" s="121" t="s">
        <v>43</v>
      </c>
      <c r="C30" s="129"/>
      <c r="D30" s="130" t="s">
        <v>90</v>
      </c>
      <c r="E30" s="111"/>
      <c r="F30" s="130"/>
      <c r="G30" s="130">
        <v>5427</v>
      </c>
      <c r="H30" s="103">
        <v>74500</v>
      </c>
      <c r="I30" s="93" t="s">
        <v>202</v>
      </c>
      <c r="J30" s="191"/>
      <c r="K30" s="93" t="s">
        <v>186</v>
      </c>
      <c r="L30" s="197"/>
    </row>
    <row r="31" spans="1:12" s="36" customFormat="1" x14ac:dyDescent="0.25">
      <c r="A31" s="128">
        <v>44995</v>
      </c>
      <c r="B31" s="215" t="s">
        <v>269</v>
      </c>
      <c r="C31" s="129"/>
      <c r="D31" s="130" t="s">
        <v>92</v>
      </c>
      <c r="E31" s="111"/>
      <c r="F31" s="130"/>
      <c r="G31" s="130">
        <v>5434</v>
      </c>
      <c r="H31" s="103">
        <v>28000</v>
      </c>
      <c r="I31" s="93" t="s">
        <v>252</v>
      </c>
      <c r="J31" s="191"/>
      <c r="K31" s="93" t="s">
        <v>187</v>
      </c>
      <c r="L31" s="197"/>
    </row>
    <row r="32" spans="1:12" s="36" customFormat="1" x14ac:dyDescent="0.25">
      <c r="A32" s="128">
        <v>45234</v>
      </c>
      <c r="B32" s="121" t="s">
        <v>43</v>
      </c>
      <c r="C32" s="129"/>
      <c r="D32" s="130" t="s">
        <v>90</v>
      </c>
      <c r="E32" s="111"/>
      <c r="F32" s="130"/>
      <c r="G32" s="130">
        <v>5647</v>
      </c>
      <c r="H32" s="103">
        <v>367550</v>
      </c>
      <c r="I32" s="103" t="s">
        <v>202</v>
      </c>
      <c r="J32" s="191"/>
      <c r="K32" s="93" t="s">
        <v>236</v>
      </c>
      <c r="L32" s="197"/>
    </row>
    <row r="33" spans="1:12" s="36" customFormat="1" x14ac:dyDescent="0.25">
      <c r="A33" s="128">
        <v>45342</v>
      </c>
      <c r="B33" s="207" t="s">
        <v>237</v>
      </c>
      <c r="C33" s="129"/>
      <c r="D33" s="130" t="s">
        <v>90</v>
      </c>
      <c r="E33" s="111"/>
      <c r="F33" s="130"/>
      <c r="G33" s="130" t="s">
        <v>336</v>
      </c>
      <c r="H33" s="103">
        <v>509500</v>
      </c>
      <c r="I33" s="103" t="s">
        <v>202</v>
      </c>
      <c r="J33" s="191"/>
      <c r="K33" s="93" t="s">
        <v>337</v>
      </c>
      <c r="L33" s="197"/>
    </row>
    <row r="34" spans="1:12" s="36" customFormat="1" x14ac:dyDescent="0.25">
      <c r="A34" s="128">
        <v>45393</v>
      </c>
      <c r="B34" s="121" t="s">
        <v>155</v>
      </c>
      <c r="C34" s="129"/>
      <c r="D34" s="130" t="s">
        <v>92</v>
      </c>
      <c r="E34" s="111"/>
      <c r="F34" s="130"/>
      <c r="G34" s="130">
        <v>5782</v>
      </c>
      <c r="H34" s="103">
        <v>52640</v>
      </c>
      <c r="I34" s="93" t="s">
        <v>306</v>
      </c>
      <c r="J34" s="191"/>
      <c r="K34" s="93" t="s">
        <v>254</v>
      </c>
      <c r="L34" s="197"/>
    </row>
    <row r="35" spans="1:12" s="36" customFormat="1" x14ac:dyDescent="0.25">
      <c r="A35" s="128">
        <v>45393</v>
      </c>
      <c r="B35" s="121" t="s">
        <v>155</v>
      </c>
      <c r="C35" s="129"/>
      <c r="D35" s="130" t="s">
        <v>92</v>
      </c>
      <c r="E35" s="111"/>
      <c r="F35" s="130"/>
      <c r="G35" s="130">
        <v>5783</v>
      </c>
      <c r="H35" s="103">
        <v>649500</v>
      </c>
      <c r="I35" s="93" t="s">
        <v>306</v>
      </c>
      <c r="J35" s="191"/>
      <c r="K35" s="93" t="s">
        <v>253</v>
      </c>
      <c r="L35" s="197"/>
    </row>
    <row r="36" spans="1:12" s="36" customFormat="1" x14ac:dyDescent="0.25">
      <c r="A36" s="128">
        <v>45421</v>
      </c>
      <c r="B36" s="121" t="s">
        <v>217</v>
      </c>
      <c r="C36" s="129"/>
      <c r="D36" s="130" t="s">
        <v>90</v>
      </c>
      <c r="E36" s="111"/>
      <c r="F36" s="130"/>
      <c r="G36" s="130">
        <v>5799</v>
      </c>
      <c r="H36" s="103">
        <v>101150</v>
      </c>
      <c r="I36" s="93" t="s">
        <v>202</v>
      </c>
      <c r="J36" s="191"/>
      <c r="K36" s="93" t="s">
        <v>267</v>
      </c>
      <c r="L36" s="197"/>
    </row>
    <row r="37" spans="1:12" s="36" customFormat="1" x14ac:dyDescent="0.25">
      <c r="A37" s="128">
        <v>45512</v>
      </c>
      <c r="B37" s="121" t="s">
        <v>301</v>
      </c>
      <c r="C37" s="129"/>
      <c r="D37" s="130" t="s">
        <v>90</v>
      </c>
      <c r="E37" s="111"/>
      <c r="F37" s="130"/>
      <c r="G37" s="130">
        <v>5860</v>
      </c>
      <c r="H37" s="103">
        <v>194000</v>
      </c>
      <c r="I37" s="93" t="s">
        <v>202</v>
      </c>
      <c r="J37" s="191"/>
      <c r="K37" s="93" t="s">
        <v>302</v>
      </c>
      <c r="L37" s="197"/>
    </row>
    <row r="38" spans="1:12" s="36" customFormat="1" x14ac:dyDescent="0.25">
      <c r="A38" s="128">
        <v>45516</v>
      </c>
      <c r="B38" s="121" t="s">
        <v>281</v>
      </c>
      <c r="C38" s="129"/>
      <c r="D38" s="130" t="s">
        <v>282</v>
      </c>
      <c r="E38" s="111"/>
      <c r="F38" s="130"/>
      <c r="G38" s="130" t="s">
        <v>365</v>
      </c>
      <c r="H38" s="103">
        <v>400000</v>
      </c>
      <c r="I38" s="93" t="s">
        <v>202</v>
      </c>
      <c r="J38" s="191"/>
      <c r="K38" s="93" t="s">
        <v>303</v>
      </c>
      <c r="L38" s="197"/>
    </row>
    <row r="39" spans="1:12" s="36" customFormat="1" x14ac:dyDescent="0.25">
      <c r="A39" s="128">
        <v>45518</v>
      </c>
      <c r="B39" s="121" t="s">
        <v>217</v>
      </c>
      <c r="C39" s="129"/>
      <c r="D39" s="130" t="s">
        <v>90</v>
      </c>
      <c r="E39" s="111"/>
      <c r="F39" s="130"/>
      <c r="G39" s="130">
        <v>5864</v>
      </c>
      <c r="H39" s="103">
        <v>254000</v>
      </c>
      <c r="I39" s="93" t="s">
        <v>202</v>
      </c>
      <c r="J39" s="191"/>
      <c r="K39" s="93" t="s">
        <v>304</v>
      </c>
      <c r="L39" s="197"/>
    </row>
    <row r="40" spans="1:12" s="36" customFormat="1" x14ac:dyDescent="0.25">
      <c r="A40" s="128">
        <v>45539</v>
      </c>
      <c r="B40" s="121" t="s">
        <v>217</v>
      </c>
      <c r="C40" s="129"/>
      <c r="D40" s="130" t="s">
        <v>90</v>
      </c>
      <c r="E40" s="111"/>
      <c r="F40" s="130"/>
      <c r="G40" s="130">
        <v>5879</v>
      </c>
      <c r="H40" s="103"/>
      <c r="I40" s="93" t="s">
        <v>308</v>
      </c>
      <c r="J40" s="191"/>
      <c r="K40" s="93" t="s">
        <v>309</v>
      </c>
      <c r="L40" s="197"/>
    </row>
    <row r="41" spans="1:12" s="36" customFormat="1" x14ac:dyDescent="0.25">
      <c r="A41" s="128">
        <v>45539</v>
      </c>
      <c r="B41" s="121" t="s">
        <v>217</v>
      </c>
      <c r="C41" s="129"/>
      <c r="D41" s="130" t="s">
        <v>90</v>
      </c>
      <c r="E41" s="111"/>
      <c r="F41" s="130"/>
      <c r="G41" s="130">
        <v>5880</v>
      </c>
      <c r="H41" s="103"/>
      <c r="I41" s="93" t="s">
        <v>310</v>
      </c>
      <c r="J41" s="191"/>
      <c r="K41" s="93" t="s">
        <v>311</v>
      </c>
      <c r="L41" s="197"/>
    </row>
    <row r="42" spans="1:12" s="36" customFormat="1" x14ac:dyDescent="0.25">
      <c r="A42" s="128">
        <v>45539</v>
      </c>
      <c r="B42" s="121" t="s">
        <v>217</v>
      </c>
      <c r="C42" s="129"/>
      <c r="D42" s="130" t="s">
        <v>90</v>
      </c>
      <c r="E42" s="111"/>
      <c r="F42" s="130"/>
      <c r="G42" s="130">
        <v>5881</v>
      </c>
      <c r="H42" s="103"/>
      <c r="I42" s="93" t="s">
        <v>312</v>
      </c>
      <c r="J42" s="191"/>
      <c r="K42" s="93" t="s">
        <v>313</v>
      </c>
      <c r="L42" s="197"/>
    </row>
    <row r="43" spans="1:12" s="36" customFormat="1" x14ac:dyDescent="0.25">
      <c r="A43" s="128">
        <v>45576</v>
      </c>
      <c r="B43" s="121" t="s">
        <v>43</v>
      </c>
      <c r="C43" s="129"/>
      <c r="D43" s="130" t="s">
        <v>90</v>
      </c>
      <c r="E43" s="111"/>
      <c r="F43" s="130"/>
      <c r="G43" s="130">
        <v>5895</v>
      </c>
      <c r="H43" s="103">
        <v>86500</v>
      </c>
      <c r="I43" s="93" t="s">
        <v>202</v>
      </c>
      <c r="J43" s="191"/>
      <c r="K43" s="93" t="s">
        <v>331</v>
      </c>
      <c r="L43" s="197"/>
    </row>
    <row r="44" spans="1:12" s="36" customFormat="1" x14ac:dyDescent="0.25">
      <c r="A44" s="128">
        <v>45582</v>
      </c>
      <c r="B44" s="121" t="s">
        <v>109</v>
      </c>
      <c r="C44" s="129"/>
      <c r="D44" s="130" t="s">
        <v>90</v>
      </c>
      <c r="E44" s="111"/>
      <c r="F44" s="130"/>
      <c r="G44" s="130" t="s">
        <v>344</v>
      </c>
      <c r="H44" s="103"/>
      <c r="I44" s="93" t="s">
        <v>333</v>
      </c>
      <c r="J44" s="191"/>
      <c r="K44" s="93" t="s">
        <v>345</v>
      </c>
      <c r="L44" s="197"/>
    </row>
    <row r="45" spans="1:12" s="36" customFormat="1" x14ac:dyDescent="0.25">
      <c r="A45" s="128">
        <v>45600</v>
      </c>
      <c r="B45" s="121" t="s">
        <v>270</v>
      </c>
      <c r="C45" s="129"/>
      <c r="D45" s="130" t="s">
        <v>90</v>
      </c>
      <c r="E45" s="111"/>
      <c r="F45" s="130"/>
      <c r="G45" s="130">
        <v>5918</v>
      </c>
      <c r="H45" s="103">
        <v>158985</v>
      </c>
      <c r="I45" s="93" t="s">
        <v>202</v>
      </c>
      <c r="J45" s="191"/>
      <c r="K45" s="93" t="s">
        <v>349</v>
      </c>
      <c r="L45" s="197"/>
    </row>
    <row r="46" spans="1:12" s="36" customFormat="1" x14ac:dyDescent="0.25">
      <c r="A46" s="128">
        <v>45601</v>
      </c>
      <c r="B46" s="121" t="s">
        <v>217</v>
      </c>
      <c r="C46" s="129"/>
      <c r="D46" s="130" t="s">
        <v>90</v>
      </c>
      <c r="E46" s="111"/>
      <c r="F46" s="130"/>
      <c r="G46" s="130">
        <v>5921</v>
      </c>
      <c r="H46" s="103"/>
      <c r="I46" s="93" t="s">
        <v>202</v>
      </c>
      <c r="J46" s="191"/>
      <c r="K46" s="93" t="s">
        <v>356</v>
      </c>
      <c r="L46" s="197"/>
    </row>
    <row r="47" spans="1:12" s="36" customFormat="1" x14ac:dyDescent="0.25">
      <c r="A47" s="128">
        <v>45608</v>
      </c>
      <c r="B47" s="121" t="s">
        <v>361</v>
      </c>
      <c r="C47" s="129"/>
      <c r="D47" s="130" t="s">
        <v>90</v>
      </c>
      <c r="E47" s="111"/>
      <c r="F47" s="130"/>
      <c r="G47" s="130">
        <v>5923</v>
      </c>
      <c r="H47" s="103">
        <v>29600</v>
      </c>
      <c r="I47" s="93" t="s">
        <v>362</v>
      </c>
      <c r="J47" s="191"/>
      <c r="K47" s="93" t="s">
        <v>363</v>
      </c>
      <c r="L47" s="197"/>
    </row>
    <row r="48" spans="1:12" s="36" customFormat="1" x14ac:dyDescent="0.25">
      <c r="A48" s="217">
        <v>45609</v>
      </c>
      <c r="B48" s="218" t="s">
        <v>43</v>
      </c>
      <c r="C48" s="219"/>
      <c r="D48" s="220" t="s">
        <v>90</v>
      </c>
      <c r="E48" s="221"/>
      <c r="F48" s="220"/>
      <c r="G48" s="220">
        <v>5928</v>
      </c>
      <c r="H48" s="222">
        <v>15500</v>
      </c>
      <c r="I48" s="223" t="s">
        <v>202</v>
      </c>
      <c r="J48" s="224"/>
      <c r="K48" s="223" t="s">
        <v>364</v>
      </c>
      <c r="L48" s="197"/>
    </row>
    <row r="49" spans="1:16" s="105" customFormat="1" ht="15" customHeight="1" x14ac:dyDescent="0.25">
      <c r="A49" s="128">
        <v>45616</v>
      </c>
      <c r="B49" s="205" t="s">
        <v>43</v>
      </c>
      <c r="C49" s="129"/>
      <c r="D49" s="130" t="s">
        <v>90</v>
      </c>
      <c r="E49" s="130"/>
      <c r="F49" s="130"/>
      <c r="G49" s="130">
        <v>5936</v>
      </c>
      <c r="H49" s="131"/>
      <c r="I49" s="110" t="s">
        <v>202</v>
      </c>
      <c r="J49" s="119"/>
      <c r="K49" s="46" t="s">
        <v>375</v>
      </c>
      <c r="L49" s="197"/>
      <c r="M49" s="197"/>
      <c r="N49" s="197"/>
      <c r="O49" s="230"/>
      <c r="P49" s="230"/>
    </row>
    <row r="50" spans="1:16" s="55" customFormat="1" x14ac:dyDescent="0.25">
      <c r="A50" s="73"/>
      <c r="B50" s="225" t="s">
        <v>7</v>
      </c>
      <c r="C50" s="17"/>
      <c r="D50" s="165"/>
      <c r="E50" s="150"/>
      <c r="F50" s="165"/>
      <c r="G50" s="165"/>
      <c r="H50" s="226">
        <f>SUM(H5:H49)</f>
        <v>5410353.8900000006</v>
      </c>
      <c r="I50" s="227"/>
      <c r="J50" s="228"/>
      <c r="K50" s="229"/>
    </row>
    <row r="51" spans="1:16" x14ac:dyDescent="0.25">
      <c r="A51" s="80"/>
      <c r="B51" s="132"/>
      <c r="E51" s="209"/>
      <c r="K51" s="192"/>
    </row>
    <row r="52" spans="1:16" x14ac:dyDescent="0.25">
      <c r="M52" s="48"/>
    </row>
    <row r="53" spans="1:16" x14ac:dyDescent="0.25">
      <c r="B53" t="s">
        <v>64</v>
      </c>
      <c r="M53" s="48"/>
    </row>
    <row r="54" spans="1:16" x14ac:dyDescent="0.25">
      <c r="M54" s="48"/>
    </row>
    <row r="62" spans="1:16" x14ac:dyDescent="0.25">
      <c r="A62"/>
      <c r="F62" s="192"/>
      <c r="G62" s="192"/>
      <c r="H62" s="196"/>
      <c r="K62" s="193" t="s">
        <v>47</v>
      </c>
    </row>
  </sheetData>
  <pageMargins left="0.7" right="0.7" top="0.75" bottom="0.75" header="0.3" footer="0.3"/>
  <pageSetup scale="55" fitToWidth="0" orientation="landscape" horizontalDpi="360" verticalDpi="36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selection activeCell="E10" sqref="E10"/>
    </sheetView>
  </sheetViews>
  <sheetFormatPr defaultRowHeight="15" x14ac:dyDescent="0.25"/>
  <cols>
    <col min="1" max="1" width="9.140625" style="59"/>
    <col min="3" max="3" width="9.140625" style="30"/>
    <col min="4" max="4" width="9.140625" style="59"/>
  </cols>
  <sheetData/>
  <pageMargins left="0.70866141732283472" right="0.70866141732283472" top="0.74803149606299213" bottom="0.74803149606299213" header="0.31496062992125984" footer="0.31496062992125984"/>
  <pageSetup scale="59" orientation="landscape" horizontalDpi="360" verticalDpi="36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7"/>
  <sheetViews>
    <sheetView workbookViewId="0">
      <selection activeCell="D19" sqref="D19"/>
    </sheetView>
  </sheetViews>
  <sheetFormatPr defaultRowHeight="15" x14ac:dyDescent="0.25"/>
  <cols>
    <col min="1" max="1" width="48.7109375" customWidth="1"/>
    <col min="2" max="2" width="41.28515625" style="48" customWidth="1"/>
  </cols>
  <sheetData>
    <row r="2" spans="1:2" ht="19.5" x14ac:dyDescent="0.3">
      <c r="A2" s="280" t="s">
        <v>379</v>
      </c>
      <c r="B2" s="282"/>
    </row>
    <row r="3" spans="1:2" ht="19.5" x14ac:dyDescent="0.3">
      <c r="A3" s="1091" t="s">
        <v>380</v>
      </c>
      <c r="B3" s="1091"/>
    </row>
    <row r="4" spans="1:2" ht="19.5" x14ac:dyDescent="0.3">
      <c r="A4" s="279"/>
      <c r="B4" s="283"/>
    </row>
    <row r="5" spans="1:2" ht="15.75" x14ac:dyDescent="0.25">
      <c r="A5" s="238" t="s">
        <v>381</v>
      </c>
      <c r="B5" s="284" t="s">
        <v>378</v>
      </c>
    </row>
    <row r="6" spans="1:2" ht="15.75" x14ac:dyDescent="0.25">
      <c r="A6" s="238"/>
      <c r="B6" s="284"/>
    </row>
    <row r="7" spans="1:2" ht="15.75" x14ac:dyDescent="0.25">
      <c r="A7" s="281" t="s">
        <v>382</v>
      </c>
      <c r="B7" s="126"/>
    </row>
    <row r="8" spans="1:2" ht="17.25" x14ac:dyDescent="0.3">
      <c r="A8" s="247" t="s">
        <v>383</v>
      </c>
      <c r="B8" s="285">
        <v>2431598.5099999998</v>
      </c>
    </row>
    <row r="9" spans="1:2" ht="17.25" x14ac:dyDescent="0.3">
      <c r="A9" s="247" t="s">
        <v>384</v>
      </c>
      <c r="B9" s="285">
        <v>1530777.37</v>
      </c>
    </row>
    <row r="10" spans="1:2" ht="17.25" x14ac:dyDescent="0.3">
      <c r="A10" s="247" t="s">
        <v>385</v>
      </c>
      <c r="B10" s="285">
        <v>2645432.1</v>
      </c>
    </row>
    <row r="11" spans="1:2" ht="16.5" x14ac:dyDescent="0.3">
      <c r="A11" s="281" t="s">
        <v>387</v>
      </c>
      <c r="B11" s="285"/>
    </row>
    <row r="12" spans="1:2" ht="17.25" x14ac:dyDescent="0.3">
      <c r="A12" s="245" t="s">
        <v>386</v>
      </c>
      <c r="B12" s="285">
        <v>2494782.73</v>
      </c>
    </row>
    <row r="13" spans="1:2" ht="17.25" x14ac:dyDescent="0.3">
      <c r="A13" s="245" t="s">
        <v>388</v>
      </c>
      <c r="B13" s="285">
        <v>3998000</v>
      </c>
    </row>
    <row r="14" spans="1:2" ht="17.25" x14ac:dyDescent="0.3">
      <c r="A14" s="245" t="s">
        <v>389</v>
      </c>
      <c r="B14" s="285">
        <v>3949996.62</v>
      </c>
    </row>
    <row r="15" spans="1:2" ht="17.25" x14ac:dyDescent="0.3">
      <c r="A15" s="245" t="s">
        <v>390</v>
      </c>
      <c r="B15" s="285">
        <v>1068325.57</v>
      </c>
    </row>
    <row r="16" spans="1:2" ht="17.25" x14ac:dyDescent="0.3">
      <c r="A16" s="245" t="s">
        <v>391</v>
      </c>
      <c r="B16" s="285">
        <v>3520000</v>
      </c>
    </row>
    <row r="17" spans="1:2" ht="15.75" x14ac:dyDescent="0.25">
      <c r="A17" s="510" t="s">
        <v>32</v>
      </c>
      <c r="B17" s="511">
        <f>SUM(B8:B16)</f>
        <v>21638912.900000002</v>
      </c>
    </row>
    <row r="23" spans="1:2" x14ac:dyDescent="0.25">
      <c r="A23" t="s">
        <v>392</v>
      </c>
    </row>
    <row r="26" spans="1:2" x14ac:dyDescent="0.25">
      <c r="A26" t="s">
        <v>437</v>
      </c>
    </row>
    <row r="27" spans="1:2" x14ac:dyDescent="0.25">
      <c r="A27" t="s">
        <v>502</v>
      </c>
    </row>
  </sheetData>
  <mergeCells count="1">
    <mergeCell ref="A3:B3"/>
  </mergeCells>
  <pageMargins left="0.70866141732283472" right="0.70866141732283472" top="0.74803149606299213" bottom="0.74803149606299213" header="0.31496062992125984" footer="0.31496062992125984"/>
  <pageSetup paperSize="9" orientation="landscape" horizontalDpi="360" verticalDpi="36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I12" sqref="I12"/>
    </sheetView>
  </sheetViews>
  <sheetFormatPr defaultRowHeight="15" x14ac:dyDescent="0.25"/>
  <cols>
    <col min="1" max="2" width="40.85546875" customWidth="1"/>
    <col min="3" max="3" width="18.5703125" customWidth="1"/>
    <col min="4" max="4" width="17.140625" customWidth="1"/>
    <col min="5" max="5" width="19.28515625" customWidth="1"/>
  </cols>
  <sheetData>
    <row r="1" spans="1:5" x14ac:dyDescent="0.25">
      <c r="C1" s="48"/>
    </row>
    <row r="2" spans="1:5" ht="19.5" x14ac:dyDescent="0.3">
      <c r="A2" s="280" t="s">
        <v>379</v>
      </c>
      <c r="B2" s="280"/>
      <c r="C2" s="282"/>
    </row>
    <row r="3" spans="1:5" ht="19.5" x14ac:dyDescent="0.3">
      <c r="A3" s="1091" t="s">
        <v>380</v>
      </c>
      <c r="B3" s="1091"/>
      <c r="C3" s="1091"/>
    </row>
    <row r="4" spans="1:5" ht="19.5" x14ac:dyDescent="0.3">
      <c r="A4" s="513"/>
      <c r="B4" s="972"/>
      <c r="C4" s="283"/>
    </row>
    <row r="5" spans="1:5" ht="18.75" x14ac:dyDescent="0.3">
      <c r="A5" s="238" t="s">
        <v>381</v>
      </c>
      <c r="B5" s="238" t="s">
        <v>627</v>
      </c>
      <c r="C5" s="284" t="s">
        <v>378</v>
      </c>
      <c r="D5" s="975" t="s">
        <v>553</v>
      </c>
      <c r="E5" s="975" t="s">
        <v>323</v>
      </c>
    </row>
    <row r="6" spans="1:5" ht="15.75" x14ac:dyDescent="0.25">
      <c r="A6" s="238"/>
      <c r="B6" s="238"/>
      <c r="C6" s="284"/>
      <c r="D6" s="20"/>
      <c r="E6" s="20"/>
    </row>
    <row r="7" spans="1:5" ht="15.75" x14ac:dyDescent="0.25">
      <c r="A7" s="281" t="s">
        <v>382</v>
      </c>
      <c r="B7" s="976"/>
      <c r="C7" s="126"/>
      <c r="D7" s="20"/>
      <c r="E7" s="20"/>
    </row>
    <row r="8" spans="1:5" ht="17.25" x14ac:dyDescent="0.3">
      <c r="A8" s="247" t="s">
        <v>383</v>
      </c>
      <c r="B8" s="977">
        <v>3490938</v>
      </c>
      <c r="C8" s="285">
        <v>2431598.5099999998</v>
      </c>
      <c r="D8" s="20"/>
      <c r="E8" s="999">
        <v>2431598.5099999998</v>
      </c>
    </row>
    <row r="9" spans="1:5" ht="17.25" x14ac:dyDescent="0.3">
      <c r="A9" s="247" t="s">
        <v>384</v>
      </c>
      <c r="B9" s="977">
        <v>3996077.4</v>
      </c>
      <c r="C9" s="285">
        <v>1530777.37</v>
      </c>
      <c r="D9" s="995">
        <v>365583.54</v>
      </c>
      <c r="E9" s="996">
        <v>1165193.83</v>
      </c>
    </row>
    <row r="10" spans="1:5" ht="17.25" x14ac:dyDescent="0.3">
      <c r="A10" s="247" t="s">
        <v>385</v>
      </c>
      <c r="B10" s="977">
        <v>3997932.75</v>
      </c>
      <c r="C10" s="285">
        <v>2645432.1</v>
      </c>
      <c r="D10" s="996">
        <v>1131589.8799999999</v>
      </c>
      <c r="E10" s="996">
        <v>1513842.22</v>
      </c>
    </row>
    <row r="11" spans="1:5" ht="16.5" x14ac:dyDescent="0.3">
      <c r="A11" s="281" t="s">
        <v>387</v>
      </c>
      <c r="B11" s="976"/>
      <c r="C11" s="285"/>
      <c r="D11" s="997"/>
      <c r="E11" s="997"/>
    </row>
    <row r="12" spans="1:5" ht="17.25" x14ac:dyDescent="0.3">
      <c r="A12" s="245" t="s">
        <v>386</v>
      </c>
      <c r="B12" s="977">
        <v>2494782.73</v>
      </c>
      <c r="C12" s="285">
        <v>2494782.73</v>
      </c>
      <c r="D12" s="997"/>
      <c r="E12" s="998">
        <v>2494782.73</v>
      </c>
    </row>
    <row r="13" spans="1:5" ht="17.25" x14ac:dyDescent="0.3">
      <c r="A13" s="245" t="s">
        <v>388</v>
      </c>
      <c r="B13" s="977">
        <v>3998000</v>
      </c>
      <c r="C13" s="285">
        <v>3998000</v>
      </c>
      <c r="D13" s="996">
        <v>2061468.75</v>
      </c>
      <c r="E13" s="996">
        <v>1936531.25</v>
      </c>
    </row>
    <row r="14" spans="1:5" ht="17.25" x14ac:dyDescent="0.3">
      <c r="A14" s="245" t="s">
        <v>390</v>
      </c>
      <c r="B14" s="977">
        <v>3998000</v>
      </c>
      <c r="C14" s="285">
        <v>1068325.57</v>
      </c>
      <c r="D14" s="997"/>
      <c r="E14" s="998">
        <v>1068325.57</v>
      </c>
    </row>
    <row r="15" spans="1:5" ht="17.25" x14ac:dyDescent="0.3">
      <c r="A15" s="245" t="s">
        <v>391</v>
      </c>
      <c r="B15" s="977">
        <v>3520000</v>
      </c>
      <c r="C15" s="285">
        <v>3520000</v>
      </c>
      <c r="D15" s="996">
        <v>1815000</v>
      </c>
      <c r="E15" s="996">
        <v>1705000</v>
      </c>
    </row>
    <row r="16" spans="1:5" ht="18.75" x14ac:dyDescent="0.3">
      <c r="A16" s="510" t="s">
        <v>32</v>
      </c>
      <c r="B16" s="510"/>
      <c r="C16" s="511">
        <f>SUM(C8:C15)</f>
        <v>17688916.280000001</v>
      </c>
      <c r="D16" s="893">
        <f>SUM(D9:D15)</f>
        <v>5373642.1699999999</v>
      </c>
      <c r="E16" s="892">
        <f>SUM(E8:E15)</f>
        <v>12315274.109999999</v>
      </c>
    </row>
    <row r="17" spans="1:3" x14ac:dyDescent="0.25">
      <c r="C17" s="48"/>
    </row>
    <row r="18" spans="1:3" x14ac:dyDescent="0.25">
      <c r="C18" s="48"/>
    </row>
    <row r="19" spans="1:3" x14ac:dyDescent="0.25">
      <c r="C19" s="48"/>
    </row>
    <row r="20" spans="1:3" x14ac:dyDescent="0.25">
      <c r="C20" s="48"/>
    </row>
    <row r="21" spans="1:3" x14ac:dyDescent="0.25">
      <c r="C21" s="48"/>
    </row>
    <row r="22" spans="1:3" x14ac:dyDescent="0.25">
      <c r="A22" t="s">
        <v>392</v>
      </c>
      <c r="C22" s="48"/>
    </row>
    <row r="23" spans="1:3" x14ac:dyDescent="0.25">
      <c r="C23" s="48"/>
    </row>
    <row r="24" spans="1:3" x14ac:dyDescent="0.25">
      <c r="C24" s="48"/>
    </row>
    <row r="25" spans="1:3" x14ac:dyDescent="0.25">
      <c r="A25" t="s">
        <v>437</v>
      </c>
      <c r="C25" s="48"/>
    </row>
    <row r="26" spans="1:3" x14ac:dyDescent="0.25">
      <c r="A26" t="s">
        <v>502</v>
      </c>
      <c r="C26" s="48" t="s">
        <v>721</v>
      </c>
    </row>
    <row r="27" spans="1:3" x14ac:dyDescent="0.25">
      <c r="C27" s="48"/>
    </row>
  </sheetData>
  <mergeCells count="1">
    <mergeCell ref="A3:C3"/>
  </mergeCells>
  <pageMargins left="0.70866141732283472" right="0.70866141732283472" top="0.74803149606299213" bottom="0.74803149606299213" header="0.31496062992125984" footer="0.31496062992125984"/>
  <pageSetup paperSize="9" scale="80" fitToWidth="0" orientation="landscape" horizontalDpi="360" verticalDpi="36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4"/>
  <sheetViews>
    <sheetView workbookViewId="0">
      <selection activeCell="C27" sqref="C27"/>
    </sheetView>
  </sheetViews>
  <sheetFormatPr defaultRowHeight="15" x14ac:dyDescent="0.25"/>
  <cols>
    <col min="1" max="1" width="48.7109375" customWidth="1"/>
    <col min="2" max="3" width="41.28515625" style="990" customWidth="1"/>
    <col min="4" max="4" width="39.42578125" customWidth="1"/>
  </cols>
  <sheetData>
    <row r="2" spans="1:4" ht="19.5" x14ac:dyDescent="0.3">
      <c r="A2" s="1091" t="s">
        <v>393</v>
      </c>
      <c r="B2" s="1091"/>
      <c r="C2" s="987"/>
    </row>
    <row r="3" spans="1:4" ht="19.5" x14ac:dyDescent="0.3">
      <c r="A3" s="1091" t="s">
        <v>380</v>
      </c>
      <c r="B3" s="1091"/>
      <c r="C3" s="987"/>
    </row>
    <row r="4" spans="1:4" ht="19.5" x14ac:dyDescent="0.3">
      <c r="A4" s="279"/>
      <c r="B4" s="283"/>
      <c r="C4" s="283"/>
    </row>
    <row r="5" spans="1:4" ht="15.75" x14ac:dyDescent="0.25">
      <c r="A5" s="238" t="s">
        <v>381</v>
      </c>
      <c r="B5" s="284" t="s">
        <v>378</v>
      </c>
      <c r="C5" s="284" t="s">
        <v>891</v>
      </c>
      <c r="D5" s="286" t="s">
        <v>6</v>
      </c>
    </row>
    <row r="6" spans="1:4" ht="15.75" x14ac:dyDescent="0.25">
      <c r="A6" s="238"/>
      <c r="B6" s="284"/>
      <c r="C6" s="284"/>
      <c r="D6" s="20"/>
    </row>
    <row r="7" spans="1:4" ht="15.75" x14ac:dyDescent="0.25">
      <c r="A7" s="281" t="s">
        <v>382</v>
      </c>
      <c r="B7" s="988"/>
      <c r="C7" s="988"/>
      <c r="D7" s="20"/>
    </row>
    <row r="8" spans="1:4" ht="17.25" x14ac:dyDescent="0.3">
      <c r="A8" s="247" t="s">
        <v>394</v>
      </c>
      <c r="B8" s="989">
        <v>1799666.09</v>
      </c>
      <c r="C8" s="991" t="s">
        <v>890</v>
      </c>
      <c r="D8" s="20"/>
    </row>
    <row r="9" spans="1:4" ht="17.25" x14ac:dyDescent="0.3">
      <c r="A9" s="247" t="s">
        <v>395</v>
      </c>
      <c r="B9" s="989">
        <v>1994312.36</v>
      </c>
      <c r="C9" s="991" t="s">
        <v>889</v>
      </c>
      <c r="D9" s="20"/>
    </row>
    <row r="10" spans="1:4" ht="17.25" x14ac:dyDescent="0.3">
      <c r="A10" s="247" t="s">
        <v>396</v>
      </c>
      <c r="B10" s="989">
        <v>1499686.14</v>
      </c>
      <c r="C10" s="991" t="s">
        <v>888</v>
      </c>
      <c r="D10" s="20"/>
    </row>
    <row r="11" spans="1:4" ht="17.25" x14ac:dyDescent="0.3">
      <c r="A11" s="247"/>
      <c r="B11" s="991" t="s">
        <v>32</v>
      </c>
      <c r="C11" s="992" t="s">
        <v>892</v>
      </c>
      <c r="D11" s="20"/>
    </row>
    <row r="12" spans="1:4" ht="16.5" x14ac:dyDescent="0.3">
      <c r="A12" s="281" t="s">
        <v>387</v>
      </c>
      <c r="B12" s="989"/>
      <c r="C12" s="989"/>
      <c r="D12" s="20"/>
    </row>
    <row r="13" spans="1:4" ht="17.25" x14ac:dyDescent="0.3">
      <c r="A13" s="245" t="s">
        <v>397</v>
      </c>
      <c r="B13" s="989">
        <v>497749.82</v>
      </c>
      <c r="C13" s="989"/>
      <c r="D13" s="20" t="s">
        <v>398</v>
      </c>
    </row>
    <row r="14" spans="1:4" ht="15.75" x14ac:dyDescent="0.25">
      <c r="A14" s="510" t="s">
        <v>32</v>
      </c>
      <c r="B14" s="973">
        <v>497749.82</v>
      </c>
      <c r="C14" s="973"/>
      <c r="D14" s="20"/>
    </row>
    <row r="20" spans="1:1" x14ac:dyDescent="0.25">
      <c r="A20" t="s">
        <v>392</v>
      </c>
    </row>
    <row r="23" spans="1:1" x14ac:dyDescent="0.25">
      <c r="A23" t="s">
        <v>437</v>
      </c>
    </row>
    <row r="24" spans="1:1" x14ac:dyDescent="0.25">
      <c r="A24" t="s">
        <v>502</v>
      </c>
    </row>
  </sheetData>
  <mergeCells count="2">
    <mergeCell ref="A3:B3"/>
    <mergeCell ref="A2:B2"/>
  </mergeCells>
  <pageMargins left="0.70866141732283472" right="0.70866141732283472" top="0.74803149606299213" bottom="0.74803149606299213" header="0.31496062992125984" footer="0.31496062992125984"/>
  <pageSetup paperSize="9" scale="70" fitToWidth="0" orientation="landscape"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9"/>
  <sheetViews>
    <sheetView workbookViewId="0">
      <selection activeCell="B24" sqref="B24"/>
    </sheetView>
  </sheetViews>
  <sheetFormatPr defaultRowHeight="15" x14ac:dyDescent="0.25"/>
  <cols>
    <col min="1" max="3" width="48.7109375" customWidth="1"/>
    <col min="4" max="4" width="41.28515625" style="48" customWidth="1"/>
    <col min="5" max="5" width="18.140625" customWidth="1"/>
  </cols>
  <sheetData>
    <row r="2" spans="1:4" ht="19.5" x14ac:dyDescent="0.3">
      <c r="A2" s="280" t="s">
        <v>400</v>
      </c>
      <c r="B2" s="280"/>
      <c r="C2" s="280"/>
      <c r="D2" s="282"/>
    </row>
    <row r="3" spans="1:4" ht="19.5" x14ac:dyDescent="0.3">
      <c r="A3" s="1091" t="s">
        <v>380</v>
      </c>
      <c r="B3" s="1091"/>
      <c r="C3" s="1091"/>
      <c r="D3" s="1091"/>
    </row>
    <row r="4" spans="1:4" ht="19.5" x14ac:dyDescent="0.3">
      <c r="A4" s="287"/>
      <c r="B4" s="969"/>
      <c r="C4" s="969"/>
      <c r="D4" s="283"/>
    </row>
    <row r="5" spans="1:4" ht="15.75" x14ac:dyDescent="0.25">
      <c r="A5" s="238" t="s">
        <v>381</v>
      </c>
      <c r="B5" s="238" t="s">
        <v>627</v>
      </c>
      <c r="C5" s="238" t="s">
        <v>628</v>
      </c>
      <c r="D5" s="284" t="s">
        <v>629</v>
      </c>
    </row>
    <row r="6" spans="1:4" ht="15.75" x14ac:dyDescent="0.25">
      <c r="A6" s="238"/>
      <c r="B6" s="238"/>
      <c r="C6" s="238"/>
      <c r="D6" s="284"/>
    </row>
    <row r="7" spans="1:4" s="30" customFormat="1" ht="17.25" x14ac:dyDescent="0.3">
      <c r="A7" s="246" t="s">
        <v>399</v>
      </c>
      <c r="B7" s="970">
        <v>23954529.059999999</v>
      </c>
      <c r="C7" s="970">
        <v>15352763.08</v>
      </c>
      <c r="D7" s="974">
        <f>+B7-C7</f>
        <v>8601765.9799999986</v>
      </c>
    </row>
    <row r="8" spans="1:4" s="30" customFormat="1" ht="17.25" x14ac:dyDescent="0.3">
      <c r="A8" s="246" t="s">
        <v>399</v>
      </c>
      <c r="B8" s="970"/>
      <c r="C8" s="970">
        <v>6056123.5499999998</v>
      </c>
      <c r="D8" s="974">
        <v>6056123.5499999998</v>
      </c>
    </row>
    <row r="9" spans="1:4" s="30" customFormat="1" ht="15.75" x14ac:dyDescent="0.25">
      <c r="A9" s="510" t="s">
        <v>32</v>
      </c>
      <c r="B9" s="510"/>
      <c r="C9" s="510"/>
      <c r="D9" s="973">
        <v>2545642.4300000002</v>
      </c>
    </row>
    <row r="14" spans="1:4" x14ac:dyDescent="0.25">
      <c r="C14" s="971"/>
    </row>
    <row r="15" spans="1:4" x14ac:dyDescent="0.25">
      <c r="A15" t="s">
        <v>392</v>
      </c>
    </row>
    <row r="18" spans="1:1" x14ac:dyDescent="0.25">
      <c r="A18" t="s">
        <v>437</v>
      </c>
    </row>
    <row r="19" spans="1:1" x14ac:dyDescent="0.25">
      <c r="A19" t="s">
        <v>502</v>
      </c>
    </row>
  </sheetData>
  <mergeCells count="1">
    <mergeCell ref="A3:D3"/>
  </mergeCells>
  <pageMargins left="0.23622047244094491" right="0.23622047244094491" top="0.74803149606299213" bottom="0.74803149606299213" header="0.31496062992125984" footer="0.31496062992125984"/>
  <pageSetup paperSize="9" scale="7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NOV 2024</vt:lpstr>
      <vt:lpstr>DEC. 2024</vt:lpstr>
      <vt:lpstr>BEVS JAN 2025</vt:lpstr>
      <vt:lpstr>FEB.25</vt:lpstr>
      <vt:lpstr>MARCH 25</vt:lpstr>
      <vt:lpstr>APRIL 25</vt:lpstr>
      <vt:lpstr>MAY 25</vt:lpstr>
      <vt:lpstr>JUNE 2025</vt:lpstr>
      <vt:lpstr>JULY 2025</vt:lpstr>
      <vt:lpstr>AUG 2025</vt:lpstr>
      <vt:lpstr>SEPT. 2025</vt:lpstr>
      <vt:lpstr>OCT.2025</vt:lpstr>
      <vt:lpstr> OCT. NEW FILE 25</vt:lpstr>
      <vt:lpstr>NOV.2025</vt:lpstr>
      <vt:lpstr>DEC. 2025</vt:lpstr>
      <vt:lpstr>JAN 2026</vt:lpstr>
      <vt:lpstr>FEB 2026</vt:lpstr>
      <vt:lpstr>MACH 2026</vt:lpstr>
      <vt:lpstr>APRIL 2026</vt:lpstr>
      <vt:lpstr>MAY 2026</vt:lpstr>
      <vt:lpstr>JUNE 2026</vt:lpstr>
      <vt:lpstr>JULY 2026</vt:lpstr>
      <vt:lpstr>AUG. 2026</vt:lpstr>
      <vt:lpstr>AGING 2024</vt:lpstr>
      <vt:lpstr>AGING SUMMARY</vt:lpstr>
      <vt:lpstr>BID BOND</vt:lpstr>
      <vt:lpstr>PERFORMANCE BOND</vt:lpstr>
      <vt:lpstr>RETENTION</vt:lpstr>
      <vt:lpstr>RETENTION BEVS COPY</vt:lpstr>
      <vt:lpstr>WRITE OFF ACCTS</vt:lpstr>
      <vt:lpstr>ACCTS WITH ISSUES</vt:lpstr>
      <vt:lpstr>ACCTS WITH PDC</vt:lpstr>
      <vt:lpstr>MATI PROJECTS</vt:lpstr>
      <vt:lpstr>BEVS COPY FOR MATI PROJECT</vt:lpstr>
      <vt:lpstr>UNPAID RETENTION - PANABO</vt:lpstr>
      <vt:lpstr>JOAN-DPWH</vt:lpstr>
      <vt:lpstr>'MARCH 25'!Print_Area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dc:creator>
  <cp:lastModifiedBy>user</cp:lastModifiedBy>
  <cp:lastPrinted>2026-08-07T07:02:53Z</cp:lastPrinted>
  <dcterms:created xsi:type="dcterms:W3CDTF">2014-07-15T06:56:25Z</dcterms:created>
  <dcterms:modified xsi:type="dcterms:W3CDTF">2026-09-01T06:04:08Z</dcterms:modified>
</cp:coreProperties>
</file>