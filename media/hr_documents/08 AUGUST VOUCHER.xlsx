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 tabRatio="674"/>
  </bookViews>
  <sheets>
    <sheet name="CV MONITORING" sheetId="3" r:id="rId1"/>
    <sheet name="380" sheetId="96" r:id="rId2"/>
    <sheet name="379" sheetId="95" r:id="rId3"/>
    <sheet name="378" sheetId="93" r:id="rId4"/>
    <sheet name="377" sheetId="94" r:id="rId5"/>
    <sheet name="376" sheetId="92" r:id="rId6"/>
    <sheet name="375" sheetId="91" r:id="rId7"/>
    <sheet name="374" sheetId="90" r:id="rId8"/>
    <sheet name="373" sheetId="89" r:id="rId9"/>
    <sheet name="372" sheetId="88" r:id="rId10"/>
    <sheet name="371" sheetId="87" r:id="rId11"/>
    <sheet name="370" sheetId="86" r:id="rId12"/>
    <sheet name="369" sheetId="85" r:id="rId13"/>
    <sheet name="368" sheetId="84" r:id="rId14"/>
    <sheet name="367" sheetId="83" r:id="rId15"/>
    <sheet name="366" sheetId="82" r:id="rId16"/>
    <sheet name="365" sheetId="81" r:id="rId17"/>
    <sheet name="364" sheetId="80" r:id="rId18"/>
    <sheet name="363" sheetId="79" r:id="rId19"/>
    <sheet name="362" sheetId="78" r:id="rId20"/>
    <sheet name="361" sheetId="77" r:id="rId21"/>
    <sheet name="360" sheetId="76" r:id="rId22"/>
    <sheet name="359" sheetId="75" r:id="rId23"/>
    <sheet name="358" sheetId="74" r:id="rId24"/>
    <sheet name="357" sheetId="73" r:id="rId25"/>
    <sheet name="356" sheetId="72" r:id="rId26"/>
    <sheet name="355" sheetId="70" r:id="rId27"/>
    <sheet name="354" sheetId="69" r:id="rId28"/>
    <sheet name="353" sheetId="68" r:id="rId29"/>
    <sheet name="352" sheetId="67" r:id="rId30"/>
    <sheet name="351" sheetId="66" r:id="rId31"/>
    <sheet name="350" sheetId="65" r:id="rId32"/>
    <sheet name="349" sheetId="64" r:id="rId33"/>
    <sheet name="348" sheetId="63" r:id="rId34"/>
    <sheet name="347" sheetId="62" r:id="rId35"/>
    <sheet name="346" sheetId="61" r:id="rId36"/>
    <sheet name="345" sheetId="60" r:id="rId37"/>
    <sheet name="344" sheetId="59" r:id="rId38"/>
    <sheet name="343" sheetId="58" r:id="rId39"/>
    <sheet name="342" sheetId="57" r:id="rId40"/>
    <sheet name="341" sheetId="55" r:id="rId41"/>
    <sheet name="340" sheetId="54" r:id="rId42"/>
  </sheets>
  <definedNames>
    <definedName name="_xlnm.Print_Area" localSheetId="41">'340'!$A$1:$F$25</definedName>
    <definedName name="_xlnm.Print_Area" localSheetId="40">'341'!$A$1:$F$27</definedName>
    <definedName name="_xlnm.Print_Area" localSheetId="39">'342'!$A$1:$F$25</definedName>
    <definedName name="_xlnm.Print_Area" localSheetId="38">'343'!$A$1:$F$28</definedName>
    <definedName name="_xlnm.Print_Area" localSheetId="37">'344'!$A$1:$F$32</definedName>
    <definedName name="_xlnm.Print_Area" localSheetId="36">'345'!$A$1:$F$27</definedName>
    <definedName name="_xlnm.Print_Area" localSheetId="35">'346'!$A$1:$F$25</definedName>
    <definedName name="_xlnm.Print_Area" localSheetId="34">'347'!$A$1:$F$22</definedName>
    <definedName name="_xlnm.Print_Area" localSheetId="33">'348'!$A$1:$F$23</definedName>
    <definedName name="_xlnm.Print_Area" localSheetId="32">'349'!$A$1:$F$27</definedName>
    <definedName name="_xlnm.Print_Area" localSheetId="31">'350'!$A$1:$F$27</definedName>
    <definedName name="_xlnm.Print_Area" localSheetId="30">'351'!$A$1:$F$27</definedName>
    <definedName name="_xlnm.Print_Area" localSheetId="29">'352'!$A$1:$F$24</definedName>
    <definedName name="_xlnm.Print_Area" localSheetId="28">'353'!$A$1:$F$23</definedName>
    <definedName name="_xlnm.Print_Area" localSheetId="27">'354'!$A$1:$F$25</definedName>
    <definedName name="_xlnm.Print_Area" localSheetId="26">'355'!$A$1:$F$27</definedName>
    <definedName name="_xlnm.Print_Area" localSheetId="25">'356'!$A$1:$F$24</definedName>
    <definedName name="_xlnm.Print_Area" localSheetId="24">'357'!$A$1:$F$22</definedName>
    <definedName name="_xlnm.Print_Area" localSheetId="23">'358'!$A$1:$F$24</definedName>
    <definedName name="_xlnm.Print_Area" localSheetId="22">'359'!$A$1:$F$22</definedName>
    <definedName name="_xlnm.Print_Area" localSheetId="21">'360'!$A$1:$F$33</definedName>
    <definedName name="_xlnm.Print_Area" localSheetId="20">'361'!$A$1:$F$28</definedName>
    <definedName name="_xlnm.Print_Area" localSheetId="19">'362'!$A$1:$F$25</definedName>
    <definedName name="_xlnm.Print_Area" localSheetId="18">'363'!$A$1:$F$23</definedName>
    <definedName name="_xlnm.Print_Area" localSheetId="17">'364'!$A$1:$F$27</definedName>
    <definedName name="_xlnm.Print_Area" localSheetId="16">'365'!$A$1:$F$26</definedName>
    <definedName name="_xlnm.Print_Area" localSheetId="15">'366'!$A$1:$F$28</definedName>
    <definedName name="_xlnm.Print_Area" localSheetId="14">'367'!$A$1:$F$27</definedName>
    <definedName name="_xlnm.Print_Area" localSheetId="13">'368'!$A$1:$F$33</definedName>
    <definedName name="_xlnm.Print_Area" localSheetId="12">'369'!$A$1:$F$24</definedName>
    <definedName name="_xlnm.Print_Area" localSheetId="11">'370'!$A$1:$F$27</definedName>
    <definedName name="_xlnm.Print_Area" localSheetId="10">'371'!$A$1:$F$27</definedName>
    <definedName name="_xlnm.Print_Area" localSheetId="9">'372'!$A$1:$F$27</definedName>
    <definedName name="_xlnm.Print_Area" localSheetId="8">'373'!$A$1:$F$24</definedName>
    <definedName name="_xlnm.Print_Area" localSheetId="7">'374'!$A$1:$F$27</definedName>
    <definedName name="_xlnm.Print_Area" localSheetId="6">'375'!$A$1:$F$33</definedName>
    <definedName name="_xlnm.Print_Area" localSheetId="5">'376'!$A$1:$F$27</definedName>
    <definedName name="_xlnm.Print_Area" localSheetId="4">'377'!$A$1:$F$28</definedName>
    <definedName name="_xlnm.Print_Area" localSheetId="3">'378'!$A$1:$F$25</definedName>
    <definedName name="_xlnm.Print_Area" localSheetId="2">'379'!$A$1:$F$33</definedName>
    <definedName name="_xlnm.Print_Area" localSheetId="1">'380'!$A$1:$F$32</definedName>
  </definedNames>
  <calcPr calcId="144525"/>
</workbook>
</file>

<file path=xl/calcChain.xml><?xml version="1.0" encoding="utf-8"?>
<calcChain xmlns="http://schemas.openxmlformats.org/spreadsheetml/2006/main">
  <c r="D15" i="57" l="1"/>
  <c r="E14" i="57"/>
  <c r="E18" i="57"/>
  <c r="D27" i="96" l="1"/>
  <c r="D22" i="96"/>
  <c r="E22" i="96" s="1"/>
  <c r="E25" i="96" s="1"/>
  <c r="E21" i="96" l="1"/>
  <c r="D29" i="95"/>
  <c r="D23" i="95"/>
  <c r="E22" i="95" s="1"/>
  <c r="E23" i="95" s="1"/>
  <c r="E26" i="95" s="1"/>
  <c r="D22" i="95"/>
  <c r="F47" i="94" l="1"/>
  <c r="G25" i="94"/>
  <c r="D25" i="94"/>
  <c r="E20" i="94"/>
  <c r="D20" i="94"/>
  <c r="D20" i="93"/>
  <c r="E15" i="93"/>
  <c r="E18" i="93" s="1"/>
  <c r="D15" i="93"/>
  <c r="E14" i="93"/>
  <c r="D23" i="92"/>
  <c r="D16" i="92"/>
  <c r="D17" i="92" s="1"/>
  <c r="E16" i="92" s="1"/>
  <c r="E17" i="92" s="1"/>
  <c r="E20" i="92" s="1"/>
  <c r="E21" i="94" l="1"/>
  <c r="E23" i="94"/>
  <c r="G24" i="94" s="1"/>
  <c r="D29" i="91"/>
  <c r="D23" i="91"/>
  <c r="E22" i="91" s="1"/>
  <c r="E23" i="91" s="1"/>
  <c r="E26" i="91" s="1"/>
  <c r="D22" i="91"/>
  <c r="D23" i="90" l="1"/>
  <c r="D16" i="90"/>
  <c r="D17" i="90" s="1"/>
  <c r="E16" i="90" s="1"/>
  <c r="E17" i="90" s="1"/>
  <c r="E20" i="90" s="1"/>
  <c r="D20" i="89" l="1"/>
  <c r="D15" i="89"/>
  <c r="E14" i="89" s="1"/>
  <c r="E15" i="89" s="1"/>
  <c r="E18" i="89" s="1"/>
  <c r="D23" i="88" l="1"/>
  <c r="D16" i="88"/>
  <c r="D17" i="88" s="1"/>
  <c r="E16" i="88" s="1"/>
  <c r="E17" i="88" s="1"/>
  <c r="E20" i="88" s="1"/>
  <c r="D23" i="87"/>
  <c r="D16" i="87"/>
  <c r="D17" i="87" s="1"/>
  <c r="E16" i="87" s="1"/>
  <c r="E17" i="87" s="1"/>
  <c r="E20" i="87" s="1"/>
  <c r="D23" i="86"/>
  <c r="D16" i="86"/>
  <c r="D17" i="86" s="1"/>
  <c r="E16" i="86" s="1"/>
  <c r="E17" i="86" s="1"/>
  <c r="E20" i="86" s="1"/>
  <c r="D15" i="85" l="1"/>
  <c r="E14" i="85" s="1"/>
  <c r="E15" i="85" s="1"/>
  <c r="E18" i="85" s="1"/>
  <c r="D20" i="85"/>
  <c r="D28" i="84" l="1"/>
  <c r="E21" i="84"/>
  <c r="D21" i="84"/>
  <c r="D22" i="84" s="1"/>
  <c r="E22" i="84" s="1"/>
  <c r="E25" i="84" s="1"/>
  <c r="D23" i="83" l="1"/>
  <c r="D16" i="83"/>
  <c r="D17" i="83" s="1"/>
  <c r="E16" i="83" s="1"/>
  <c r="E17" i="83" s="1"/>
  <c r="E20" i="83" s="1"/>
  <c r="D24" i="82"/>
  <c r="D18" i="82"/>
  <c r="E17" i="82"/>
  <c r="E18" i="82" s="1"/>
  <c r="E21" i="82" s="1"/>
  <c r="D17" i="82"/>
  <c r="H17" i="81" l="1"/>
  <c r="D10" i="81"/>
  <c r="E15" i="81" s="1"/>
  <c r="D22" i="81"/>
  <c r="D11" i="81" l="1"/>
  <c r="D17" i="81" s="1"/>
  <c r="E16" i="81" s="1"/>
  <c r="E20" i="81" s="1"/>
  <c r="E17" i="81" l="1"/>
  <c r="D23" i="80" l="1"/>
  <c r="D16" i="80"/>
  <c r="D17" i="80" s="1"/>
  <c r="E16" i="80" s="1"/>
  <c r="E17" i="80" s="1"/>
  <c r="E20" i="80" s="1"/>
  <c r="D15" i="79" l="1"/>
  <c r="E14" i="79" s="1"/>
  <c r="E15" i="79" s="1"/>
  <c r="E18" i="79" s="1"/>
  <c r="D20" i="79"/>
  <c r="D20" i="78" l="1"/>
  <c r="D15" i="78"/>
  <c r="E14" i="78"/>
  <c r="E15" i="78" s="1"/>
  <c r="E18" i="78" s="1"/>
  <c r="F47" i="77"/>
  <c r="G25" i="77"/>
  <c r="D25" i="77"/>
  <c r="E20" i="77"/>
  <c r="D20" i="77"/>
  <c r="E21" i="77" l="1"/>
  <c r="E23" i="77"/>
  <c r="G24" i="77" s="1"/>
  <c r="D29" i="76" l="1"/>
  <c r="D23" i="76"/>
  <c r="E22" i="76" s="1"/>
  <c r="E23" i="76" s="1"/>
  <c r="E26" i="76" s="1"/>
  <c r="D22" i="76"/>
  <c r="D19" i="75" l="1"/>
  <c r="D14" i="75"/>
  <c r="E13" i="75" s="1"/>
  <c r="E14" i="75" s="1"/>
  <c r="E17" i="75" s="1"/>
  <c r="D8" i="74" l="1"/>
  <c r="E13" i="74"/>
  <c r="H28" i="74"/>
  <c r="H26" i="74"/>
  <c r="J20" i="74"/>
  <c r="J12" i="74"/>
  <c r="J22" i="74" s="1"/>
  <c r="H4" i="74"/>
  <c r="H3" i="74"/>
  <c r="D19" i="73"/>
  <c r="D14" i="73"/>
  <c r="E13" i="73" s="1"/>
  <c r="E14" i="73" s="1"/>
  <c r="E17" i="73" s="1"/>
  <c r="D9" i="74" l="1"/>
  <c r="D15" i="74" s="1"/>
  <c r="E14" i="74" s="1"/>
  <c r="E18" i="74" s="1"/>
  <c r="E15" i="74" l="1"/>
  <c r="E14" i="72" l="1"/>
  <c r="E13" i="72"/>
  <c r="D9" i="72"/>
  <c r="D15" i="72"/>
  <c r="D8" i="72"/>
  <c r="H28" i="72"/>
  <c r="H26" i="72"/>
  <c r="J20" i="72"/>
  <c r="D20" i="72"/>
  <c r="J12" i="72"/>
  <c r="J22" i="72" s="1"/>
  <c r="H3" i="72"/>
  <c r="D23" i="70" l="1"/>
  <c r="D16" i="70"/>
  <c r="D17" i="70" s="1"/>
  <c r="E16" i="70" s="1"/>
  <c r="E17" i="70" s="1"/>
  <c r="E20" i="70" s="1"/>
  <c r="D20" i="69"/>
  <c r="D15" i="69"/>
  <c r="E14" i="69"/>
  <c r="E18" i="69" s="1"/>
  <c r="J13" i="69"/>
  <c r="D20" i="68"/>
  <c r="D14" i="68"/>
  <c r="D15" i="68" s="1"/>
  <c r="E15" i="68" s="1"/>
  <c r="E18" i="68" s="1"/>
  <c r="E18" i="72" l="1"/>
  <c r="E15" i="72"/>
  <c r="E15" i="69"/>
  <c r="D8" i="67"/>
  <c r="H3" i="67"/>
  <c r="H28" i="67"/>
  <c r="H26" i="67"/>
  <c r="J20" i="67"/>
  <c r="D20" i="67"/>
  <c r="J12" i="67"/>
  <c r="J22" i="67" s="1"/>
  <c r="E13" i="67"/>
  <c r="D9" i="67" l="1"/>
  <c r="D15" i="67" s="1"/>
  <c r="E14" i="67" s="1"/>
  <c r="E18" i="67" s="1"/>
  <c r="D23" i="66"/>
  <c r="D16" i="66"/>
  <c r="D17" i="66" s="1"/>
  <c r="E16" i="66" s="1"/>
  <c r="E17" i="66" s="1"/>
  <c r="E20" i="66" s="1"/>
  <c r="E15" i="67" l="1"/>
  <c r="D23" i="65"/>
  <c r="D16" i="65"/>
  <c r="D17" i="65" s="1"/>
  <c r="E16" i="65" s="1"/>
  <c r="E17" i="65" s="1"/>
  <c r="E20" i="65" s="1"/>
  <c r="D23" i="64" l="1"/>
  <c r="D16" i="64"/>
  <c r="D17" i="64" s="1"/>
  <c r="E16" i="64" s="1"/>
  <c r="E17" i="64" s="1"/>
  <c r="E20" i="64" s="1"/>
  <c r="D20" i="63" l="1"/>
  <c r="D15" i="63"/>
  <c r="E15" i="63" s="1"/>
  <c r="E18" i="63" s="1"/>
  <c r="E14" i="63"/>
  <c r="D19" i="62"/>
  <c r="D14" i="62"/>
  <c r="D15" i="62" s="1"/>
  <c r="E15" i="62" s="1"/>
  <c r="E17" i="62" s="1"/>
  <c r="G18" i="62" s="1"/>
  <c r="D21" i="61" l="1"/>
  <c r="H16" i="61"/>
  <c r="D16" i="61"/>
  <c r="E15" i="61" s="1"/>
  <c r="E19" i="61" l="1"/>
  <c r="E16" i="61"/>
  <c r="D23" i="60" l="1"/>
  <c r="D16" i="60"/>
  <c r="D17" i="60" s="1"/>
  <c r="E16" i="60" s="1"/>
  <c r="E17" i="60" s="1"/>
  <c r="E20" i="60" s="1"/>
  <c r="D27" i="59" l="1"/>
  <c r="D22" i="59"/>
  <c r="E21" i="59" s="1"/>
  <c r="E22" i="59" l="1"/>
  <c r="E25" i="59" s="1"/>
  <c r="D24" i="58"/>
  <c r="D17" i="58"/>
  <c r="D18" i="58" s="1"/>
  <c r="E17" i="58" s="1"/>
  <c r="E18" i="58" s="1"/>
  <c r="E21" i="58" s="1"/>
  <c r="D20" i="57" l="1"/>
  <c r="E15" i="57" l="1"/>
  <c r="D23" i="55" l="1"/>
  <c r="D16" i="55"/>
  <c r="D17" i="55" s="1"/>
  <c r="E16" i="55" s="1"/>
  <c r="E17" i="55" s="1"/>
  <c r="E20" i="55" s="1"/>
  <c r="D20" i="54"/>
  <c r="D15" i="54"/>
  <c r="E14" i="54"/>
  <c r="E15" i="54" s="1"/>
  <c r="E18" i="54" l="1"/>
  <c r="E67" i="3" l="1"/>
  <c r="E66" i="3"/>
</calcChain>
</file>

<file path=xl/sharedStrings.xml><?xml version="1.0" encoding="utf-8"?>
<sst xmlns="http://schemas.openxmlformats.org/spreadsheetml/2006/main" count="1426" uniqueCount="332">
  <si>
    <t>METRO DAVAO SUPREME PUMPS INDUSTRIES, INC.</t>
  </si>
  <si>
    <t>#406 DIAMOND ST., SAN JUAN SUBD. PANACAN, DAVAO CITY</t>
  </si>
  <si>
    <t xml:space="preserve">                                                                                                                             </t>
  </si>
  <si>
    <t>DATE:</t>
  </si>
  <si>
    <t>PAYEE:</t>
  </si>
  <si>
    <t>DEBIT</t>
  </si>
  <si>
    <t>CREDIT</t>
  </si>
  <si>
    <t xml:space="preserve">          </t>
  </si>
  <si>
    <t xml:space="preserve"> </t>
  </si>
  <si>
    <t>CASH IN BANK</t>
  </si>
  <si>
    <t>TOTALS</t>
  </si>
  <si>
    <t>Payment for:</t>
  </si>
  <si>
    <t>Received from MDSPII</t>
  </si>
  <si>
    <t>Check Amount:</t>
  </si>
  <si>
    <t>Check no.</t>
  </si>
  <si>
    <r>
      <t>BANK:</t>
    </r>
    <r>
      <rPr>
        <u val="singleAccounting"/>
        <sz val="14"/>
        <rFont val="Comic Sans MS"/>
        <family val="4"/>
      </rPr>
      <t>RCBC/MBTC/BDO</t>
    </r>
  </si>
  <si>
    <t>Received by:</t>
  </si>
  <si>
    <t>Prepared by:</t>
  </si>
  <si>
    <t>Checked by:</t>
  </si>
  <si>
    <t>Approved by:</t>
  </si>
  <si>
    <t>ROY MIRANDA</t>
  </si>
  <si>
    <t>DATE</t>
  </si>
  <si>
    <t>CV NO:</t>
  </si>
  <si>
    <t>ISSUED TO:</t>
  </si>
  <si>
    <t>PAYMENT FOR</t>
  </si>
  <si>
    <t>AMOUNT</t>
  </si>
  <si>
    <t xml:space="preserve">PURCHASES </t>
  </si>
  <si>
    <t>EXPENSES</t>
  </si>
  <si>
    <t>COMMISSION</t>
  </si>
  <si>
    <t>CONTRIBUTIONS</t>
  </si>
  <si>
    <t>MISC</t>
  </si>
  <si>
    <t>PAYMENT</t>
  </si>
  <si>
    <t>CHECK DATE</t>
  </si>
  <si>
    <t>BANK</t>
  </si>
  <si>
    <t>CHECK NO.</t>
  </si>
  <si>
    <t>BANK:</t>
  </si>
  <si>
    <t>METROBANK/ BDO/ PBB</t>
  </si>
  <si>
    <t>CHEQUE NO:</t>
  </si>
  <si>
    <t>ANGELMARIE M. DAPAR      Ms. BEVERLY TAN   CHRISTINE JOY ILOGON      ENGR. ARTURO I DAVIS, PME</t>
  </si>
  <si>
    <t>INPUT TAX</t>
  </si>
  <si>
    <t>TRANSPORTATION</t>
  </si>
  <si>
    <t>PURCHASES</t>
  </si>
  <si>
    <t>BRIXTON CONSTRUCTION &amp; INDUSTRIAL SUPPLY CORP.</t>
  </si>
  <si>
    <t>______________</t>
  </si>
  <si>
    <t>MEALS &amp; LODGING</t>
  </si>
  <si>
    <t xml:space="preserve">FUEL &amp; OIL </t>
  </si>
  <si>
    <t>POSTAGE &amp; DELIVERY</t>
  </si>
  <si>
    <t>SUNDRIES</t>
  </si>
  <si>
    <t xml:space="preserve">                                                       Approved by:</t>
  </si>
  <si>
    <t>CVNO. 2026-M-340</t>
  </si>
  <si>
    <t>GILBERT BERSAMIN// ROY</t>
  </si>
  <si>
    <r>
      <t xml:space="preserve">REVOLVING FUND REPLENISHMENT REPORT </t>
    </r>
    <r>
      <rPr>
        <b/>
        <u/>
        <sz val="12"/>
        <rFont val="Comic Sans MS"/>
        <family val="4"/>
      </rPr>
      <t>[GILBERT BERSAMIN] FOR THE MONTH OF MAY 30 - JULY 18, 2026</t>
    </r>
  </si>
  <si>
    <t>ANGELMARIE M. DAPAR   Ms. BEVERLY TAN   MS. CHRISTINE JOY ILOGON   ENGR. ARTURO I DAVIS, PME</t>
  </si>
  <si>
    <t>CVNO. 2026-M-341</t>
  </si>
  <si>
    <t>MATERIALS OF BAROBO PROJECT</t>
  </si>
  <si>
    <t>COLOSSAL MERCHANDISING CORPORATION</t>
  </si>
  <si>
    <t>ANGELMARIE M. DAPAR      Ms. BEVERLY TAN       Ms. CHRISTINE JOY ILOGON         ENGR. ARTURO I DAVIS, PME</t>
  </si>
  <si>
    <t>CVNO. 2026-M-342</t>
  </si>
  <si>
    <t>PURCHASES FOR THE MONTH OF APRIL 2026</t>
  </si>
  <si>
    <t>CVNO. 2026-M-343</t>
  </si>
  <si>
    <r>
      <t xml:space="preserve">MONTH OF APRIL PO#060, INVOICE#13335 </t>
    </r>
    <r>
      <rPr>
        <b/>
        <sz val="14"/>
        <rFont val="Comic Sans MS"/>
        <family val="4"/>
      </rPr>
      <t>(GOULDS CENTRIFUGAL PUMP)</t>
    </r>
  </si>
  <si>
    <t>BROKERAGE FEE</t>
  </si>
  <si>
    <t>BOC PROCESSING</t>
  </si>
  <si>
    <t>CLEARANCE</t>
  </si>
  <si>
    <t>DOCUMENTATION</t>
  </si>
  <si>
    <t>VALUE ADDED TAX (VAT)</t>
  </si>
  <si>
    <t>SOLITAIRE DIVERSIFIED LOGISTICS PHILIPPINES INC.</t>
  </si>
  <si>
    <r>
      <rPr>
        <sz val="13"/>
        <rFont val="Century Gothic"/>
        <family val="2"/>
      </rPr>
      <t>BANK:</t>
    </r>
    <r>
      <rPr>
        <u val="singleAccounting"/>
        <sz val="13"/>
        <rFont val="Century Gothic"/>
        <family val="2"/>
      </rPr>
      <t xml:space="preserve"> </t>
    </r>
    <r>
      <rPr>
        <sz val="13"/>
        <rFont val="Century Gothic"/>
        <family val="2"/>
      </rPr>
      <t>MBTC /RCBC/PBB</t>
    </r>
  </si>
  <si>
    <t>__________________</t>
  </si>
  <si>
    <t xml:space="preserve">                                                                                    Approved by:</t>
  </si>
  <si>
    <t>ANGELMARIE M. DAPAR     Ms. BEVERLY TAN     Ms. CHRISTINE JOY ILOGON      ENGR. ARTURO I DAVIS, PME</t>
  </si>
  <si>
    <t>CVNO. 2026-M-344</t>
  </si>
  <si>
    <t>FORWARDING CHARGES (AR#6287)</t>
  </si>
  <si>
    <t>FORWARDING CHARGES (CR#)</t>
  </si>
  <si>
    <t>WAREHOUSE CHARGES (AR#10678)</t>
  </si>
  <si>
    <t>BOC FACILITATION</t>
  </si>
  <si>
    <t>HANDLING FEE</t>
  </si>
  <si>
    <t>JUVEN ADORADOR</t>
  </si>
  <si>
    <t>CVNO. 2026-M-345</t>
  </si>
  <si>
    <t>MRWD TRAVEL ALLOWANCE</t>
  </si>
  <si>
    <t>7DAYS TO ILO-ILO</t>
  </si>
  <si>
    <t>TRAVEL ALLOWANCE TO ILO-ILO</t>
  </si>
  <si>
    <t xml:space="preserve"> SOCIAL SECURITY SYSTEM // ROY MIRANDA</t>
  </si>
  <si>
    <t>EMPLOYEES BENEFITS</t>
  </si>
  <si>
    <t>CONVENIENCE FEE</t>
  </si>
  <si>
    <r>
      <t>BANK:</t>
    </r>
    <r>
      <rPr>
        <u val="singleAccounting"/>
        <sz val="10"/>
        <rFont val="Comic Sans MS"/>
        <family val="4"/>
      </rPr>
      <t>RCBC/MBTC/BDO</t>
    </r>
  </si>
  <si>
    <t xml:space="preserve">           Approved by:</t>
  </si>
  <si>
    <t>ANGELMARIE M. DAPAR      Ms. BEVERLY TAN     Ms. CHRISTINE JOY ILOGON      ENGR. ARTURO I. DAVIS</t>
  </si>
  <si>
    <r>
      <rPr>
        <b/>
        <u/>
        <sz val="22"/>
        <rFont val="Comic Sans MS"/>
        <family val="4"/>
      </rPr>
      <t>JULY 2026</t>
    </r>
    <r>
      <rPr>
        <sz val="20"/>
        <rFont val="Comic Sans MS"/>
        <family val="4"/>
      </rPr>
      <t>-CONTRIBUTION MDSPII</t>
    </r>
  </si>
  <si>
    <t>CVNO. 2026-M-346</t>
  </si>
  <si>
    <t>EMPLOYEES COMPENSATION</t>
  </si>
  <si>
    <t>PHILIPPINE HEALTH INSURANCE CORPORATION//ROY MIRANDA</t>
  </si>
  <si>
    <t>SURCHARGES</t>
  </si>
  <si>
    <t>EE SHARE</t>
  </si>
  <si>
    <t>MBTC/PBB/BDO</t>
  </si>
  <si>
    <t>_____________</t>
  </si>
  <si>
    <t xml:space="preserve">                         Checked by:</t>
  </si>
  <si>
    <t>ANGELMARIE M. DAPAR    Ms. BEVERLY TAN    Ms. CHRISTINE JOY ILOGON     ENGR. ARTURO I. DAVIS, PME</t>
  </si>
  <si>
    <t>CVNO. 2026-M-347</t>
  </si>
  <si>
    <r>
      <t xml:space="preserve">PHILHEALTH CONTRIBUTION FOR THE MONTH OF </t>
    </r>
    <r>
      <rPr>
        <b/>
        <u/>
        <sz val="22"/>
        <rFont val="Century Gothic"/>
        <family val="2"/>
      </rPr>
      <t>JULY 2026</t>
    </r>
  </si>
  <si>
    <t>PAG-IBIG FUND // ROY MIRANDA</t>
  </si>
  <si>
    <t>CHARGE FEE</t>
  </si>
  <si>
    <t>ER SHARE</t>
  </si>
  <si>
    <r>
      <rPr>
        <sz val="10"/>
        <rFont val="Century Gothic"/>
        <family val="2"/>
      </rPr>
      <t>BANK:</t>
    </r>
    <r>
      <rPr>
        <u val="singleAccounting"/>
        <sz val="10"/>
        <rFont val="Century Gothic"/>
        <family val="2"/>
      </rPr>
      <t xml:space="preserve"> </t>
    </r>
    <r>
      <rPr>
        <sz val="10"/>
        <rFont val="Century Gothic"/>
        <family val="2"/>
      </rPr>
      <t>MBTC/BDO/RCBC</t>
    </r>
  </si>
  <si>
    <t xml:space="preserve">                                      Approved by:</t>
  </si>
  <si>
    <t>ANGELMARIE M. DAPAR         Ms. BEVERLY TAN          Ms. CHRISTINE JOY ILOGON           ENGR. ARTURO I. DAVIS, PME</t>
  </si>
  <si>
    <t>CVNO. 2026-M-348</t>
  </si>
  <si>
    <r>
      <rPr>
        <b/>
        <sz val="16"/>
        <rFont val="Century Gothic"/>
        <family val="2"/>
      </rPr>
      <t>MDSPII CONTRIBUTION</t>
    </r>
    <r>
      <rPr>
        <sz val="16"/>
        <rFont val="Century Gothic"/>
        <family val="2"/>
      </rPr>
      <t xml:space="preserve"> FOR THE MONTH OF </t>
    </r>
    <r>
      <rPr>
        <b/>
        <u/>
        <sz val="18"/>
        <rFont val="Century Gothic"/>
        <family val="2"/>
      </rPr>
      <t>JULY 2026</t>
    </r>
  </si>
  <si>
    <t>1% COM OF JAA</t>
  </si>
  <si>
    <t xml:space="preserve">MUP OF JAA </t>
  </si>
  <si>
    <t>CVNO. 2026-M-349</t>
  </si>
  <si>
    <t>EXPENSES OF engr.greg</t>
  </si>
  <si>
    <t>MARKED-UP//COMMISSION 1% &amp; EXPENSES FOR QUEZON BUKIDNON WATER DISTRICT             ( SUPPLY OF CONTROLLER CONTROL - VFD)</t>
  </si>
  <si>
    <t>CVNO. 2026-M-350</t>
  </si>
  <si>
    <t>BAROBO PROJECT</t>
  </si>
  <si>
    <t>CASH ADVANCE OF TATA CARNASA</t>
  </si>
  <si>
    <t>CASH ADVANCE OF TATA CARNASA (BAROBO PROJECT)</t>
  </si>
  <si>
    <t>CVNO. 2026-M-351</t>
  </si>
  <si>
    <t>EXPENSES OF ENGR. BLANCO</t>
  </si>
  <si>
    <t>EXPENSES OF GUDITO</t>
  </si>
  <si>
    <t>EXPENSES OF BERNA</t>
  </si>
  <si>
    <t>MARKED-UP//COMMISSION 1% &amp; EXPENSES FOR VALENCIA CITY WATER DISTRICT ( SUPPLY AND DELIVERY OF VARIOUS SUBMERSIBLE PUMPS AND MOTORS AND VERTICAL INLINE MULTISTAGE BOOSTER PUMP)</t>
  </si>
  <si>
    <t>JHAYCOR INDUSTRIES, INC.</t>
  </si>
  <si>
    <t>COUNTER RECEIPT #127258</t>
  </si>
  <si>
    <t>VAT</t>
  </si>
  <si>
    <t>CI#-222785</t>
  </si>
  <si>
    <t>PO#127</t>
  </si>
  <si>
    <t>CI#-222961</t>
  </si>
  <si>
    <t>PO#118</t>
  </si>
  <si>
    <t>TERMS: 60 DAYS</t>
  </si>
  <si>
    <t>CI#-222972</t>
  </si>
  <si>
    <t>PO#129</t>
  </si>
  <si>
    <t>WITHHOLDING TAX 1%</t>
  </si>
  <si>
    <t>COUNTER RECEIPT #126514</t>
  </si>
  <si>
    <t>CI#-221212</t>
  </si>
  <si>
    <r>
      <t>BANK:</t>
    </r>
    <r>
      <rPr>
        <u val="singleAccounting"/>
        <sz val="10"/>
        <rFont val="Comic Sans MS"/>
        <family val="4"/>
      </rPr>
      <t xml:space="preserve"> RCBC/MBTC/PBB</t>
    </r>
  </si>
  <si>
    <t>CI#-221239</t>
  </si>
  <si>
    <t>____________</t>
  </si>
  <si>
    <t xml:space="preserve">                                Approved by:</t>
  </si>
  <si>
    <t>ANGELMARIE M. DAPAR       Ms. BEVERLY TAN       Ms. CHRISTINE JOY ILOGON       ENGR. ARTURO I DAVIS, PME</t>
  </si>
  <si>
    <t>CVNO. 2026-M-352</t>
  </si>
  <si>
    <t>SI# 011434, SI# 011435 (LGU BAROBO -NJG CONS.)</t>
  </si>
  <si>
    <t xml:space="preserve">                                 Approved by:</t>
  </si>
  <si>
    <t>ANGELMARIE M. DAPAR   Ms. BEVERLY TAN   Ms. CHRISTINE JOY ILOGON  ENGR. ARTURO I. DAVIS</t>
  </si>
  <si>
    <t>PAG-IBIG HOUSING LOAN</t>
  </si>
  <si>
    <t>CVNO. 2026-M-353</t>
  </si>
  <si>
    <t>SALARY LOAN</t>
  </si>
  <si>
    <t>CVNO. 2026-M-354</t>
  </si>
  <si>
    <r>
      <rPr>
        <b/>
        <u/>
        <sz val="22"/>
        <rFont val="Comic Sans MS"/>
        <family val="4"/>
      </rPr>
      <t>JULY 2026</t>
    </r>
    <r>
      <rPr>
        <sz val="20"/>
        <rFont val="Comic Sans MS"/>
        <family val="4"/>
      </rPr>
      <t>-SALARY LOAN</t>
    </r>
  </si>
  <si>
    <r>
      <t xml:space="preserve">PAG-IBIG HOUSING LOAN - </t>
    </r>
    <r>
      <rPr>
        <b/>
        <u/>
        <sz val="20"/>
        <rFont val="Century Gothic"/>
        <family val="2"/>
      </rPr>
      <t>JULY 2026</t>
    </r>
  </si>
  <si>
    <t>CVNO. 2026-M-355</t>
  </si>
  <si>
    <t>PETTY CASH OF BAROBO PROJECT</t>
  </si>
  <si>
    <t>REVOLVING FUND-001 (BAROBO PROJECT)</t>
  </si>
  <si>
    <t>TECHNOPEAK CORPORATION</t>
  </si>
  <si>
    <t>CVNO. 2026-M-356</t>
  </si>
  <si>
    <t xml:space="preserve">FULL PAYMENT-MILESTONE ENVIRONMENT (TSURUMI SUBMERSIBLE  SEWAGE CUTTER TYPE) PO#059 </t>
  </si>
  <si>
    <t>GUAZON ACCOUNTING AND AUDITING OFFICE</t>
  </si>
  <si>
    <t xml:space="preserve">ACCOUNTING PAYABLES </t>
  </si>
  <si>
    <t xml:space="preserve">          Approved by:</t>
  </si>
  <si>
    <t>CVNO. 2026-M-357</t>
  </si>
  <si>
    <t>PROF FEE (LOA 2024)</t>
  </si>
  <si>
    <t>ANGELMARIE M. DAPAR       Ms. BEVERLY TAN       Ms. CHRISTINE JOY ILOGON           ENGR. ARTURO I DAVIS, PME</t>
  </si>
  <si>
    <t>TECHNO-TRADE RESOURCES, INC.</t>
  </si>
  <si>
    <t>TERMS: 90 DAYS</t>
  </si>
  <si>
    <t>CVNO. 2026-M-358</t>
  </si>
  <si>
    <t>MONTH OF MAY PO#048 &amp; PO#069, CI#273554 (WAREHOUSE STOCKING)</t>
  </si>
  <si>
    <t xml:space="preserve">      </t>
  </si>
  <si>
    <t>CVNO. 2026-M-359</t>
  </si>
  <si>
    <t>DING ZHENSHENG</t>
  </si>
  <si>
    <t>DAI WATER METER AND SLEEVE TYPE</t>
  </si>
  <si>
    <t>PURCHASE OF DAI WATER METER AND SLEEVE TYPE</t>
  </si>
  <si>
    <t>FUEL &amp; OIL</t>
  </si>
  <si>
    <t>LODGING</t>
  </si>
  <si>
    <t>MEALS</t>
  </si>
  <si>
    <t>REPAIR &amp; MAINTENANCE</t>
  </si>
  <si>
    <t>FREIGHT &amp; HANDLING</t>
  </si>
  <si>
    <t>OFFICE SUPPLIES</t>
  </si>
  <si>
    <t>BIDDING EXPENSES</t>
  </si>
  <si>
    <t>MISC. EXPENSES</t>
  </si>
  <si>
    <t>____________________</t>
  </si>
  <si>
    <t xml:space="preserve">         Approved by:</t>
  </si>
  <si>
    <t>ANGELMARIE M. DAPAR     Ms. BEVERLY TAN   MS. CHRISTINE JOY ILOGON   ENGR. ARTURO I DAVIS, PME</t>
  </si>
  <si>
    <t>CVNO. 2026-M-360</t>
  </si>
  <si>
    <r>
      <t xml:space="preserve">REVOLVING FUND REPLIENISHMENT REPORT </t>
    </r>
    <r>
      <rPr>
        <b/>
        <u/>
        <sz val="12"/>
        <rFont val="Comic Sans MS"/>
        <family val="4"/>
      </rPr>
      <t>2026-020 (MARCH</t>
    </r>
    <r>
      <rPr>
        <sz val="12"/>
        <rFont val="Comic Sans MS"/>
        <family val="4"/>
      </rPr>
      <t xml:space="preserve"> 26-AUGUST 05, 2026)</t>
    </r>
  </si>
  <si>
    <t>METRO DAVAO SUPREME PUMPS INDUSTRIES INC.//ROY MIRANDA</t>
  </si>
  <si>
    <t>SALARIES &amp; WAGES</t>
  </si>
  <si>
    <t>GROSS</t>
  </si>
  <si>
    <t>CASH (LEAVE COVERSION)</t>
  </si>
  <si>
    <t>ADJUSTMENT (+)</t>
  </si>
  <si>
    <t>HDMF CONTRIBUTION</t>
  </si>
  <si>
    <t>SSS CONTRIBUTION</t>
  </si>
  <si>
    <t>PHIC CONTRIBUTION</t>
  </si>
  <si>
    <t>HDMF LOAN</t>
  </si>
  <si>
    <t>SSS LOAN</t>
  </si>
  <si>
    <t>TELECOM</t>
  </si>
  <si>
    <t>LATE/UT (-)</t>
  </si>
  <si>
    <t xml:space="preserve">             Checked by:</t>
  </si>
  <si>
    <t xml:space="preserve">                         Approved by:</t>
  </si>
  <si>
    <t>ANGELMARIE M. DAPAR         Ms. BEVERLY TAN    Ms. CHRISTINE JOY ILOGON    ENGR. ARTURO I DAVIS</t>
  </si>
  <si>
    <t>QUENN MARIA CAPELLA SECURITY AGENCY//ROY MIRANDA</t>
  </si>
  <si>
    <t>AGENCY FEE</t>
  </si>
  <si>
    <t xml:space="preserve">                          Approved by:</t>
  </si>
  <si>
    <t>CVNO. 2026-M-361</t>
  </si>
  <si>
    <r>
      <t xml:space="preserve">MDSPII PAYROLL COVERED </t>
    </r>
    <r>
      <rPr>
        <b/>
        <u/>
        <sz val="14"/>
        <rFont val="Comic Sans MS"/>
        <family val="4"/>
      </rPr>
      <t xml:space="preserve"> JULY 26 - AUGUST 10, 2026</t>
    </r>
  </si>
  <si>
    <t>CVNO. 2026-M-362</t>
  </si>
  <si>
    <t>COVERED OF JULY 26 - AUGUST 10, 2026 (AGENCY FEE)</t>
  </si>
  <si>
    <t>ANGELMARIE M. DAPAR    Ms. BEVERLY TAN    Ms. CHRISTINE JOY ILOGON           ENGR. ARTURO I DAVIS, PME</t>
  </si>
  <si>
    <t>FEB 2026</t>
  </si>
  <si>
    <t>MARCH 2026</t>
  </si>
  <si>
    <t>APRIL 2026</t>
  </si>
  <si>
    <t>MAY 2026</t>
  </si>
  <si>
    <t>JUNE 2026</t>
  </si>
  <si>
    <t>JULY 2026</t>
  </si>
  <si>
    <t>RETAINER'S FEE (FEBRUARY - JULY 2026)</t>
  </si>
  <si>
    <t>CVNO. 2026-M-363</t>
  </si>
  <si>
    <t>CVNO. 2026-M-364</t>
  </si>
  <si>
    <t>2026-003 CASH ADVANCE OF TATA CARNASA (BAROBO PROJECT)</t>
  </si>
  <si>
    <t>PHILTYRES CORPORATION</t>
  </si>
  <si>
    <r>
      <t>BANK:</t>
    </r>
    <r>
      <rPr>
        <u val="singleAccounting"/>
        <sz val="10"/>
        <rFont val="Comic Sans MS"/>
        <family val="4"/>
      </rPr>
      <t xml:space="preserve"> RCBC/MDSPII/PBB</t>
    </r>
  </si>
  <si>
    <t xml:space="preserve">        Approved by:</t>
  </si>
  <si>
    <t>ANGELMARIE M. DAPAR    Ms. BEVERLY TAN    Ms. CHRISTINE JOY ILOGON         ENGR. ARTURO I. DAVIS</t>
  </si>
  <si>
    <t>CVNO. 2026-M-365</t>
  </si>
  <si>
    <t>PO#:075 (NHR)                         PO#:077 (BOOMTRUCK MAE 4763) PO#:078 (FORWARD MAO 7402)</t>
  </si>
  <si>
    <t>GILBERT BERSAMIN</t>
  </si>
  <si>
    <t>MARKED UP//COMMISSION 1% &amp; TOTAL EXPENSES OF MS. JANE PLEASE SEE ATTACHED FILE ()</t>
  </si>
  <si>
    <t>Ms. ANGELMARIE DAPAR      Ms. BEVERLY TAN     CHRISTINE JOY ILOGON     ENGR. ARTURO I DAVIS, PME</t>
  </si>
  <si>
    <t>CVNO. 2026-M-366</t>
  </si>
  <si>
    <t>EXPENSES OF MS. JANE</t>
  </si>
  <si>
    <t>EXPENSES OF MS. GLENN</t>
  </si>
  <si>
    <t>MUP OF GILBERT</t>
  </si>
  <si>
    <t>1% COM OF GILBERT</t>
  </si>
  <si>
    <t>CVNO. 2026-M-367</t>
  </si>
  <si>
    <t>BOND PAPERS (3 BOXES)</t>
  </si>
  <si>
    <t>INKS (6 SETS)</t>
  </si>
  <si>
    <t>CALLING CARDS AND BROCHURES</t>
  </si>
  <si>
    <t>JOHANNA PEROCHO</t>
  </si>
  <si>
    <t>AID EXPENSE</t>
  </si>
  <si>
    <t>CVNO. 2026-M-368</t>
  </si>
  <si>
    <t>ARTHUR'S TUITION FOR EXAMS SCHOOL YEAR 2026 (1ST SEMESTER) AUG 10 - DEC 19, 2026</t>
  </si>
  <si>
    <t>ANGELMARIE M. DAPAR     Ms. BEVERLY TAN    Ms. CHRISTINE JOY ILOGON    ENGR. ARTURO I DAVIS, PME</t>
  </si>
  <si>
    <t>UPS DELBROS INTERNATIONAL EXPRESS</t>
  </si>
  <si>
    <t>FREIGHT &amp; IMPORTATION FEE</t>
  </si>
  <si>
    <t>ANGELMARIE M. DAPAR         Ms. BEVERLY TAN    Ms. CHRISTINE JOY ILOGON      ENGR. ARTURO I DAVIS, PME</t>
  </si>
  <si>
    <t>CVNO. 2026-M-369</t>
  </si>
  <si>
    <t>NINGBO JUNZHOU</t>
  </si>
  <si>
    <t>YUEQING HAIYIN</t>
  </si>
  <si>
    <t>PALBIT SA</t>
  </si>
  <si>
    <t>HENAN JITONG</t>
  </si>
  <si>
    <t>CVNO. 2026-M-370</t>
  </si>
  <si>
    <t>2026-004 CASH ADVANCE OF TATA CARNASA (BAROBO PROJECT)</t>
  </si>
  <si>
    <t xml:space="preserve"> EXPENSES FOR VALENCIA CITY WATER DISTRICT</t>
  </si>
  <si>
    <t>CVNO. 2026-M-371</t>
  </si>
  <si>
    <t>CVNO. 2026-M-372</t>
  </si>
  <si>
    <t>EXPENSES OF MAYOR MARTIZANO</t>
  </si>
  <si>
    <t xml:space="preserve"> EXPENSES FOR MUNICIPALITY OF BAROBO</t>
  </si>
  <si>
    <t>CVNO. 2026-M-373</t>
  </si>
  <si>
    <t>AIROMARK AUTO AIRCONDITIONING</t>
  </si>
  <si>
    <t>AIRCON MAINTENANCE</t>
  </si>
  <si>
    <t>STRADA (LGX 985)</t>
  </si>
  <si>
    <t>AIRCON MAINTENANCE STRADA (LGX 985)</t>
  </si>
  <si>
    <t>CVNO. 2026-M-374</t>
  </si>
  <si>
    <t>CVNO. 2026-M-375</t>
  </si>
  <si>
    <r>
      <t xml:space="preserve">REVOLVING FUND REPLIENISHMENT REPORT </t>
    </r>
    <r>
      <rPr>
        <b/>
        <u/>
        <sz val="12"/>
        <rFont val="Comic Sans MS"/>
        <family val="4"/>
      </rPr>
      <t>2026-021 (JULY 15</t>
    </r>
    <r>
      <rPr>
        <sz val="12"/>
        <rFont val="Comic Sans MS"/>
        <family val="4"/>
      </rPr>
      <t>-AUGUST 19, 2026)</t>
    </r>
  </si>
  <si>
    <t>CVNO. 2026-M-376</t>
  </si>
  <si>
    <t>2026-005 CASH ADVANCE OF TATA CARNASA (BAROBO PROJECT)</t>
  </si>
  <si>
    <t>CVNO. 2026-M-377</t>
  </si>
  <si>
    <r>
      <t xml:space="preserve">MDSPII PAYROLL COVERED </t>
    </r>
    <r>
      <rPr>
        <b/>
        <u/>
        <sz val="14"/>
        <rFont val="Comic Sans MS"/>
        <family val="4"/>
      </rPr>
      <t xml:space="preserve">  - AUGUST 11-25, 2026</t>
    </r>
  </si>
  <si>
    <t>CVNO. 2026-M-378</t>
  </si>
  <si>
    <t>COVERED OF AUGUST 11-25, 2026 (AGENCY FEE)</t>
  </si>
  <si>
    <t>2026-M-340</t>
  </si>
  <si>
    <t>2026-M-341</t>
  </si>
  <si>
    <t>2026-M-342</t>
  </si>
  <si>
    <t>2026-M-343</t>
  </si>
  <si>
    <t>2026-M-344</t>
  </si>
  <si>
    <t>2026-M-345</t>
  </si>
  <si>
    <t>2026-M-346</t>
  </si>
  <si>
    <t>2026-M-347</t>
  </si>
  <si>
    <t>2026-M-348</t>
  </si>
  <si>
    <t>2026-M-349</t>
  </si>
  <si>
    <t>2026-M-350</t>
  </si>
  <si>
    <t>2026-M-351</t>
  </si>
  <si>
    <t>2026-M-352</t>
  </si>
  <si>
    <t>2026-M-353</t>
  </si>
  <si>
    <t>2026-M-354</t>
  </si>
  <si>
    <t>2026-M-355</t>
  </si>
  <si>
    <t>2026-M-356</t>
  </si>
  <si>
    <t>2026-M-357</t>
  </si>
  <si>
    <t>2026-M-358</t>
  </si>
  <si>
    <t>2026-M-359</t>
  </si>
  <si>
    <t>2026-M-360</t>
  </si>
  <si>
    <t>2026-M-361</t>
  </si>
  <si>
    <t>2026-M-362</t>
  </si>
  <si>
    <t>089518</t>
  </si>
  <si>
    <t>PBB</t>
  </si>
  <si>
    <t>CVNO. 2026-M-379</t>
  </si>
  <si>
    <r>
      <t xml:space="preserve">REVOLVING FUND REPLIENISHMENT REPORT </t>
    </r>
    <r>
      <rPr>
        <b/>
        <u/>
        <sz val="12"/>
        <rFont val="Comic Sans MS"/>
        <family val="4"/>
      </rPr>
      <t>2026-022 (JULY 14</t>
    </r>
    <r>
      <rPr>
        <sz val="12"/>
        <rFont val="Comic Sans MS"/>
        <family val="4"/>
      </rPr>
      <t>-AUGUST 21, 2026)</t>
    </r>
  </si>
  <si>
    <t>CVNO. 2026-M-380</t>
  </si>
  <si>
    <t>BILLING NO. 26-1175</t>
  </si>
  <si>
    <t>BILLING NO. 26-1174</t>
  </si>
  <si>
    <t>REVOLVING FUND REPLENISHMENT REPORT [GILBERT BERSAMIN] FOR THE MONTH OF MAY 30 - JULY 18, 2026</t>
  </si>
  <si>
    <t>MONTH OF APRIL PO#060, INVOICE#13335 (GOULDS CENTRIFUGAL PUMP)</t>
  </si>
  <si>
    <t>JULY 2026-CONTRIBUTION MDSPII</t>
  </si>
  <si>
    <t>PHILHEALTH CONTRIBUTION FOR THE MONTH OF JULY 2026</t>
  </si>
  <si>
    <t>MDSPII CONTRIBUTION FOR THE MONTH OF JULY 2026</t>
  </si>
  <si>
    <t>PAG-IBIG FUND//ROY MIRANDA</t>
  </si>
  <si>
    <t>PAG-IBIG HOUSING LOAN - JULY 2026</t>
  </si>
  <si>
    <t>SOCIAL SECURITY SYSTEM // ROY MIRANDA</t>
  </si>
  <si>
    <t>JULY 2026-SALARY LOAN</t>
  </si>
  <si>
    <t>2026-M-363</t>
  </si>
  <si>
    <t>2026-M-364</t>
  </si>
  <si>
    <t>2026-M-365</t>
  </si>
  <si>
    <t>2026-M-366</t>
  </si>
  <si>
    <t>2026-M-367</t>
  </si>
  <si>
    <t>2026-M-368</t>
  </si>
  <si>
    <t>2026-M-369</t>
  </si>
  <si>
    <t>2026-M-370</t>
  </si>
  <si>
    <t>2026-M-371</t>
  </si>
  <si>
    <t>2026-M-372</t>
  </si>
  <si>
    <t>2026-M-373</t>
  </si>
  <si>
    <t>2026-M-374</t>
  </si>
  <si>
    <t>2026-M-375</t>
  </si>
  <si>
    <t>2026-M-376</t>
  </si>
  <si>
    <t>2026-M-377</t>
  </si>
  <si>
    <t>2026-M-378</t>
  </si>
  <si>
    <t>2026-M-379</t>
  </si>
  <si>
    <t>2026-M-380</t>
  </si>
  <si>
    <t>REVOLVING FUND REPLIENISHMENT REPORT 2026-020 (MARCH 26-AUGUST 05, 2026)</t>
  </si>
  <si>
    <t>MDSPII PAYROLL COVERED  JULY 26 - AUGUST 10, 2026</t>
  </si>
  <si>
    <t>REVOLVING FUND REPLIENISHMENT REPORT 2026-021 (JULY 15-AUGUST 19, 2026)</t>
  </si>
  <si>
    <t>MDSPII PAYROLL COVERED   - AUGUST 11-25, 2026</t>
  </si>
  <si>
    <t>REVOLVING FUND REPLIENISHMENT REPORT 2026-022 (JULY 14-AUGUST 21, 2026)</t>
  </si>
  <si>
    <t>FOR THE MONTH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</si>
</sst>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* #,##0.000_);_(* \(#,##0.000\);_(* &quot;-&quot;??_);_(@_)"/>
    <numFmt numFmtId="166" formatCode="_-* #,##0.00_-;\-* #,##0.00_-;_-* &quot;-&quot;??_-;_-@_-"/>
    <numFmt numFmtId="167" formatCode="0.00_)"/>
    <numFmt numFmtId="168" formatCode="_(* #,##0.00_);_(* \(#,##0.00\);_(* &quot;-&quot;???_);_(@_)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omic Sans MS"/>
      <family val="4"/>
    </font>
    <font>
      <sz val="18"/>
      <name val="Comic Sans MS"/>
      <family val="4"/>
    </font>
    <font>
      <sz val="14"/>
      <name val="Comic Sans MS"/>
      <family val="4"/>
    </font>
    <font>
      <sz val="12"/>
      <name val="Comic Sans MS"/>
      <family val="4"/>
    </font>
    <font>
      <sz val="22"/>
      <name val="Comic Sans MS"/>
      <family val="4"/>
    </font>
    <font>
      <b/>
      <sz val="16"/>
      <name val="Comic Sans MS"/>
      <family val="4"/>
    </font>
    <font>
      <sz val="16"/>
      <name val="Comic Sans MS"/>
      <family val="4"/>
    </font>
    <font>
      <i/>
      <sz val="12"/>
      <name val="Comic Sans MS"/>
      <family val="4"/>
    </font>
    <font>
      <u val="singleAccounting"/>
      <sz val="14"/>
      <name val="Comic Sans MS"/>
      <family val="4"/>
    </font>
    <font>
      <b/>
      <sz val="12"/>
      <name val="Comic Sans MS"/>
      <family val="4"/>
    </font>
    <font>
      <i/>
      <sz val="8"/>
      <name val="Comic Sans MS"/>
      <family val="4"/>
    </font>
    <font>
      <sz val="9"/>
      <name val="Comic Sans MS"/>
      <family val="4"/>
    </font>
    <font>
      <sz val="10"/>
      <name val="Comic Sans MS"/>
      <family val="4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  <charset val="134"/>
    </font>
    <font>
      <sz val="11"/>
      <name val="Comic Sans MS"/>
      <family val="4"/>
    </font>
    <font>
      <b/>
      <u/>
      <sz val="14"/>
      <name val="Comic Sans MS"/>
      <family val="4"/>
    </font>
    <font>
      <sz val="12"/>
      <color rgb="FFFF0000"/>
      <name val="Comic Sans MS"/>
      <family val="4"/>
    </font>
    <font>
      <b/>
      <sz val="14"/>
      <name val="Comic Sans MS"/>
      <family val="4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b/>
      <sz val="8"/>
      <color theme="1"/>
      <name val="Century Gothic"/>
      <family val="2"/>
    </font>
    <font>
      <sz val="10"/>
      <color theme="1"/>
      <name val="Century Gothic"/>
      <family val="2"/>
    </font>
    <font>
      <b/>
      <sz val="16"/>
      <color rgb="FFFF000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  <font>
      <sz val="10"/>
      <color theme="0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9"/>
      <name val="Century Gothic"/>
      <family val="2"/>
    </font>
    <font>
      <sz val="9"/>
      <color theme="1"/>
      <name val="Century Gothic"/>
      <family val="2"/>
    </font>
    <font>
      <i/>
      <sz val="18"/>
      <name val="Comic Sans MS"/>
      <family val="4"/>
    </font>
    <font>
      <i/>
      <sz val="18"/>
      <color rgb="FFC00000"/>
      <name val="Comic Sans MS"/>
      <family val="4"/>
    </font>
    <font>
      <sz val="16"/>
      <color rgb="FFC00000"/>
      <name val="Comic Sans MS"/>
      <family val="4"/>
    </font>
    <font>
      <i/>
      <sz val="14"/>
      <name val="Comic Sans MS"/>
      <family val="4"/>
    </font>
    <font>
      <b/>
      <sz val="11"/>
      <name val="Comic Sans MS"/>
      <family val="4"/>
    </font>
    <font>
      <u val="doubleAccounting"/>
      <sz val="24"/>
      <name val="Comic Sans MS"/>
      <family val="4"/>
    </font>
    <font>
      <b/>
      <i/>
      <sz val="14"/>
      <color rgb="FFFF0000"/>
      <name val="Comic Sans MS"/>
      <family val="4"/>
    </font>
    <font>
      <b/>
      <u/>
      <sz val="12"/>
      <name val="Comic Sans MS"/>
      <family val="4"/>
    </font>
    <font>
      <sz val="14"/>
      <color rgb="FFFF0000"/>
      <name val="Comic Sans MS"/>
      <family val="4"/>
    </font>
    <font>
      <sz val="16"/>
      <color rgb="FFFF0000"/>
      <name val="Comic Sans MS"/>
      <family val="4"/>
    </font>
    <font>
      <sz val="10"/>
      <color rgb="FFFF0000"/>
      <name val="Comic Sans MS"/>
      <family val="4"/>
    </font>
    <font>
      <i/>
      <u/>
      <sz val="10"/>
      <name val="Comic Sans MS"/>
      <family val="4"/>
    </font>
    <font>
      <b/>
      <i/>
      <sz val="16"/>
      <name val="Comic Sans MS"/>
      <family val="4"/>
    </font>
    <font>
      <sz val="18"/>
      <name val="Century Gothic"/>
      <family val="2"/>
    </font>
    <font>
      <sz val="14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22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i/>
      <sz val="12"/>
      <name val="Century Gothic"/>
      <family val="2"/>
    </font>
    <font>
      <sz val="13"/>
      <name val="Century Gothic"/>
      <family val="2"/>
    </font>
    <font>
      <b/>
      <sz val="13"/>
      <name val="Century Gothic"/>
      <family val="2"/>
    </font>
    <font>
      <b/>
      <sz val="16"/>
      <name val="Century Gothic"/>
      <family val="2"/>
    </font>
    <font>
      <u val="singleAccounting"/>
      <sz val="13"/>
      <name val="Century Gothic"/>
      <family val="2"/>
    </font>
    <font>
      <i/>
      <sz val="13"/>
      <name val="Century Gothic"/>
      <family val="2"/>
    </font>
    <font>
      <b/>
      <u/>
      <sz val="22"/>
      <name val="Comic Sans MS"/>
      <family val="4"/>
    </font>
    <font>
      <sz val="20"/>
      <name val="Comic Sans MS"/>
      <family val="4"/>
    </font>
    <font>
      <u val="singleAccounting"/>
      <sz val="10"/>
      <name val="Comic Sans MS"/>
      <family val="4"/>
    </font>
    <font>
      <sz val="16"/>
      <name val="Century Gothic"/>
      <family val="2"/>
    </font>
    <font>
      <sz val="22"/>
      <name val="Century Gothic"/>
      <family val="2"/>
    </font>
    <font>
      <sz val="12"/>
      <color rgb="FFFF0000"/>
      <name val="Century Gothic"/>
      <family val="2"/>
    </font>
    <font>
      <sz val="20"/>
      <name val="Century Gothic"/>
      <family val="2"/>
    </font>
    <font>
      <i/>
      <sz val="18"/>
      <name val="Century Gothic"/>
      <family val="2"/>
    </font>
    <font>
      <sz val="18"/>
      <color rgb="FFFF0000"/>
      <name val="Century Gothic"/>
      <family val="2"/>
    </font>
    <font>
      <i/>
      <sz val="16"/>
      <name val="Century Gothic"/>
      <family val="2"/>
    </font>
    <font>
      <b/>
      <u/>
      <sz val="22"/>
      <name val="Century Gothic"/>
      <family val="2"/>
    </font>
    <font>
      <b/>
      <sz val="20"/>
      <name val="Century Gothic"/>
      <family val="2"/>
    </font>
    <font>
      <i/>
      <u/>
      <sz val="16"/>
      <name val="Century Gothic"/>
      <family val="2"/>
    </font>
    <font>
      <sz val="14"/>
      <color rgb="FFFF0000"/>
      <name val="Century Gothic"/>
      <family val="2"/>
    </font>
    <font>
      <b/>
      <sz val="18"/>
      <name val="Century Gothic"/>
      <family val="2"/>
    </font>
    <font>
      <b/>
      <i/>
      <sz val="14"/>
      <name val="Century Gothic"/>
      <family val="2"/>
    </font>
    <font>
      <b/>
      <sz val="14"/>
      <color rgb="FFFF0000"/>
      <name val="Century Gothic"/>
      <family val="2"/>
    </font>
    <font>
      <sz val="16"/>
      <color rgb="FFFF0000"/>
      <name val="Century Gothic"/>
      <family val="2"/>
    </font>
    <font>
      <i/>
      <sz val="12"/>
      <name val="Century Gothic"/>
      <family val="2"/>
    </font>
    <font>
      <b/>
      <u/>
      <sz val="18"/>
      <name val="Century Gothic"/>
      <family val="2"/>
    </font>
    <font>
      <u val="singleAccounting"/>
      <sz val="10"/>
      <name val="Century Gothic"/>
      <family val="2"/>
    </font>
    <font>
      <b/>
      <sz val="10.5"/>
      <name val="Century Gothic"/>
      <family val="2"/>
    </font>
    <font>
      <b/>
      <sz val="11"/>
      <name val="Century Gothic"/>
      <family val="2"/>
    </font>
    <font>
      <sz val="12"/>
      <color rgb="FFFFFF00"/>
      <name val="Comic Sans MS"/>
      <family val="4"/>
    </font>
    <font>
      <i/>
      <sz val="14"/>
      <name val="Century Gothic"/>
      <family val="2"/>
    </font>
    <font>
      <b/>
      <u/>
      <sz val="20"/>
      <name val="Century Gothic"/>
      <family val="2"/>
    </font>
    <font>
      <b/>
      <sz val="22"/>
      <name val="Comic Sans MS"/>
      <family val="4"/>
    </font>
    <font>
      <b/>
      <sz val="20"/>
      <name val="Comic Sans MS"/>
      <family val="4"/>
    </font>
    <font>
      <sz val="12"/>
      <color rgb="FFC00000"/>
      <name val="Comic Sans MS"/>
      <family val="4"/>
    </font>
    <font>
      <b/>
      <u/>
      <sz val="16"/>
      <name val="Comic Sans MS"/>
      <family val="4"/>
    </font>
    <font>
      <i/>
      <sz val="16"/>
      <name val="Comic Sans MS"/>
      <family val="4"/>
    </font>
    <font>
      <sz val="11.5"/>
      <name val="Comic Sans MS"/>
      <family val="4"/>
    </font>
    <font>
      <sz val="12.5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8" fontId="16" fillId="2" borderId="0" applyNumberFormat="0" applyBorder="0" applyAlignment="0" applyProtection="0"/>
    <xf numFmtId="10" fontId="16" fillId="3" borderId="12" applyNumberFormat="0" applyBorder="0" applyAlignment="0" applyProtection="0"/>
    <xf numFmtId="167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0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0">
    <xf numFmtId="0" fontId="0" fillId="0" borderId="0" xfId="0"/>
    <xf numFmtId="43" fontId="4" fillId="0" borderId="0" xfId="2" applyFont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43" fontId="5" fillId="0" borderId="0" xfId="3" applyFont="1" applyAlignment="1">
      <alignment vertical="center"/>
    </xf>
    <xf numFmtId="0" fontId="5" fillId="0" borderId="0" xfId="28" applyFont="1" applyAlignment="1">
      <alignment vertical="center"/>
    </xf>
    <xf numFmtId="4" fontId="5" fillId="0" borderId="0" xfId="28" applyNumberFormat="1" applyFont="1" applyAlignment="1">
      <alignment vertical="center"/>
    </xf>
    <xf numFmtId="43" fontId="4" fillId="0" borderId="0" xfId="3" applyFont="1" applyAlignment="1">
      <alignment vertical="center"/>
    </xf>
    <xf numFmtId="43" fontId="4" fillId="0" borderId="0" xfId="3" applyFont="1" applyAlignment="1">
      <alignment horizontal="left" vertical="center"/>
    </xf>
    <xf numFmtId="0" fontId="4" fillId="0" borderId="0" xfId="28" applyFont="1" applyAlignment="1">
      <alignment vertical="center"/>
    </xf>
    <xf numFmtId="0" fontId="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3" applyFont="1" applyAlignment="1">
      <alignment vertical="center"/>
    </xf>
    <xf numFmtId="4" fontId="18" fillId="0" borderId="0" xfId="0" applyNumberFormat="1" applyFont="1" applyAlignment="1">
      <alignment vertical="center"/>
    </xf>
    <xf numFmtId="14" fontId="22" fillId="4" borderId="12" xfId="28" applyNumberFormat="1" applyFont="1" applyFill="1" applyBorder="1" applyAlignment="1">
      <alignment horizontal="center" vertical="center" wrapText="1"/>
    </xf>
    <xf numFmtId="0" fontId="22" fillId="4" borderId="12" xfId="28" applyFont="1" applyFill="1" applyBorder="1" applyAlignment="1">
      <alignment horizontal="center" vertical="center" wrapText="1"/>
    </xf>
    <xf numFmtId="43" fontId="23" fillId="4" borderId="12" xfId="3" applyFont="1" applyFill="1" applyBorder="1" applyAlignment="1">
      <alignment horizontal="center" vertical="center" wrapText="1"/>
    </xf>
    <xf numFmtId="43" fontId="22" fillId="4" borderId="12" xfId="3" applyFont="1" applyFill="1" applyBorder="1" applyAlignment="1">
      <alignment horizontal="center" vertical="center" wrapText="1"/>
    </xf>
    <xf numFmtId="43" fontId="24" fillId="4" borderId="12" xfId="3" applyFont="1" applyFill="1" applyBorder="1" applyAlignment="1">
      <alignment horizontal="center" vertical="center" wrapText="1"/>
    </xf>
    <xf numFmtId="0" fontId="25" fillId="0" borderId="0" xfId="28" applyFont="1" applyAlignment="1">
      <alignment wrapText="1"/>
    </xf>
    <xf numFmtId="0" fontId="25" fillId="0" borderId="0" xfId="28" applyFont="1" applyFill="1" applyAlignment="1">
      <alignment wrapText="1"/>
    </xf>
    <xf numFmtId="14" fontId="27" fillId="0" borderId="12" xfId="28" applyNumberFormat="1" applyFont="1" applyFill="1" applyBorder="1" applyAlignment="1">
      <alignment horizontal="center" vertical="center" wrapText="1"/>
    </xf>
    <xf numFmtId="43" fontId="14" fillId="0" borderId="12" xfId="3" applyFont="1" applyBorder="1" applyAlignment="1" applyProtection="1">
      <alignment horizontal="right" vertical="center"/>
      <protection locked="0"/>
    </xf>
    <xf numFmtId="0" fontId="25" fillId="0" borderId="12" xfId="28" applyFont="1" applyFill="1" applyBorder="1" applyAlignment="1">
      <alignment horizontal="center" vertical="center" wrapText="1"/>
    </xf>
    <xf numFmtId="43" fontId="25" fillId="0" borderId="12" xfId="3" applyFont="1" applyFill="1" applyBorder="1" applyAlignment="1">
      <alignment horizontal="center" vertical="center" wrapText="1"/>
    </xf>
    <xf numFmtId="43" fontId="25" fillId="0" borderId="12" xfId="3" applyFont="1" applyFill="1" applyBorder="1" applyAlignment="1">
      <alignment wrapText="1"/>
    </xf>
    <xf numFmtId="14" fontId="27" fillId="5" borderId="12" xfId="28" applyNumberFormat="1" applyFont="1" applyFill="1" applyBorder="1" applyAlignment="1">
      <alignment horizontal="center" vertical="center" wrapText="1"/>
    </xf>
    <xf numFmtId="0" fontId="27" fillId="5" borderId="12" xfId="28" applyFont="1" applyFill="1" applyBorder="1" applyAlignment="1">
      <alignment horizontal="center" vertical="center" wrapText="1"/>
    </xf>
    <xf numFmtId="0" fontId="27" fillId="5" borderId="12" xfId="28" quotePrefix="1" applyFont="1" applyFill="1" applyBorder="1" applyAlignment="1">
      <alignment horizontal="center" vertical="center" wrapText="1"/>
    </xf>
    <xf numFmtId="14" fontId="25" fillId="0" borderId="0" xfId="28" applyNumberFormat="1" applyFont="1" applyFill="1" applyAlignment="1">
      <alignment horizontal="right" wrapText="1"/>
    </xf>
    <xf numFmtId="0" fontId="27" fillId="0" borderId="12" xfId="28" applyFont="1" applyFill="1" applyBorder="1" applyAlignment="1">
      <alignment horizontal="center" vertical="center" wrapText="1"/>
    </xf>
    <xf numFmtId="43" fontId="27" fillId="0" borderId="12" xfId="3" applyFont="1" applyFill="1" applyBorder="1" applyAlignment="1">
      <alignment horizontal="center" vertical="center" wrapText="1"/>
    </xf>
    <xf numFmtId="43" fontId="27" fillId="0" borderId="12" xfId="3" applyFont="1" applyFill="1" applyBorder="1" applyAlignment="1">
      <alignment wrapText="1"/>
    </xf>
    <xf numFmtId="14" fontId="27" fillId="0" borderId="0" xfId="28" applyNumberFormat="1" applyFont="1" applyFill="1" applyAlignment="1">
      <alignment horizontal="right" wrapText="1"/>
    </xf>
    <xf numFmtId="0" fontId="27" fillId="0" borderId="12" xfId="0" applyFont="1" applyBorder="1" applyAlignment="1">
      <alignment horizontal="center" vertical="center" wrapText="1"/>
    </xf>
    <xf numFmtId="0" fontId="27" fillId="0" borderId="12" xfId="28" applyFont="1" applyBorder="1" applyAlignment="1">
      <alignment horizontal="center" vertical="center" wrapText="1"/>
    </xf>
    <xf numFmtId="0" fontId="27" fillId="0" borderId="12" xfId="40" applyFont="1" applyBorder="1" applyAlignment="1">
      <alignment horizontal="center" vertical="center" wrapText="1"/>
    </xf>
    <xf numFmtId="43" fontId="27" fillId="5" borderId="12" xfId="3" applyFont="1" applyFill="1" applyBorder="1" applyAlignment="1">
      <alignment horizontal="center" vertical="center" wrapText="1"/>
    </xf>
    <xf numFmtId="14" fontId="28" fillId="0" borderId="0" xfId="28" applyNumberFormat="1" applyFont="1" applyAlignment="1">
      <alignment horizontal="right" wrapText="1"/>
    </xf>
    <xf numFmtId="0" fontId="14" fillId="0" borderId="12" xfId="28" applyFont="1" applyBorder="1" applyAlignment="1">
      <alignment horizontal="center" vertical="center" wrapText="1"/>
    </xf>
    <xf numFmtId="14" fontId="29" fillId="5" borderId="0" xfId="28" applyNumberFormat="1" applyFont="1" applyFill="1" applyAlignment="1">
      <alignment horizontal="right" wrapText="1"/>
    </xf>
    <xf numFmtId="0" fontId="14" fillId="0" borderId="12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27" fillId="5" borderId="12" xfId="28" quotePrefix="1" applyNumberFormat="1" applyFont="1" applyFill="1" applyBorder="1" applyAlignment="1">
      <alignment horizontal="center" vertical="center" wrapText="1"/>
    </xf>
    <xf numFmtId="0" fontId="14" fillId="0" borderId="1" xfId="28" applyFont="1" applyBorder="1" applyAlignment="1">
      <alignment horizontal="center" vertical="center"/>
    </xf>
    <xf numFmtId="43" fontId="25" fillId="5" borderId="12" xfId="28" applyNumberFormat="1" applyFont="1" applyFill="1" applyBorder="1" applyAlignment="1">
      <alignment horizontal="center" vertical="center" wrapText="1"/>
    </xf>
    <xf numFmtId="43" fontId="14" fillId="0" borderId="0" xfId="3" applyFont="1" applyAlignment="1">
      <alignment vertical="center"/>
    </xf>
    <xf numFmtId="0" fontId="27" fillId="5" borderId="1" xfId="1" applyFont="1" applyFill="1" applyBorder="1" applyAlignment="1">
      <alignment horizontal="center" vertical="center" wrapText="1"/>
    </xf>
    <xf numFmtId="14" fontId="25" fillId="5" borderId="0" xfId="28" applyNumberFormat="1" applyFont="1" applyFill="1" applyAlignment="1">
      <alignment horizontal="center" vertical="center" wrapText="1"/>
    </xf>
    <xf numFmtId="44" fontId="27" fillId="5" borderId="12" xfId="28" applyNumberFormat="1" applyFont="1" applyFill="1" applyBorder="1" applyAlignment="1">
      <alignment horizontal="center" vertical="center" wrapText="1"/>
    </xf>
    <xf numFmtId="43" fontId="27" fillId="5" borderId="0" xfId="28" applyNumberFormat="1" applyFont="1" applyFill="1" applyAlignment="1">
      <alignment horizontal="center" vertical="center" wrapText="1"/>
    </xf>
    <xf numFmtId="14" fontId="27" fillId="5" borderId="0" xfId="28" applyNumberFormat="1" applyFont="1" applyFill="1" applyAlignment="1">
      <alignment horizontal="right" wrapText="1"/>
    </xf>
    <xf numFmtId="14" fontId="27" fillId="5" borderId="12" xfId="28" applyNumberFormat="1" applyFont="1" applyFill="1" applyBorder="1" applyAlignment="1">
      <alignment horizontal="center" vertical="center"/>
    </xf>
    <xf numFmtId="0" fontId="27" fillId="5" borderId="12" xfId="28" quotePrefix="1" applyNumberFormat="1" applyFont="1" applyFill="1" applyBorder="1" applyAlignment="1">
      <alignment horizontal="center" vertical="center"/>
    </xf>
    <xf numFmtId="43" fontId="27" fillId="5" borderId="12" xfId="3" applyFont="1" applyFill="1" applyBorder="1" applyAlignment="1">
      <alignment wrapText="1"/>
    </xf>
    <xf numFmtId="43" fontId="27" fillId="0" borderId="12" xfId="3" applyFont="1" applyBorder="1" applyAlignment="1">
      <alignment horizontal="center" vertical="center" wrapText="1"/>
    </xf>
    <xf numFmtId="14" fontId="27" fillId="0" borderId="12" xfId="28" applyNumberFormat="1" applyFont="1" applyBorder="1" applyAlignment="1">
      <alignment horizontal="center" vertical="center" wrapText="1"/>
    </xf>
    <xf numFmtId="16" fontId="27" fillId="0" borderId="12" xfId="28" applyNumberFormat="1" applyFont="1" applyBorder="1" applyAlignment="1">
      <alignment horizontal="center" vertical="center" wrapText="1"/>
    </xf>
    <xf numFmtId="0" fontId="27" fillId="0" borderId="0" xfId="28" applyFont="1" applyAlignment="1">
      <alignment wrapText="1"/>
    </xf>
    <xf numFmtId="0" fontId="27" fillId="0" borderId="12" xfId="28" quotePrefix="1" applyFont="1" applyBorder="1" applyAlignment="1">
      <alignment horizontal="center" vertical="center" wrapText="1"/>
    </xf>
    <xf numFmtId="0" fontId="27" fillId="5" borderId="0" xfId="28" applyFont="1" applyFill="1" applyAlignment="1">
      <alignment wrapText="1"/>
    </xf>
    <xf numFmtId="14" fontId="27" fillId="5" borderId="12" xfId="28" quotePrefix="1" applyNumberFormat="1" applyFont="1" applyFill="1" applyBorder="1" applyAlignment="1">
      <alignment horizontal="center" vertical="center" wrapText="1"/>
    </xf>
    <xf numFmtId="14" fontId="28" fillId="0" borderId="12" xfId="28" applyNumberFormat="1" applyFont="1" applyBorder="1" applyAlignment="1">
      <alignment horizontal="center" vertical="center" wrapText="1"/>
    </xf>
    <xf numFmtId="0" fontId="28" fillId="0" borderId="12" xfId="28" applyFont="1" applyFill="1" applyBorder="1" applyAlignment="1">
      <alignment horizontal="center" vertical="center" wrapText="1"/>
    </xf>
    <xf numFmtId="0" fontId="28" fillId="0" borderId="12" xfId="28" applyFont="1" applyBorder="1" applyAlignment="1">
      <alignment horizontal="center" vertical="center" wrapText="1"/>
    </xf>
    <xf numFmtId="43" fontId="28" fillId="0" borderId="12" xfId="3" applyFont="1" applyBorder="1" applyAlignment="1">
      <alignment horizontal="center" vertical="center" wrapText="1"/>
    </xf>
    <xf numFmtId="0" fontId="31" fillId="0" borderId="12" xfId="28" applyFont="1" applyBorder="1" applyAlignment="1">
      <alignment horizontal="center" vertical="center" wrapText="1"/>
    </xf>
    <xf numFmtId="0" fontId="28" fillId="0" borderId="12" xfId="28" quotePrefix="1" applyFont="1" applyBorder="1" applyAlignment="1">
      <alignment horizontal="center" vertical="center" wrapText="1"/>
    </xf>
    <xf numFmtId="0" fontId="27" fillId="0" borderId="12" xfId="28" applyFont="1" applyBorder="1" applyAlignment="1">
      <alignment horizontal="center" wrapText="1"/>
    </xf>
    <xf numFmtId="14" fontId="27" fillId="0" borderId="0" xfId="28" applyNumberFormat="1" applyFont="1" applyAlignment="1">
      <alignment horizontal="right"/>
    </xf>
    <xf numFmtId="0" fontId="27" fillId="0" borderId="0" xfId="28" applyFont="1"/>
    <xf numFmtId="0" fontId="27" fillId="0" borderId="0" xfId="28" applyFont="1" applyAlignment="1">
      <alignment horizontal="center"/>
    </xf>
    <xf numFmtId="43" fontId="32" fillId="0" borderId="0" xfId="3" applyFont="1" applyAlignment="1">
      <alignment horizontal="center"/>
    </xf>
    <xf numFmtId="43" fontId="27" fillId="0" borderId="0" xfId="3" applyFont="1" applyAlignment="1">
      <alignment horizontal="center" vertical="center"/>
    </xf>
    <xf numFmtId="0" fontId="27" fillId="0" borderId="0" xfId="28" applyFont="1" applyAlignment="1">
      <alignment horizontal="left"/>
    </xf>
    <xf numFmtId="14" fontId="25" fillId="0" borderId="0" xfId="28" applyNumberFormat="1" applyFont="1" applyAlignment="1">
      <alignment horizontal="right"/>
    </xf>
    <xf numFmtId="0" fontId="25" fillId="0" borderId="0" xfId="28" applyFont="1"/>
    <xf numFmtId="0" fontId="25" fillId="0" borderId="0" xfId="28" applyFont="1" applyAlignment="1">
      <alignment horizontal="center"/>
    </xf>
    <xf numFmtId="43" fontId="33" fillId="0" borderId="0" xfId="3" applyFont="1" applyAlignment="1">
      <alignment horizontal="center"/>
    </xf>
    <xf numFmtId="43" fontId="25" fillId="0" borderId="0" xfId="3" applyFont="1"/>
    <xf numFmtId="0" fontId="25" fillId="0" borderId="0" xfId="28" applyFont="1" applyAlignment="1">
      <alignment horizontal="left"/>
    </xf>
    <xf numFmtId="43" fontId="6" fillId="0" borderId="0" xfId="3" applyFont="1" applyAlignment="1" applyProtection="1">
      <alignment horizontal="right" vertical="center"/>
      <protection locked="0"/>
    </xf>
    <xf numFmtId="0" fontId="4" fillId="0" borderId="0" xfId="28" applyFont="1" applyBorder="1" applyAlignment="1">
      <alignment vertical="center"/>
    </xf>
    <xf numFmtId="43" fontId="4" fillId="0" borderId="0" xfId="3" applyFont="1" applyAlignment="1">
      <alignment horizontal="right" vertical="center"/>
    </xf>
    <xf numFmtId="0" fontId="4" fillId="0" borderId="1" xfId="28" applyFont="1" applyBorder="1" applyAlignment="1">
      <alignment vertical="center"/>
    </xf>
    <xf numFmtId="0" fontId="2" fillId="0" borderId="1" xfId="28" applyFont="1" applyBorder="1" applyAlignment="1">
      <alignment vertical="center"/>
    </xf>
    <xf numFmtId="43" fontId="5" fillId="0" borderId="0" xfId="3" applyNumberFormat="1" applyFont="1" applyAlignment="1">
      <alignment vertical="center"/>
    </xf>
    <xf numFmtId="43" fontId="4" fillId="0" borderId="1" xfId="3" applyFont="1" applyBorder="1" applyAlignment="1">
      <alignment horizontal="right" vertical="center"/>
    </xf>
    <xf numFmtId="43" fontId="4" fillId="0" borderId="2" xfId="3" applyFont="1" applyBorder="1" applyAlignment="1">
      <alignment horizontal="right" vertical="center"/>
    </xf>
    <xf numFmtId="0" fontId="4" fillId="0" borderId="2" xfId="28" applyFont="1" applyBorder="1" applyAlignment="1">
      <alignment vertical="center"/>
    </xf>
    <xf numFmtId="0" fontId="4" fillId="0" borderId="0" xfId="28" applyFont="1" applyBorder="1" applyAlignment="1">
      <alignment horizontal="center" vertical="center"/>
    </xf>
    <xf numFmtId="43" fontId="4" fillId="0" borderId="0" xfId="3" applyFont="1" applyBorder="1" applyAlignment="1">
      <alignment horizontal="right" vertical="center"/>
    </xf>
    <xf numFmtId="0" fontId="4" fillId="0" borderId="0" xfId="28" applyFont="1" applyAlignment="1" applyProtection="1">
      <alignment vertical="center"/>
      <protection locked="0"/>
    </xf>
    <xf numFmtId="0" fontId="8" fillId="0" borderId="0" xfId="28" applyFont="1" applyFill="1" applyAlignment="1">
      <alignment vertical="center"/>
    </xf>
    <xf numFmtId="43" fontId="8" fillId="0" borderId="0" xfId="3" applyFont="1" applyFill="1" applyAlignment="1">
      <alignment vertical="center"/>
    </xf>
    <xf numFmtId="0" fontId="5" fillId="0" borderId="0" xfId="28" applyFont="1" applyAlignment="1" applyProtection="1">
      <alignment vertical="center"/>
      <protection locked="0"/>
    </xf>
    <xf numFmtId="0" fontId="5" fillId="0" borderId="0" xfId="28" applyFont="1" applyFill="1" applyAlignment="1">
      <alignment vertical="center"/>
    </xf>
    <xf numFmtId="0" fontId="5" fillId="0" borderId="0" xfId="28" applyFont="1" applyFill="1" applyAlignment="1" applyProtection="1">
      <alignment vertical="center"/>
      <protection locked="0"/>
    </xf>
    <xf numFmtId="43" fontId="5" fillId="0" borderId="0" xfId="3" applyFont="1" applyBorder="1" applyAlignment="1">
      <alignment vertical="center"/>
    </xf>
    <xf numFmtId="0" fontId="5" fillId="0" borderId="0" xfId="28" applyFont="1" applyFill="1" applyBorder="1" applyAlignment="1">
      <alignment vertical="center"/>
    </xf>
    <xf numFmtId="0" fontId="4" fillId="0" borderId="0" xfId="28" applyFont="1" applyFill="1" applyAlignment="1" applyProtection="1">
      <alignment vertical="center"/>
      <protection locked="0"/>
    </xf>
    <xf numFmtId="0" fontId="4" fillId="0" borderId="0" xfId="28" applyFont="1" applyFill="1" applyAlignment="1">
      <alignment vertical="center"/>
    </xf>
    <xf numFmtId="43" fontId="4" fillId="0" borderId="0" xfId="3" applyFont="1" applyBorder="1" applyAlignment="1">
      <alignment vertical="center"/>
    </xf>
    <xf numFmtId="0" fontId="4" fillId="0" borderId="0" xfId="28" applyFont="1" applyFill="1" applyBorder="1" applyAlignment="1">
      <alignment vertical="center"/>
    </xf>
    <xf numFmtId="0" fontId="34" fillId="0" borderId="0" xfId="0" applyFont="1" applyAlignment="1" applyProtection="1">
      <alignment vertical="center"/>
      <protection locked="0"/>
    </xf>
    <xf numFmtId="49" fontId="34" fillId="0" borderId="0" xfId="0" applyNumberFormat="1" applyFont="1" applyBorder="1" applyAlignment="1">
      <alignment horizontal="right" vertical="center"/>
    </xf>
    <xf numFmtId="0" fontId="34" fillId="0" borderId="0" xfId="0" applyFont="1" applyAlignment="1" applyProtection="1">
      <alignment horizontal="left" vertical="center"/>
      <protection locked="0"/>
    </xf>
    <xf numFmtId="43" fontId="34" fillId="0" borderId="0" xfId="3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43" fontId="8" fillId="0" borderId="1" xfId="3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6" fillId="0" borderId="0" xfId="0" applyFont="1" applyAlignment="1">
      <alignment vertical="center"/>
    </xf>
    <xf numFmtId="43" fontId="8" fillId="0" borderId="3" xfId="3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7" fillId="0" borderId="4" xfId="28" applyFont="1" applyBorder="1" applyAlignment="1">
      <alignment vertical="center"/>
    </xf>
    <xf numFmtId="0" fontId="4" fillId="0" borderId="5" xfId="28" applyFont="1" applyBorder="1" applyAlignment="1">
      <alignment vertical="center"/>
    </xf>
    <xf numFmtId="0" fontId="4" fillId="0" borderId="6" xfId="28" applyFont="1" applyBorder="1" applyAlignment="1">
      <alignment vertical="center"/>
    </xf>
    <xf numFmtId="43" fontId="4" fillId="0" borderId="6" xfId="3" applyFont="1" applyBorder="1" applyAlignment="1">
      <alignment vertical="center"/>
    </xf>
    <xf numFmtId="43" fontId="4" fillId="0" borderId="0" xfId="3" applyFont="1" applyBorder="1" applyAlignment="1">
      <alignment horizontal="left" vertical="center"/>
    </xf>
    <xf numFmtId="0" fontId="4" fillId="0" borderId="0" xfId="3" applyNumberFormat="1" applyFont="1" applyBorder="1" applyAlignment="1">
      <alignment vertical="center"/>
    </xf>
    <xf numFmtId="43" fontId="4" fillId="0" borderId="1" xfId="3" applyFont="1" applyBorder="1" applyAlignment="1">
      <alignment horizontal="left" vertical="center"/>
    </xf>
    <xf numFmtId="0" fontId="4" fillId="0" borderId="10" xfId="28" applyFont="1" applyBorder="1" applyAlignment="1">
      <alignment vertical="center"/>
    </xf>
    <xf numFmtId="43" fontId="5" fillId="0" borderId="0" xfId="28" applyNumberFormat="1" applyFont="1" applyAlignment="1">
      <alignment vertical="center"/>
    </xf>
    <xf numFmtId="0" fontId="5" fillId="0" borderId="0" xfId="28" applyFont="1" applyBorder="1" applyAlignment="1">
      <alignment vertical="center"/>
    </xf>
    <xf numFmtId="0" fontId="11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43" fontId="38" fillId="0" borderId="0" xfId="3" applyFont="1" applyAlignment="1">
      <alignment vertical="center"/>
    </xf>
    <xf numFmtId="4" fontId="38" fillId="0" borderId="0" xfId="0" applyNumberFormat="1" applyFont="1" applyAlignment="1">
      <alignment vertical="center"/>
    </xf>
    <xf numFmtId="0" fontId="5" fillId="0" borderId="0" xfId="28" applyFont="1" applyAlignment="1"/>
    <xf numFmtId="43" fontId="5" fillId="0" borderId="0" xfId="3" applyFont="1" applyAlignment="1"/>
    <xf numFmtId="4" fontId="5" fillId="0" borderId="0" xfId="28" applyNumberFormat="1" applyFont="1" applyAlignment="1"/>
    <xf numFmtId="165" fontId="5" fillId="0" borderId="0" xfId="28" applyNumberFormat="1" applyFont="1" applyAlignment="1">
      <alignment vertical="center"/>
    </xf>
    <xf numFmtId="43" fontId="5" fillId="0" borderId="0" xfId="3" applyFont="1" applyFill="1" applyAlignment="1">
      <alignment vertical="center"/>
    </xf>
    <xf numFmtId="0" fontId="18" fillId="0" borderId="0" xfId="28" applyFont="1" applyFill="1" applyAlignment="1">
      <alignment vertical="center"/>
    </xf>
    <xf numFmtId="43" fontId="18" fillId="0" borderId="0" xfId="3" applyFont="1" applyFill="1" applyAlignment="1">
      <alignment vertical="center"/>
    </xf>
    <xf numFmtId="43" fontId="3" fillId="0" borderId="0" xfId="3" applyFont="1" applyFill="1" applyAlignment="1">
      <alignment vertical="center"/>
    </xf>
    <xf numFmtId="43" fontId="5" fillId="0" borderId="0" xfId="44" applyFont="1" applyFill="1" applyAlignment="1">
      <alignment vertical="center"/>
    </xf>
    <xf numFmtId="0" fontId="2" fillId="0" borderId="1" xfId="28" applyFont="1" applyBorder="1" applyAlignment="1">
      <alignment horizontal="left" vertical="center"/>
    </xf>
    <xf numFmtId="43" fontId="8" fillId="0" borderId="0" xfId="44" applyFont="1" applyFill="1" applyAlignment="1">
      <alignment vertical="center"/>
    </xf>
    <xf numFmtId="0" fontId="42" fillId="0" borderId="0" xfId="31" applyFont="1" applyAlignment="1">
      <alignment vertical="center"/>
    </xf>
    <xf numFmtId="4" fontId="42" fillId="0" borderId="0" xfId="31" applyNumberFormat="1" applyFont="1" applyAlignment="1">
      <alignment vertical="center"/>
    </xf>
    <xf numFmtId="0" fontId="20" fillId="0" borderId="0" xfId="31" applyFont="1" applyAlignment="1">
      <alignment vertical="center"/>
    </xf>
    <xf numFmtId="4" fontId="20" fillId="0" borderId="0" xfId="31" applyNumberFormat="1" applyFont="1" applyAlignment="1">
      <alignment vertical="center"/>
    </xf>
    <xf numFmtId="0" fontId="5" fillId="0" borderId="0" xfId="31" applyFont="1" applyAlignment="1">
      <alignment vertical="center"/>
    </xf>
    <xf numFmtId="43" fontId="5" fillId="0" borderId="0" xfId="6" applyFont="1" applyAlignment="1">
      <alignment vertical="center"/>
    </xf>
    <xf numFmtId="43" fontId="6" fillId="0" borderId="0" xfId="6" applyFont="1" applyAlignment="1" applyProtection="1">
      <alignment horizontal="right" vertical="center"/>
      <protection locked="0"/>
    </xf>
    <xf numFmtId="0" fontId="5" fillId="0" borderId="0" xfId="31" applyFont="1" applyBorder="1" applyAlignment="1">
      <alignment vertical="center"/>
    </xf>
    <xf numFmtId="43" fontId="5" fillId="0" borderId="0" xfId="6" applyFont="1" applyAlignment="1">
      <alignment horizontal="right" vertical="center"/>
    </xf>
    <xf numFmtId="0" fontId="5" fillId="0" borderId="1" xfId="31" applyFont="1" applyBorder="1" applyAlignment="1">
      <alignment vertical="center"/>
    </xf>
    <xf numFmtId="0" fontId="3" fillId="0" borderId="1" xfId="31" applyFont="1" applyBorder="1" applyAlignment="1">
      <alignment vertical="center"/>
    </xf>
    <xf numFmtId="43" fontId="20" fillId="0" borderId="0" xfId="6" applyNumberFormat="1" applyFont="1" applyAlignment="1">
      <alignment vertical="center"/>
    </xf>
    <xf numFmtId="43" fontId="5" fillId="0" borderId="1" xfId="6" applyFont="1" applyBorder="1" applyAlignment="1">
      <alignment horizontal="right" vertical="center"/>
    </xf>
    <xf numFmtId="43" fontId="5" fillId="0" borderId="2" xfId="6" applyFont="1" applyBorder="1" applyAlignment="1">
      <alignment horizontal="right" vertical="center"/>
    </xf>
    <xf numFmtId="0" fontId="5" fillId="0" borderId="2" xfId="31" applyFont="1" applyBorder="1" applyAlignment="1">
      <alignment vertical="center"/>
    </xf>
    <xf numFmtId="0" fontId="5" fillId="0" borderId="0" xfId="31" applyFont="1" applyAlignment="1" applyProtection="1">
      <alignment vertical="center"/>
      <protection locked="0"/>
    </xf>
    <xf numFmtId="0" fontId="5" fillId="0" borderId="0" xfId="31" applyFont="1" applyAlignment="1" applyProtection="1">
      <alignment horizontal="left" vertical="center"/>
      <protection locked="0"/>
    </xf>
    <xf numFmtId="0" fontId="8" fillId="0" borderId="0" xfId="31" applyFont="1" applyAlignment="1">
      <alignment vertical="center"/>
    </xf>
    <xf numFmtId="0" fontId="8" fillId="0" borderId="0" xfId="31" applyFont="1" applyAlignment="1" applyProtection="1">
      <alignment vertical="center"/>
      <protection locked="0"/>
    </xf>
    <xf numFmtId="43" fontId="8" fillId="0" borderId="0" xfId="6" applyFont="1" applyAlignment="1">
      <alignment vertical="center"/>
    </xf>
    <xf numFmtId="0" fontId="43" fillId="0" borderId="0" xfId="31" applyFont="1" applyAlignment="1">
      <alignment vertical="center"/>
    </xf>
    <xf numFmtId="43" fontId="43" fillId="0" borderId="0" xfId="6" applyFont="1" applyAlignment="1">
      <alignment vertical="center"/>
    </xf>
    <xf numFmtId="49" fontId="8" fillId="0" borderId="0" xfId="31" applyNumberFormat="1" applyFont="1" applyBorder="1" applyAlignment="1">
      <alignment vertical="center"/>
    </xf>
    <xf numFmtId="43" fontId="8" fillId="0" borderId="0" xfId="31" applyNumberFormat="1" applyFont="1" applyBorder="1" applyAlignment="1">
      <alignment vertical="center"/>
    </xf>
    <xf numFmtId="43" fontId="8" fillId="0" borderId="1" xfId="6" applyFont="1" applyBorder="1" applyAlignment="1">
      <alignment vertical="center"/>
    </xf>
    <xf numFmtId="0" fontId="8" fillId="0" borderId="1" xfId="31" applyFont="1" applyBorder="1" applyAlignment="1">
      <alignment vertical="center"/>
    </xf>
    <xf numFmtId="43" fontId="8" fillId="0" borderId="3" xfId="6" applyFont="1" applyBorder="1" applyAlignment="1">
      <alignment vertical="center"/>
    </xf>
    <xf numFmtId="0" fontId="8" fillId="0" borderId="3" xfId="31" applyFont="1" applyBorder="1" applyAlignment="1">
      <alignment vertical="center"/>
    </xf>
    <xf numFmtId="43" fontId="5" fillId="0" borderId="0" xfId="6" applyFont="1" applyBorder="1" applyAlignment="1">
      <alignment vertical="center"/>
    </xf>
    <xf numFmtId="0" fontId="9" fillId="0" borderId="4" xfId="31" applyFont="1" applyBorder="1" applyAlignment="1">
      <alignment vertical="center"/>
    </xf>
    <xf numFmtId="0" fontId="5" fillId="0" borderId="5" xfId="31" applyFont="1" applyBorder="1" applyAlignment="1">
      <alignment vertical="center"/>
    </xf>
    <xf numFmtId="0" fontId="5" fillId="0" borderId="6" xfId="31" applyFont="1" applyBorder="1" applyAlignment="1">
      <alignment vertical="center"/>
    </xf>
    <xf numFmtId="43" fontId="5" fillId="0" borderId="6" xfId="6" applyFont="1" applyBorder="1" applyAlignment="1">
      <alignment vertical="center"/>
    </xf>
    <xf numFmtId="43" fontId="14" fillId="0" borderId="0" xfId="6" applyFont="1" applyBorder="1" applyAlignment="1">
      <alignment horizontal="left" vertical="center"/>
    </xf>
    <xf numFmtId="0" fontId="5" fillId="0" borderId="10" xfId="31" applyFont="1" applyBorder="1" applyAlignment="1">
      <alignment vertical="center"/>
    </xf>
    <xf numFmtId="0" fontId="44" fillId="0" borderId="0" xfId="31" applyFont="1" applyAlignment="1">
      <alignment vertical="center"/>
    </xf>
    <xf numFmtId="14" fontId="45" fillId="0" borderId="2" xfId="6" applyNumberFormat="1" applyFont="1" applyBorder="1" applyAlignment="1">
      <alignment horizontal="right" vertical="center"/>
    </xf>
    <xf numFmtId="0" fontId="12" fillId="0" borderId="0" xfId="31" applyFont="1" applyBorder="1" applyAlignment="1">
      <alignment horizontal="center" vertical="center" wrapText="1"/>
    </xf>
    <xf numFmtId="0" fontId="13" fillId="0" borderId="0" xfId="31" applyFont="1" applyBorder="1" applyAlignment="1">
      <alignment vertical="center"/>
    </xf>
    <xf numFmtId="0" fontId="18" fillId="0" borderId="0" xfId="31" applyFont="1" applyAlignment="1">
      <alignment vertical="center"/>
    </xf>
    <xf numFmtId="43" fontId="18" fillId="0" borderId="0" xfId="6" applyFont="1" applyAlignment="1">
      <alignment vertical="center"/>
    </xf>
    <xf numFmtId="4" fontId="18" fillId="0" borderId="0" xfId="31" applyNumberFormat="1" applyFont="1" applyAlignment="1">
      <alignment vertical="center"/>
    </xf>
    <xf numFmtId="4" fontId="5" fillId="0" borderId="0" xfId="31" applyNumberFormat="1" applyFont="1" applyAlignment="1">
      <alignment vertical="center"/>
    </xf>
    <xf numFmtId="43" fontId="20" fillId="0" borderId="0" xfId="31" applyNumberFormat="1" applyFont="1" applyAlignment="1">
      <alignment vertical="center"/>
    </xf>
    <xf numFmtId="165" fontId="20" fillId="0" borderId="0" xfId="31" applyNumberFormat="1" applyFont="1" applyAlignment="1">
      <alignment vertical="center"/>
    </xf>
    <xf numFmtId="43" fontId="20" fillId="0" borderId="0" xfId="6" applyFont="1" applyAlignment="1">
      <alignment vertical="center"/>
    </xf>
    <xf numFmtId="0" fontId="4" fillId="0" borderId="0" xfId="28" applyFont="1" applyAlignment="1">
      <alignment horizontal="center" vertical="center"/>
    </xf>
    <xf numFmtId="49" fontId="8" fillId="0" borderId="0" xfId="31" applyNumberFormat="1" applyFont="1" applyBorder="1" applyAlignment="1">
      <alignment horizontal="left" vertical="center"/>
    </xf>
    <xf numFmtId="43" fontId="5" fillId="0" borderId="0" xfId="3" applyFont="1" applyAlignment="1">
      <alignment horizontal="left" vertical="center"/>
    </xf>
    <xf numFmtId="0" fontId="4" fillId="0" borderId="0" xfId="28" applyFont="1" applyAlignment="1">
      <alignment horizontal="center" vertical="center"/>
    </xf>
    <xf numFmtId="164" fontId="19" fillId="0" borderId="0" xfId="3" applyNumberFormat="1" applyFont="1" applyAlignment="1" applyProtection="1">
      <alignment horizontal="center" vertical="center"/>
      <protection locked="0"/>
    </xf>
    <xf numFmtId="43" fontId="5" fillId="0" borderId="0" xfId="3" applyFont="1" applyAlignment="1">
      <alignment horizontal="left" vertical="center"/>
    </xf>
    <xf numFmtId="0" fontId="18" fillId="0" borderId="1" xfId="31" applyFont="1" applyBorder="1" applyAlignment="1">
      <alignment vertical="center" wrapText="1"/>
    </xf>
    <xf numFmtId="0" fontId="13" fillId="0" borderId="1" xfId="31" applyFont="1" applyBorder="1" applyAlignment="1">
      <alignment vertical="center"/>
    </xf>
    <xf numFmtId="43" fontId="5" fillId="0" borderId="1" xfId="6" applyFont="1" applyBorder="1" applyAlignment="1">
      <alignment vertical="center"/>
    </xf>
    <xf numFmtId="0" fontId="14" fillId="0" borderId="0" xfId="31" applyFont="1" applyAlignment="1">
      <alignment vertical="center"/>
    </xf>
    <xf numFmtId="43" fontId="14" fillId="0" borderId="0" xfId="6" applyFont="1" applyAlignment="1">
      <alignment horizontal="center" vertical="center"/>
    </xf>
    <xf numFmtId="43" fontId="14" fillId="0" borderId="0" xfId="6" applyFont="1" applyAlignment="1">
      <alignment vertical="center"/>
    </xf>
    <xf numFmtId="4" fontId="14" fillId="0" borderId="0" xfId="31" applyNumberFormat="1" applyFont="1" applyAlignment="1">
      <alignment vertical="center"/>
    </xf>
    <xf numFmtId="0" fontId="5" fillId="0" borderId="0" xfId="31" applyFont="1" applyAlignment="1">
      <alignment vertical="center" wrapText="1"/>
    </xf>
    <xf numFmtId="43" fontId="18" fillId="0" borderId="0" xfId="6" applyFont="1" applyAlignment="1">
      <alignment horizontal="left" vertical="center"/>
    </xf>
    <xf numFmtId="0" fontId="4" fillId="0" borderId="0" xfId="28" applyFont="1" applyAlignment="1">
      <alignment horizontal="center" vertical="center"/>
    </xf>
    <xf numFmtId="0" fontId="48" fillId="0" borderId="0" xfId="0" applyFont="1" applyAlignment="1">
      <alignment vertical="center"/>
    </xf>
    <xf numFmtId="4" fontId="48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4" fontId="50" fillId="0" borderId="0" xfId="0" applyNumberFormat="1" applyFont="1" applyAlignment="1">
      <alignment vertical="center"/>
    </xf>
    <xf numFmtId="0" fontId="50" fillId="0" borderId="0" xfId="0" applyFont="1" applyAlignment="1">
      <alignment horizontal="center" vertical="center"/>
    </xf>
    <xf numFmtId="166" fontId="50" fillId="0" borderId="0" xfId="5" applyFont="1" applyAlignment="1">
      <alignment horizontal="center" vertical="center"/>
    </xf>
    <xf numFmtId="43" fontId="50" fillId="0" borderId="0" xfId="3" applyFont="1" applyAlignment="1">
      <alignment vertical="center"/>
    </xf>
    <xf numFmtId="43" fontId="51" fillId="0" borderId="0" xfId="3" applyFont="1" applyAlignment="1" applyProtection="1">
      <alignment horizontal="right" vertical="center"/>
      <protection locked="0"/>
    </xf>
    <xf numFmtId="0" fontId="50" fillId="0" borderId="0" xfId="0" applyFont="1" applyBorder="1" applyAlignment="1">
      <alignment horizontal="center" vertical="center"/>
    </xf>
    <xf numFmtId="166" fontId="52" fillId="0" borderId="0" xfId="5" applyFont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166" fontId="50" fillId="0" borderId="1" xfId="5" applyFont="1" applyBorder="1" applyAlignment="1">
      <alignment horizontal="center" vertical="center"/>
    </xf>
    <xf numFmtId="43" fontId="50" fillId="0" borderId="0" xfId="3" applyNumberFormat="1" applyFont="1" applyAlignment="1">
      <alignment vertical="center"/>
    </xf>
    <xf numFmtId="166" fontId="52" fillId="0" borderId="1" xfId="5" applyFont="1" applyBorder="1" applyAlignment="1">
      <alignment horizontal="center" vertical="center"/>
    </xf>
    <xf numFmtId="43" fontId="52" fillId="0" borderId="2" xfId="3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8" fillId="0" borderId="0" xfId="0" applyFont="1" applyAlignment="1" applyProtection="1">
      <alignment horizontal="center" vertical="center"/>
      <protection locked="0"/>
    </xf>
    <xf numFmtId="166" fontId="48" fillId="0" borderId="0" xfId="5" applyFont="1" applyAlignment="1">
      <alignment horizontal="center" vertical="center"/>
    </xf>
    <xf numFmtId="43" fontId="48" fillId="0" borderId="0" xfId="3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49" fontId="48" fillId="0" borderId="0" xfId="0" applyNumberFormat="1" applyFont="1" applyBorder="1" applyAlignment="1">
      <alignment horizontal="left" vertical="center"/>
    </xf>
    <xf numFmtId="0" fontId="53" fillId="0" borderId="0" xfId="0" applyFont="1" applyAlignment="1">
      <alignment horizontal="center" vertical="center"/>
    </xf>
    <xf numFmtId="43" fontId="53" fillId="0" borderId="0" xfId="3" applyFont="1" applyAlignment="1">
      <alignment horizontal="center" vertical="center"/>
    </xf>
    <xf numFmtId="0" fontId="49" fillId="0" borderId="0" xfId="0" applyFont="1" applyAlignment="1">
      <alignment vertical="center"/>
    </xf>
    <xf numFmtId="43" fontId="48" fillId="0" borderId="0" xfId="45" applyNumberFormat="1" applyFont="1" applyAlignment="1">
      <alignment vertical="center"/>
    </xf>
    <xf numFmtId="43" fontId="48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166" fontId="48" fillId="0" borderId="1" xfId="5" applyFont="1" applyBorder="1" applyAlignment="1">
      <alignment horizontal="center" vertical="center"/>
    </xf>
    <xf numFmtId="43" fontId="48" fillId="0" borderId="1" xfId="3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66" fontId="48" fillId="0" borderId="3" xfId="5" applyFont="1" applyBorder="1" applyAlignment="1">
      <alignment horizontal="center" vertical="center"/>
    </xf>
    <xf numFmtId="43" fontId="48" fillId="0" borderId="3" xfId="3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166" fontId="50" fillId="0" borderId="0" xfId="5" applyFont="1" applyBorder="1" applyAlignment="1">
      <alignment horizontal="center" vertical="center"/>
    </xf>
    <xf numFmtId="43" fontId="50" fillId="0" borderId="0" xfId="3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0" fontId="55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left" vertical="center"/>
    </xf>
    <xf numFmtId="166" fontId="55" fillId="0" borderId="6" xfId="5" applyFont="1" applyBorder="1" applyAlignment="1">
      <alignment horizontal="center" vertical="center"/>
    </xf>
    <xf numFmtId="43" fontId="55" fillId="0" borderId="6" xfId="3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6" fillId="0" borderId="0" xfId="0" applyFont="1" applyBorder="1" applyAlignment="1">
      <alignment horizontal="center" vertical="center"/>
    </xf>
    <xf numFmtId="166" fontId="55" fillId="0" borderId="0" xfId="5" applyFont="1" applyBorder="1" applyAlignment="1">
      <alignment horizontal="center" vertical="center"/>
    </xf>
    <xf numFmtId="4" fontId="55" fillId="0" borderId="0" xfId="0" applyNumberFormat="1" applyFont="1" applyAlignment="1">
      <alignment vertical="center"/>
    </xf>
    <xf numFmtId="166" fontId="55" fillId="0" borderId="0" xfId="5" applyFont="1" applyBorder="1" applyAlignment="1">
      <alignment horizontal="left" vertical="center"/>
    </xf>
    <xf numFmtId="0" fontId="56" fillId="0" borderId="2" xfId="3" applyNumberFormat="1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43" fontId="55" fillId="0" borderId="0" xfId="3" applyNumberFormat="1" applyFont="1" applyAlignment="1">
      <alignment vertical="center"/>
    </xf>
    <xf numFmtId="0" fontId="56" fillId="0" borderId="1" xfId="0" applyFont="1" applyBorder="1" applyAlignment="1">
      <alignment horizontal="center" vertical="center"/>
    </xf>
    <xf numFmtId="43" fontId="56" fillId="0" borderId="2" xfId="3" applyFont="1" applyBorder="1" applyAlignment="1">
      <alignment horizontal="center" vertical="center"/>
    </xf>
    <xf numFmtId="0" fontId="59" fillId="0" borderId="0" xfId="0" applyFont="1" applyBorder="1" applyAlignment="1">
      <alignment horizontal="center" vertical="center" wrapText="1"/>
    </xf>
    <xf numFmtId="43" fontId="56" fillId="0" borderId="0" xfId="3" applyFont="1" applyBorder="1" applyAlignment="1">
      <alignment horizontal="center" vertical="center"/>
    </xf>
    <xf numFmtId="0" fontId="55" fillId="0" borderId="0" xfId="0" applyFont="1" applyBorder="1" applyAlignment="1">
      <alignment horizontal="center" vertical="center"/>
    </xf>
    <xf numFmtId="43" fontId="50" fillId="0" borderId="0" xfId="3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166" fontId="55" fillId="0" borderId="0" xfId="5" applyFont="1" applyAlignment="1">
      <alignment horizontal="center" vertical="center"/>
    </xf>
    <xf numFmtId="43" fontId="55" fillId="0" borderId="0" xfId="3" applyFont="1" applyAlignment="1">
      <alignment horizontal="center" vertical="center"/>
    </xf>
    <xf numFmtId="43" fontId="55" fillId="0" borderId="0" xfId="3" applyFont="1" applyAlignment="1">
      <alignment vertical="center"/>
    </xf>
    <xf numFmtId="0" fontId="56" fillId="0" borderId="0" xfId="0" applyFont="1" applyAlignment="1">
      <alignment horizontal="center" vertical="center"/>
    </xf>
    <xf numFmtId="166" fontId="50" fillId="0" borderId="0" xfId="5" applyFont="1" applyAlignment="1">
      <alignment vertical="center"/>
    </xf>
    <xf numFmtId="43" fontId="50" fillId="0" borderId="0" xfId="0" applyNumberFormat="1" applyFont="1" applyAlignment="1">
      <alignment vertical="center"/>
    </xf>
    <xf numFmtId="165" fontId="50" fillId="0" borderId="0" xfId="0" applyNumberFormat="1" applyFont="1" applyAlignment="1">
      <alignment vertical="center"/>
    </xf>
    <xf numFmtId="0" fontId="57" fillId="0" borderId="1" xfId="0" applyFont="1" applyBorder="1" applyAlignment="1">
      <alignment horizontal="left" vertical="center"/>
    </xf>
    <xf numFmtId="43" fontId="27" fillId="0" borderId="1" xfId="5" applyNumberFormat="1" applyFont="1" applyBorder="1" applyAlignment="1">
      <alignment horizontal="left" wrapText="1"/>
    </xf>
    <xf numFmtId="0" fontId="4" fillId="0" borderId="0" xfId="28" applyFont="1" applyAlignment="1">
      <alignment horizontal="center" vertical="center"/>
    </xf>
    <xf numFmtId="0" fontId="4" fillId="0" borderId="0" xfId="1" applyFont="1" applyAlignment="1">
      <alignment vertical="center"/>
    </xf>
    <xf numFmtId="4" fontId="4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  <xf numFmtId="4" fontId="5" fillId="0" borderId="0" xfId="1" applyNumberFormat="1" applyFont="1" applyAlignment="1">
      <alignment vertical="center"/>
    </xf>
    <xf numFmtId="43" fontId="5" fillId="0" borderId="0" xfId="2" applyFont="1" applyAlignment="1">
      <alignment vertical="center"/>
    </xf>
    <xf numFmtId="43" fontId="6" fillId="0" borderId="0" xfId="2" applyFont="1" applyAlignment="1" applyProtection="1">
      <alignment horizontal="right" vertical="center"/>
      <protection locked="0"/>
    </xf>
    <xf numFmtId="0" fontId="5" fillId="0" borderId="0" xfId="1" applyFont="1" applyBorder="1" applyAlignment="1">
      <alignment vertical="center"/>
    </xf>
    <xf numFmtId="43" fontId="5" fillId="0" borderId="0" xfId="2" applyFont="1" applyAlignment="1">
      <alignment horizontal="right" vertical="center"/>
    </xf>
    <xf numFmtId="0" fontId="3" fillId="0" borderId="1" xfId="1" applyFont="1" applyBorder="1" applyAlignment="1">
      <alignment vertical="center"/>
    </xf>
    <xf numFmtId="43" fontId="5" fillId="0" borderId="1" xfId="2" applyFont="1" applyBorder="1" applyAlignment="1">
      <alignment vertical="center"/>
    </xf>
    <xf numFmtId="43" fontId="5" fillId="0" borderId="0" xfId="2" applyNumberFormat="1" applyFont="1" applyAlignment="1">
      <alignment vertical="center"/>
    </xf>
    <xf numFmtId="43" fontId="5" fillId="0" borderId="1" xfId="2" applyFont="1" applyBorder="1" applyAlignment="1">
      <alignment horizontal="right" vertical="center"/>
    </xf>
    <xf numFmtId="43" fontId="5" fillId="0" borderId="2" xfId="2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5" fillId="0" borderId="0" xfId="1" applyFont="1" applyBorder="1" applyAlignment="1">
      <alignment horizontal="center" vertical="center"/>
    </xf>
    <xf numFmtId="43" fontId="5" fillId="0" borderId="0" xfId="2" applyFont="1" applyBorder="1" applyAlignment="1">
      <alignment horizontal="right" vertical="center"/>
    </xf>
    <xf numFmtId="0" fontId="5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8" fillId="0" borderId="0" xfId="1" applyFont="1" applyAlignment="1" applyProtection="1">
      <alignment vertical="center"/>
      <protection locked="0"/>
    </xf>
    <xf numFmtId="49" fontId="8" fillId="0" borderId="0" xfId="1" applyNumberFormat="1" applyFont="1" applyBorder="1" applyAlignment="1">
      <alignment horizontal="left" vertical="center"/>
    </xf>
    <xf numFmtId="0" fontId="8" fillId="0" borderId="0" xfId="1" applyFont="1" applyAlignment="1" applyProtection="1">
      <alignment horizontal="left" vertical="center"/>
      <protection locked="0"/>
    </xf>
    <xf numFmtId="43" fontId="8" fillId="0" borderId="0" xfId="2" applyFont="1" applyAlignment="1">
      <alignment vertical="center"/>
    </xf>
    <xf numFmtId="0" fontId="8" fillId="0" borderId="0" xfId="1" applyFont="1" applyAlignment="1">
      <alignment vertical="center"/>
    </xf>
    <xf numFmtId="49" fontId="4" fillId="0" borderId="0" xfId="1" applyNumberFormat="1" applyFont="1" applyBorder="1" applyAlignment="1">
      <alignment horizontal="left" vertical="center"/>
    </xf>
    <xf numFmtId="49" fontId="5" fillId="0" borderId="0" xfId="1" applyNumberFormat="1" applyFont="1" applyBorder="1" applyAlignment="1">
      <alignment horizontal="left" vertical="center"/>
    </xf>
    <xf numFmtId="0" fontId="5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43" fontId="4" fillId="0" borderId="0" xfId="2" applyFont="1" applyAlignment="1">
      <alignment vertical="center"/>
    </xf>
    <xf numFmtId="43" fontId="4" fillId="0" borderId="1" xfId="2" applyFont="1" applyBorder="1" applyAlignment="1">
      <alignment vertical="center"/>
    </xf>
    <xf numFmtId="0" fontId="4" fillId="0" borderId="1" xfId="1" applyFont="1" applyBorder="1" applyAlignment="1">
      <alignment vertical="center"/>
    </xf>
    <xf numFmtId="43" fontId="4" fillId="0" borderId="3" xfId="2" applyFont="1" applyBorder="1" applyAlignment="1">
      <alignment vertical="center"/>
    </xf>
    <xf numFmtId="0" fontId="4" fillId="0" borderId="3" xfId="1" applyFont="1" applyBorder="1" applyAlignment="1">
      <alignment vertical="center"/>
    </xf>
    <xf numFmtId="43" fontId="5" fillId="0" borderId="0" xfId="2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43" fontId="5" fillId="0" borderId="6" xfId="2" applyFont="1" applyBorder="1" applyAlignment="1">
      <alignment vertical="center"/>
    </xf>
    <xf numFmtId="43" fontId="61" fillId="0" borderId="1" xfId="2" applyFont="1" applyBorder="1" applyAlignment="1">
      <alignment vertical="center"/>
    </xf>
    <xf numFmtId="0" fontId="61" fillId="0" borderId="9" xfId="1" applyFont="1" applyBorder="1" applyAlignment="1">
      <alignment vertical="center"/>
    </xf>
    <xf numFmtId="43" fontId="14" fillId="0" borderId="0" xfId="2" applyFont="1" applyBorder="1" applyAlignment="1">
      <alignment horizontal="left" vertical="center"/>
    </xf>
    <xf numFmtId="0" fontId="5" fillId="0" borderId="2" xfId="2" applyNumberFormat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14" fillId="0" borderId="0" xfId="1" applyFont="1" applyAlignment="1">
      <alignment vertical="center"/>
    </xf>
    <xf numFmtId="43" fontId="21" fillId="0" borderId="2" xfId="2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 wrapText="1"/>
    </xf>
    <xf numFmtId="0" fontId="13" fillId="0" borderId="0" xfId="1" applyFont="1" applyBorder="1" applyAlignment="1">
      <alignment vertical="center"/>
    </xf>
    <xf numFmtId="0" fontId="18" fillId="0" borderId="0" xfId="1" applyFont="1" applyAlignment="1">
      <alignment vertical="center"/>
    </xf>
    <xf numFmtId="43" fontId="14" fillId="0" borderId="0" xfId="2" applyFont="1" applyAlignment="1">
      <alignment horizontal="center" vertical="center"/>
    </xf>
    <xf numFmtId="43" fontId="14" fillId="0" borderId="0" xfId="2" applyFont="1" applyAlignment="1">
      <alignment vertical="center"/>
    </xf>
    <xf numFmtId="4" fontId="14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3" fontId="5" fillId="0" borderId="0" xfId="1" applyNumberFormat="1" applyFont="1" applyAlignment="1">
      <alignment vertical="center"/>
    </xf>
    <xf numFmtId="165" fontId="5" fillId="0" borderId="0" xfId="1" applyNumberFormat="1" applyFont="1" applyAlignment="1">
      <alignment vertical="center"/>
    </xf>
    <xf numFmtId="0" fontId="50" fillId="0" borderId="0" xfId="29" applyFont="1" applyAlignment="1">
      <alignment vertical="center"/>
    </xf>
    <xf numFmtId="4" fontId="50" fillId="0" borderId="0" xfId="29" applyNumberFormat="1" applyFont="1" applyAlignment="1">
      <alignment vertical="center"/>
    </xf>
    <xf numFmtId="0" fontId="50" fillId="0" borderId="0" xfId="40" applyFont="1" applyAlignment="1">
      <alignment vertical="center"/>
    </xf>
    <xf numFmtId="0" fontId="65" fillId="0" borderId="0" xfId="40" applyFont="1" applyAlignment="1">
      <alignment vertical="center"/>
    </xf>
    <xf numFmtId="4" fontId="65" fillId="0" borderId="0" xfId="40" applyNumberFormat="1" applyFont="1" applyAlignment="1">
      <alignment vertical="center"/>
    </xf>
    <xf numFmtId="0" fontId="63" fillId="0" borderId="1" xfId="0" applyFont="1" applyBorder="1" applyAlignment="1">
      <alignment vertical="center"/>
    </xf>
    <xf numFmtId="0" fontId="53" fillId="0" borderId="1" xfId="0" applyFont="1" applyBorder="1" applyAlignment="1">
      <alignment horizontal="left" vertical="center"/>
    </xf>
    <xf numFmtId="0" fontId="50" fillId="0" borderId="1" xfId="40" applyFont="1" applyBorder="1" applyAlignment="1">
      <alignment vertical="center"/>
    </xf>
    <xf numFmtId="43" fontId="50" fillId="0" borderId="1" xfId="16" applyFont="1" applyBorder="1" applyAlignment="1">
      <alignment horizontal="right" vertical="center"/>
    </xf>
    <xf numFmtId="43" fontId="63" fillId="0" borderId="1" xfId="3" applyFont="1" applyBorder="1" applyAlignment="1">
      <alignment horizontal="right" vertical="center"/>
    </xf>
    <xf numFmtId="0" fontId="50" fillId="0" borderId="0" xfId="28" applyFont="1" applyAlignment="1">
      <alignment vertical="center"/>
    </xf>
    <xf numFmtId="4" fontId="50" fillId="0" borderId="0" xfId="28" applyNumberFormat="1" applyFont="1" applyAlignment="1">
      <alignment vertical="center"/>
    </xf>
    <xf numFmtId="0" fontId="66" fillId="0" borderId="0" xfId="0" applyFont="1" applyAlignment="1" applyProtection="1">
      <alignment vertical="center"/>
      <protection locked="0"/>
    </xf>
    <xf numFmtId="0" fontId="66" fillId="0" borderId="0" xfId="0" applyFont="1" applyFill="1" applyAlignment="1">
      <alignment vertical="center"/>
    </xf>
    <xf numFmtId="0" fontId="66" fillId="0" borderId="0" xfId="0" applyFont="1" applyFill="1" applyAlignment="1">
      <alignment horizontal="left" vertical="center"/>
    </xf>
    <xf numFmtId="43" fontId="66" fillId="0" borderId="0" xfId="3" applyFont="1" applyFill="1" applyBorder="1" applyAlignment="1">
      <alignment vertical="center"/>
    </xf>
    <xf numFmtId="43" fontId="66" fillId="0" borderId="0" xfId="3" applyFont="1" applyAlignment="1">
      <alignment vertical="center"/>
    </xf>
    <xf numFmtId="0" fontId="66" fillId="0" borderId="0" xfId="0" applyFont="1" applyAlignment="1">
      <alignment vertical="center"/>
    </xf>
    <xf numFmtId="0" fontId="66" fillId="0" borderId="0" xfId="28" applyFont="1" applyAlignment="1">
      <alignment vertical="center"/>
    </xf>
    <xf numFmtId="0" fontId="63" fillId="0" borderId="0" xfId="0" applyFont="1" applyAlignment="1" applyProtection="1">
      <alignment vertical="center"/>
      <protection locked="0"/>
    </xf>
    <xf numFmtId="0" fontId="63" fillId="0" borderId="0" xfId="0" applyFont="1" applyFill="1" applyAlignment="1">
      <alignment vertical="center"/>
    </xf>
    <xf numFmtId="0" fontId="63" fillId="0" borderId="0" xfId="0" applyFont="1" applyFill="1" applyAlignment="1">
      <alignment horizontal="left" vertical="center"/>
    </xf>
    <xf numFmtId="43" fontId="63" fillId="0" borderId="0" xfId="3" applyFont="1" applyFill="1" applyBorder="1" applyAlignment="1">
      <alignment vertical="center"/>
    </xf>
    <xf numFmtId="43" fontId="63" fillId="0" borderId="0" xfId="3" applyFont="1" applyAlignment="1">
      <alignment vertical="center"/>
    </xf>
    <xf numFmtId="0" fontId="63" fillId="0" borderId="0" xfId="0" applyFont="1" applyAlignment="1">
      <alignment vertical="center"/>
    </xf>
    <xf numFmtId="0" fontId="47" fillId="0" borderId="0" xfId="40" applyFont="1" applyAlignment="1" applyProtection="1">
      <alignment vertical="center"/>
      <protection locked="0"/>
    </xf>
    <xf numFmtId="0" fontId="67" fillId="0" borderId="0" xfId="40" applyFont="1" applyBorder="1" applyAlignment="1" applyProtection="1">
      <alignment horizontal="right" vertical="center"/>
      <protection locked="0"/>
    </xf>
    <xf numFmtId="43" fontId="67" fillId="0" borderId="0" xfId="16" applyFont="1" applyAlignment="1">
      <alignment vertical="center"/>
    </xf>
    <xf numFmtId="43" fontId="68" fillId="0" borderId="0" xfId="16" applyFont="1" applyAlignment="1">
      <alignment vertical="center"/>
    </xf>
    <xf numFmtId="43" fontId="47" fillId="0" borderId="0" xfId="16" applyFont="1" applyAlignment="1">
      <alignment vertical="center"/>
    </xf>
    <xf numFmtId="0" fontId="47" fillId="0" borderId="0" xfId="40" applyFont="1" applyAlignment="1">
      <alignment vertical="center"/>
    </xf>
    <xf numFmtId="0" fontId="68" fillId="0" borderId="0" xfId="40" applyFont="1" applyAlignment="1">
      <alignment vertical="center"/>
    </xf>
    <xf numFmtId="0" fontId="69" fillId="0" borderId="0" xfId="0" applyFont="1" applyFill="1" applyAlignment="1" applyProtection="1">
      <alignment vertical="center"/>
      <protection locked="0"/>
    </xf>
    <xf numFmtId="0" fontId="69" fillId="0" borderId="0" xfId="0" applyFont="1" applyFill="1" applyAlignment="1">
      <alignment horizontal="right" vertical="center"/>
    </xf>
    <xf numFmtId="43" fontId="69" fillId="0" borderId="0" xfId="0" applyNumberFormat="1" applyFont="1" applyFill="1" applyAlignment="1">
      <alignment vertical="center"/>
    </xf>
    <xf numFmtId="43" fontId="63" fillId="0" borderId="0" xfId="3" applyFont="1" applyFill="1" applyAlignment="1">
      <alignment vertical="center"/>
    </xf>
    <xf numFmtId="0" fontId="69" fillId="0" borderId="0" xfId="0" applyFont="1" applyFill="1" applyAlignment="1">
      <alignment vertical="center"/>
    </xf>
    <xf numFmtId="0" fontId="50" fillId="0" borderId="0" xfId="28" applyFont="1" applyFill="1" applyAlignment="1">
      <alignment vertical="center"/>
    </xf>
    <xf numFmtId="0" fontId="48" fillId="0" borderId="0" xfId="28" applyFont="1" applyAlignment="1">
      <alignment vertical="center"/>
    </xf>
    <xf numFmtId="0" fontId="63" fillId="0" borderId="0" xfId="28" applyFont="1" applyAlignment="1">
      <alignment vertical="center"/>
    </xf>
    <xf numFmtId="43" fontId="47" fillId="0" borderId="2" xfId="3" applyFont="1" applyBorder="1" applyAlignment="1">
      <alignment vertical="center"/>
    </xf>
    <xf numFmtId="0" fontId="48" fillId="0" borderId="2" xfId="28" applyFont="1" applyBorder="1" applyAlignment="1">
      <alignment vertical="center"/>
    </xf>
    <xf numFmtId="43" fontId="47" fillId="0" borderId="3" xfId="3" applyFont="1" applyBorder="1" applyAlignment="1">
      <alignment vertical="center"/>
    </xf>
    <xf numFmtId="0" fontId="48" fillId="0" borderId="3" xfId="28" applyFont="1" applyBorder="1" applyAlignment="1">
      <alignment vertical="center"/>
    </xf>
    <xf numFmtId="43" fontId="50" fillId="0" borderId="0" xfId="28" applyNumberFormat="1" applyFont="1" applyFill="1" applyAlignment="1">
      <alignment vertical="center"/>
    </xf>
    <xf numFmtId="0" fontId="69" fillId="0" borderId="4" xfId="0" applyFont="1" applyBorder="1" applyAlignment="1">
      <alignment vertical="center"/>
    </xf>
    <xf numFmtId="0" fontId="63" fillId="0" borderId="5" xfId="0" applyFont="1" applyBorder="1" applyAlignment="1">
      <alignment vertical="center"/>
    </xf>
    <xf numFmtId="0" fontId="63" fillId="0" borderId="6" xfId="0" applyFont="1" applyBorder="1" applyAlignment="1">
      <alignment vertical="center"/>
    </xf>
    <xf numFmtId="43" fontId="63" fillId="0" borderId="6" xfId="3" applyFont="1" applyBorder="1" applyAlignment="1">
      <alignment vertical="center"/>
    </xf>
    <xf numFmtId="0" fontId="63" fillId="0" borderId="0" xfId="0" applyFont="1" applyBorder="1" applyAlignment="1">
      <alignment vertical="center"/>
    </xf>
    <xf numFmtId="43" fontId="63" fillId="0" borderId="0" xfId="3" applyFont="1" applyBorder="1" applyAlignment="1">
      <alignment vertical="center"/>
    </xf>
    <xf numFmtId="43" fontId="63" fillId="0" borderId="0" xfId="3" applyFont="1" applyBorder="1" applyAlignment="1">
      <alignment horizontal="left" vertical="center"/>
    </xf>
    <xf numFmtId="0" fontId="63" fillId="0" borderId="10" xfId="0" applyFont="1" applyBorder="1" applyAlignment="1">
      <alignment vertical="center"/>
    </xf>
    <xf numFmtId="43" fontId="49" fillId="0" borderId="1" xfId="3" applyFont="1" applyBorder="1" applyAlignment="1">
      <alignment vertical="center" wrapText="1"/>
    </xf>
    <xf numFmtId="14" fontId="72" fillId="0" borderId="2" xfId="3" applyNumberFormat="1" applyFont="1" applyBorder="1" applyAlignment="1">
      <alignment horizontal="right" vertical="center"/>
    </xf>
    <xf numFmtId="43" fontId="48" fillId="0" borderId="0" xfId="3" applyFont="1" applyAlignment="1">
      <alignment vertical="center"/>
    </xf>
    <xf numFmtId="43" fontId="48" fillId="0" borderId="0" xfId="3" applyFont="1" applyAlignment="1">
      <alignment horizontal="left" vertical="center"/>
    </xf>
    <xf numFmtId="43" fontId="63" fillId="0" borderId="0" xfId="3" applyFont="1" applyAlignment="1">
      <alignment horizontal="left" vertical="center"/>
    </xf>
    <xf numFmtId="43" fontId="50" fillId="0" borderId="0" xfId="28" applyNumberFormat="1" applyFont="1" applyAlignment="1">
      <alignment vertical="center"/>
    </xf>
    <xf numFmtId="165" fontId="50" fillId="0" borderId="0" xfId="28" applyNumberFormat="1" applyFont="1" applyAlignment="1">
      <alignment vertical="center"/>
    </xf>
    <xf numFmtId="0" fontId="73" fillId="0" borderId="0" xfId="40" applyFont="1" applyAlignment="1">
      <alignment vertical="center"/>
    </xf>
    <xf numFmtId="4" fontId="73" fillId="0" borderId="0" xfId="40" applyNumberFormat="1" applyFont="1" applyAlignment="1">
      <alignment vertical="center"/>
    </xf>
    <xf numFmtId="0" fontId="50" fillId="0" borderId="0" xfId="40" applyFont="1" applyBorder="1" applyAlignment="1">
      <alignment vertical="center"/>
    </xf>
    <xf numFmtId="43" fontId="50" fillId="0" borderId="0" xfId="16" applyFont="1" applyAlignment="1">
      <alignment horizontal="right" vertical="center"/>
    </xf>
    <xf numFmtId="0" fontId="74" fillId="0" borderId="1" xfId="40" applyFont="1" applyBorder="1" applyAlignment="1">
      <alignment vertical="center"/>
    </xf>
    <xf numFmtId="43" fontId="65" fillId="0" borderId="0" xfId="16" applyNumberFormat="1" applyFont="1" applyAlignment="1">
      <alignment vertical="center"/>
    </xf>
    <xf numFmtId="43" fontId="50" fillId="0" borderId="2" xfId="16" applyFont="1" applyBorder="1" applyAlignment="1">
      <alignment horizontal="right" vertical="center"/>
    </xf>
    <xf numFmtId="0" fontId="50" fillId="0" borderId="2" xfId="40" applyFont="1" applyBorder="1" applyAlignment="1">
      <alignment vertical="center"/>
    </xf>
    <xf numFmtId="0" fontId="57" fillId="0" borderId="0" xfId="40" applyFont="1" applyAlignment="1" applyProtection="1">
      <alignment vertical="center"/>
      <protection locked="0"/>
    </xf>
    <xf numFmtId="0" fontId="57" fillId="0" borderId="0" xfId="40" applyFont="1" applyBorder="1" applyAlignment="1" applyProtection="1">
      <alignment vertical="center"/>
      <protection locked="0"/>
    </xf>
    <xf numFmtId="43" fontId="57" fillId="0" borderId="0" xfId="16" applyFont="1" applyAlignment="1">
      <alignment vertical="center"/>
    </xf>
    <xf numFmtId="0" fontId="57" fillId="0" borderId="0" xfId="40" applyFont="1" applyAlignment="1">
      <alignment vertical="center"/>
    </xf>
    <xf numFmtId="0" fontId="26" fillId="0" borderId="0" xfId="40" applyFont="1" applyAlignment="1">
      <alignment vertical="center"/>
    </xf>
    <xf numFmtId="0" fontId="48" fillId="0" borderId="0" xfId="40" applyFont="1" applyAlignment="1" applyProtection="1">
      <alignment vertical="center"/>
      <protection locked="0"/>
    </xf>
    <xf numFmtId="43" fontId="48" fillId="0" borderId="0" xfId="16" applyFont="1" applyAlignment="1">
      <alignment vertical="center"/>
    </xf>
    <xf numFmtId="0" fontId="48" fillId="0" borderId="0" xfId="40" applyFont="1" applyAlignment="1">
      <alignment vertical="center"/>
    </xf>
    <xf numFmtId="0" fontId="53" fillId="0" borderId="0" xfId="40" applyFont="1" applyAlignment="1" applyProtection="1">
      <alignment vertical="center"/>
      <protection locked="0"/>
    </xf>
    <xf numFmtId="0" fontId="75" fillId="0" borderId="0" xfId="40" applyFont="1" applyBorder="1" applyAlignment="1" applyProtection="1">
      <alignment horizontal="right" vertical="center"/>
      <protection locked="0"/>
    </xf>
    <xf numFmtId="43" fontId="75" fillId="0" borderId="0" xfId="16" applyFont="1" applyAlignment="1">
      <alignment vertical="center"/>
    </xf>
    <xf numFmtId="43" fontId="76" fillId="0" borderId="0" xfId="16" applyFont="1" applyAlignment="1">
      <alignment vertical="center"/>
    </xf>
    <xf numFmtId="43" fontId="53" fillId="0" borderId="0" xfId="16" applyFont="1" applyAlignment="1">
      <alignment vertical="center"/>
    </xf>
    <xf numFmtId="0" fontId="53" fillId="0" borderId="0" xfId="40" applyFont="1" applyAlignment="1">
      <alignment vertical="center"/>
    </xf>
    <xf numFmtId="0" fontId="76" fillId="0" borderId="0" xfId="40" applyFont="1" applyAlignment="1">
      <alignment vertical="center"/>
    </xf>
    <xf numFmtId="0" fontId="50" fillId="0" borderId="0" xfId="40" applyFont="1" applyAlignment="1" applyProtection="1">
      <alignment vertical="center"/>
      <protection locked="0"/>
    </xf>
    <xf numFmtId="49" fontId="50" fillId="0" borderId="0" xfId="40" applyNumberFormat="1" applyFont="1" applyBorder="1" applyAlignment="1">
      <alignment horizontal="left" vertical="center"/>
    </xf>
    <xf numFmtId="0" fontId="50" fillId="0" borderId="0" xfId="40" applyFont="1" applyAlignment="1" applyProtection="1">
      <alignment horizontal="left" vertical="center"/>
      <protection locked="0"/>
    </xf>
    <xf numFmtId="43" fontId="49" fillId="0" borderId="0" xfId="16" applyFont="1" applyAlignment="1">
      <alignment vertical="center"/>
    </xf>
    <xf numFmtId="0" fontId="63" fillId="0" borderId="0" xfId="40" applyFont="1" applyAlignment="1">
      <alignment vertical="center"/>
    </xf>
    <xf numFmtId="43" fontId="63" fillId="0" borderId="1" xfId="16" applyFont="1" applyBorder="1" applyAlignment="1">
      <alignment vertical="center"/>
    </xf>
    <xf numFmtId="0" fontId="63" fillId="0" borderId="1" xfId="40" applyFont="1" applyBorder="1" applyAlignment="1">
      <alignment vertical="center"/>
    </xf>
    <xf numFmtId="0" fontId="77" fillId="0" borderId="0" xfId="40" applyFont="1" applyAlignment="1">
      <alignment vertical="center"/>
    </xf>
    <xf numFmtId="43" fontId="63" fillId="0" borderId="3" xfId="16" applyFont="1" applyBorder="1" applyAlignment="1">
      <alignment vertical="center"/>
    </xf>
    <xf numFmtId="0" fontId="63" fillId="0" borderId="3" xfId="40" applyFont="1" applyBorder="1" applyAlignment="1">
      <alignment vertical="center"/>
    </xf>
    <xf numFmtId="0" fontId="27" fillId="0" borderId="0" xfId="40" applyFont="1" applyAlignment="1">
      <alignment vertical="center"/>
    </xf>
    <xf numFmtId="43" fontId="50" fillId="0" borderId="0" xfId="16" applyFont="1" applyBorder="1" applyAlignment="1">
      <alignment vertical="center"/>
    </xf>
    <xf numFmtId="0" fontId="78" fillId="0" borderId="4" xfId="40" applyFont="1" applyBorder="1" applyAlignment="1">
      <alignment vertical="center"/>
    </xf>
    <xf numFmtId="0" fontId="50" fillId="0" borderId="5" xfId="40" applyFont="1" applyBorder="1" applyAlignment="1">
      <alignment vertical="center"/>
    </xf>
    <xf numFmtId="0" fontId="27" fillId="0" borderId="6" xfId="40" applyFont="1" applyBorder="1" applyAlignment="1">
      <alignment vertical="center"/>
    </xf>
    <xf numFmtId="43" fontId="50" fillId="0" borderId="6" xfId="16" applyFont="1" applyBorder="1" applyAlignment="1">
      <alignment vertical="center"/>
    </xf>
    <xf numFmtId="0" fontId="27" fillId="0" borderId="0" xfId="40" applyFont="1" applyBorder="1" applyAlignment="1">
      <alignment vertical="center"/>
    </xf>
    <xf numFmtId="43" fontId="65" fillId="0" borderId="0" xfId="40" applyNumberFormat="1" applyFont="1" applyAlignment="1">
      <alignment vertical="center"/>
    </xf>
    <xf numFmtId="43" fontId="27" fillId="0" borderId="0" xfId="16" applyFont="1" applyBorder="1" applyAlignment="1">
      <alignment horizontal="left" vertical="center"/>
    </xf>
    <xf numFmtId="0" fontId="50" fillId="0" borderId="2" xfId="16" applyNumberFormat="1" applyFont="1" applyBorder="1" applyAlignment="1">
      <alignment vertical="center"/>
    </xf>
    <xf numFmtId="0" fontId="50" fillId="0" borderId="10" xfId="40" applyFont="1" applyBorder="1" applyAlignment="1">
      <alignment vertical="center"/>
    </xf>
    <xf numFmtId="0" fontId="28" fillId="0" borderId="0" xfId="40" applyFont="1" applyAlignment="1">
      <alignment vertical="center"/>
    </xf>
    <xf numFmtId="0" fontId="27" fillId="0" borderId="1" xfId="40" applyFont="1" applyBorder="1" applyAlignment="1">
      <alignment vertical="center"/>
    </xf>
    <xf numFmtId="43" fontId="50" fillId="0" borderId="2" xfId="16" applyFont="1" applyBorder="1" applyAlignment="1">
      <alignment vertical="center"/>
    </xf>
    <xf numFmtId="43" fontId="27" fillId="0" borderId="0" xfId="16" applyFont="1" applyAlignment="1">
      <alignment vertical="center"/>
    </xf>
    <xf numFmtId="43" fontId="28" fillId="0" borderId="0" xfId="16" applyFont="1" applyAlignment="1">
      <alignment vertical="center"/>
    </xf>
    <xf numFmtId="4" fontId="28" fillId="0" borderId="0" xfId="40" applyNumberFormat="1" applyFont="1" applyAlignment="1">
      <alignment vertical="center"/>
    </xf>
    <xf numFmtId="43" fontId="50" fillId="0" borderId="0" xfId="16" applyFont="1" applyAlignment="1">
      <alignment vertical="center"/>
    </xf>
    <xf numFmtId="43" fontId="65" fillId="0" borderId="0" xfId="16" applyFont="1" applyAlignment="1">
      <alignment vertical="center"/>
    </xf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43" fontId="82" fillId="0" borderId="0" xfId="3" applyFont="1" applyAlignment="1">
      <alignment vertical="center"/>
    </xf>
    <xf numFmtId="4" fontId="82" fillId="0" borderId="0" xfId="0" applyNumberFormat="1" applyFont="1" applyAlignment="1">
      <alignment vertical="center"/>
    </xf>
    <xf numFmtId="165" fontId="65" fillId="0" borderId="0" xfId="40" applyNumberFormat="1" applyFont="1" applyAlignment="1">
      <alignment vertical="center"/>
    </xf>
    <xf numFmtId="0" fontId="4" fillId="0" borderId="0" xfId="28" applyFont="1" applyAlignment="1">
      <alignment horizontal="center" vertical="center"/>
    </xf>
    <xf numFmtId="0" fontId="4" fillId="0" borderId="0" xfId="28" applyFont="1" applyAlignment="1">
      <alignment horizontal="center" vertical="center"/>
    </xf>
    <xf numFmtId="43" fontId="4" fillId="0" borderId="0" xfId="3" applyFont="1" applyFill="1" applyAlignment="1">
      <alignment vertical="center"/>
    </xf>
    <xf numFmtId="43" fontId="4" fillId="0" borderId="0" xfId="44" applyFont="1" applyFill="1" applyAlignment="1">
      <alignment vertical="center"/>
    </xf>
    <xf numFmtId="0" fontId="4" fillId="0" borderId="0" xfId="28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4" fillId="0" borderId="0" xfId="5" applyFont="1" applyAlignment="1">
      <alignment vertical="center"/>
    </xf>
    <xf numFmtId="166" fontId="5" fillId="0" borderId="0" xfId="5" applyFont="1" applyAlignment="1">
      <alignment vertical="center"/>
    </xf>
    <xf numFmtId="0" fontId="5" fillId="0" borderId="0" xfId="0" applyFont="1" applyBorder="1" applyAlignment="1">
      <alignment vertical="center"/>
    </xf>
    <xf numFmtId="43" fontId="5" fillId="0" borderId="0" xfId="3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3" fontId="5" fillId="0" borderId="1" xfId="3" applyFont="1" applyBorder="1" applyAlignment="1">
      <alignment horizontal="right" vertical="center"/>
    </xf>
    <xf numFmtId="43" fontId="5" fillId="0" borderId="2" xfId="3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43" fontId="8" fillId="0" borderId="0" xfId="3" applyFont="1" applyAlignment="1">
      <alignment vertical="center"/>
    </xf>
    <xf numFmtId="166" fontId="8" fillId="0" borderId="0" xfId="5" applyFont="1" applyAlignment="1">
      <alignment vertical="center"/>
    </xf>
    <xf numFmtId="0" fontId="2" fillId="0" borderId="0" xfId="0" applyFont="1" applyAlignment="1">
      <alignment vertical="center"/>
    </xf>
    <xf numFmtId="166" fontId="5" fillId="0" borderId="14" xfId="5" applyFont="1" applyBorder="1" applyAlignment="1">
      <alignment vertical="center"/>
    </xf>
    <xf numFmtId="49" fontId="8" fillId="0" borderId="0" xfId="0" applyNumberFormat="1" applyFont="1" applyBorder="1" applyAlignment="1">
      <alignment horizontal="right" vertical="center"/>
    </xf>
    <xf numFmtId="166" fontId="8" fillId="0" borderId="0" xfId="0" applyNumberFormat="1" applyFont="1" applyAlignment="1">
      <alignment vertical="center"/>
    </xf>
    <xf numFmtId="0" fontId="9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3" fontId="5" fillId="0" borderId="6" xfId="3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3" fontId="14" fillId="0" borderId="0" xfId="3" applyFont="1" applyBorder="1" applyAlignment="1">
      <alignment horizontal="left" vertical="center"/>
    </xf>
    <xf numFmtId="0" fontId="5" fillId="0" borderId="2" xfId="3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43" fontId="5" fillId="0" borderId="2" xfId="3" applyFont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166" fontId="83" fillId="0" borderId="0" xfId="5" applyFont="1" applyAlignment="1">
      <alignment vertical="center"/>
    </xf>
    <xf numFmtId="166" fontId="14" fillId="0" borderId="0" xfId="5" applyFont="1" applyAlignment="1">
      <alignment vertical="center"/>
    </xf>
    <xf numFmtId="43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14" xfId="0" applyNumberFormat="1" applyFont="1" applyBorder="1" applyAlignment="1">
      <alignment vertical="center"/>
    </xf>
    <xf numFmtId="0" fontId="63" fillId="0" borderId="0" xfId="40" applyFont="1" applyAlignment="1" applyProtection="1">
      <alignment vertical="center"/>
      <protection locked="0"/>
    </xf>
    <xf numFmtId="0" fontId="63" fillId="0" borderId="0" xfId="40" applyFont="1" applyBorder="1" applyAlignment="1" applyProtection="1">
      <alignment vertical="center"/>
      <protection locked="0"/>
    </xf>
    <xf numFmtId="43" fontId="63" fillId="0" borderId="0" xfId="16" applyFont="1" applyAlignment="1">
      <alignment vertical="center"/>
    </xf>
    <xf numFmtId="0" fontId="75" fillId="0" borderId="0" xfId="40" applyFont="1" applyBorder="1" applyAlignment="1" applyProtection="1">
      <alignment horizontal="left" vertical="center"/>
      <protection locked="0"/>
    </xf>
    <xf numFmtId="43" fontId="84" fillId="0" borderId="0" xfId="16" applyFont="1" applyAlignment="1">
      <alignment vertical="center"/>
    </xf>
    <xf numFmtId="0" fontId="52" fillId="0" borderId="0" xfId="0" applyFont="1" applyAlignment="1">
      <alignment vertical="center"/>
    </xf>
    <xf numFmtId="0" fontId="49" fillId="0" borderId="1" xfId="40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7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43" fontId="2" fillId="0" borderId="0" xfId="2" applyFont="1" applyAlignment="1">
      <alignment vertical="center"/>
    </xf>
    <xf numFmtId="43" fontId="7" fillId="0" borderId="0" xfId="2" applyFont="1" applyAlignment="1">
      <alignment vertical="center"/>
    </xf>
    <xf numFmtId="0" fontId="11" fillId="0" borderId="0" xfId="1" applyFont="1" applyAlignment="1" applyProtection="1">
      <alignment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2" fillId="0" borderId="0" xfId="1" applyFont="1" applyAlignment="1" applyProtection="1">
      <alignment vertical="center"/>
      <protection locked="0"/>
    </xf>
    <xf numFmtId="49" fontId="2" fillId="0" borderId="0" xfId="1" applyNumberFormat="1" applyFont="1" applyBorder="1" applyAlignment="1">
      <alignment horizontal="left" vertical="center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43" fontId="3" fillId="0" borderId="1" xfId="2" applyFont="1" applyBorder="1" applyAlignment="1">
      <alignment vertical="center"/>
    </xf>
    <xf numFmtId="43" fontId="3" fillId="0" borderId="3" xfId="2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87" fillId="0" borderId="2" xfId="3" applyNumberFormat="1" applyFont="1" applyBorder="1" applyAlignment="1">
      <alignment horizontal="center" vertical="center"/>
    </xf>
    <xf numFmtId="43" fontId="5" fillId="0" borderId="0" xfId="2" applyFont="1" applyAlignment="1">
      <alignment horizontal="left" vertical="center"/>
    </xf>
    <xf numFmtId="43" fontId="52" fillId="0" borderId="0" xfId="3" applyFont="1" applyAlignment="1">
      <alignment vertical="center"/>
    </xf>
    <xf numFmtId="4" fontId="52" fillId="0" borderId="0" xfId="0" applyNumberFormat="1" applyFont="1" applyAlignment="1">
      <alignment vertical="center"/>
    </xf>
    <xf numFmtId="0" fontId="7" fillId="0" borderId="0" xfId="1" applyFont="1" applyAlignment="1" applyProtection="1">
      <alignment horizontal="center" vertical="center"/>
      <protection locked="0"/>
    </xf>
    <xf numFmtId="43" fontId="61" fillId="0" borderId="0" xfId="3" applyFont="1" applyAlignment="1" applyProtection="1">
      <alignment horizontal="right" vertical="center"/>
      <protection locked="0"/>
    </xf>
    <xf numFmtId="0" fontId="88" fillId="0" borderId="0" xfId="0" applyFont="1" applyAlignment="1">
      <alignment vertical="center"/>
    </xf>
    <xf numFmtId="0" fontId="4" fillId="0" borderId="0" xfId="28" applyFont="1" applyBorder="1" applyAlignment="1"/>
    <xf numFmtId="0" fontId="21" fillId="0" borderId="1" xfId="28" applyFont="1" applyBorder="1" applyAlignment="1">
      <alignment vertical="center" wrapText="1"/>
    </xf>
    <xf numFmtId="43" fontId="4" fillId="0" borderId="2" xfId="3" applyFont="1" applyBorder="1" applyAlignment="1">
      <alignment vertical="center"/>
    </xf>
    <xf numFmtId="4" fontId="4" fillId="0" borderId="0" xfId="28" applyNumberFormat="1" applyFont="1" applyAlignment="1">
      <alignment vertical="center"/>
    </xf>
    <xf numFmtId="43" fontId="4" fillId="0" borderId="0" xfId="3" applyNumberFormat="1" applyFont="1" applyAlignment="1">
      <alignment vertical="center"/>
    </xf>
    <xf numFmtId="43" fontId="11" fillId="0" borderId="0" xfId="3" applyFont="1" applyAlignment="1">
      <alignment vertical="center"/>
    </xf>
    <xf numFmtId="4" fontId="11" fillId="0" borderId="0" xfId="0" applyNumberFormat="1" applyFont="1" applyAlignment="1">
      <alignment vertical="center"/>
    </xf>
    <xf numFmtId="0" fontId="4" fillId="0" borderId="0" xfId="28" applyFont="1" applyAlignment="1">
      <alignment horizontal="center" vertical="center"/>
    </xf>
    <xf numFmtId="0" fontId="5" fillId="0" borderId="0" xfId="29" applyFont="1" applyAlignment="1">
      <alignment vertical="center"/>
    </xf>
    <xf numFmtId="4" fontId="5" fillId="0" borderId="0" xfId="29" applyNumberFormat="1" applyFont="1" applyAlignment="1">
      <alignment vertical="center"/>
    </xf>
    <xf numFmtId="43" fontId="5" fillId="0" borderId="0" xfId="15" applyFont="1" applyAlignment="1">
      <alignment vertical="center"/>
    </xf>
    <xf numFmtId="166" fontId="61" fillId="0" borderId="0" xfId="5" applyFont="1" applyAlignment="1" applyProtection="1">
      <alignment horizontal="right" vertical="center"/>
      <protection locked="0"/>
    </xf>
    <xf numFmtId="0" fontId="5" fillId="0" borderId="0" xfId="29" applyFont="1" applyBorder="1" applyAlignment="1">
      <alignment vertical="center"/>
    </xf>
    <xf numFmtId="43" fontId="5" fillId="0" borderId="0" xfId="15" applyFont="1" applyAlignment="1">
      <alignment horizontal="right" vertical="center"/>
    </xf>
    <xf numFmtId="0" fontId="8" fillId="0" borderId="0" xfId="0" applyFont="1" applyBorder="1" applyAlignment="1">
      <alignment vertical="center"/>
    </xf>
    <xf numFmtId="43" fontId="8" fillId="0" borderId="1" xfId="3" applyFont="1" applyBorder="1" applyAlignment="1">
      <alignment horizontal="right" vertical="center"/>
    </xf>
    <xf numFmtId="43" fontId="8" fillId="0" borderId="2" xfId="3" applyFont="1" applyBorder="1" applyAlignment="1">
      <alignment horizontal="right" vertical="center"/>
    </xf>
    <xf numFmtId="166" fontId="8" fillId="0" borderId="2" xfId="5" applyFont="1" applyBorder="1" applyAlignment="1">
      <alignment vertical="center"/>
    </xf>
    <xf numFmtId="0" fontId="8" fillId="0" borderId="0" xfId="0" applyFont="1" applyFill="1" applyAlignment="1">
      <alignment vertical="center"/>
    </xf>
    <xf numFmtId="43" fontId="8" fillId="0" borderId="0" xfId="3" applyFont="1" applyFill="1" applyBorder="1" applyAlignment="1">
      <alignment vertical="center"/>
    </xf>
    <xf numFmtId="0" fontId="8" fillId="0" borderId="0" xfId="0" applyFont="1" applyFill="1" applyAlignment="1" applyProtection="1">
      <alignment vertical="center"/>
      <protection locked="0"/>
    </xf>
    <xf numFmtId="0" fontId="8" fillId="0" borderId="0" xfId="0" applyFont="1" applyFill="1" applyAlignment="1">
      <alignment horizontal="left" vertical="center"/>
    </xf>
    <xf numFmtId="166" fontId="8" fillId="0" borderId="0" xfId="5" applyFont="1" applyFill="1" applyAlignment="1">
      <alignment vertical="center"/>
    </xf>
    <xf numFmtId="166" fontId="5" fillId="0" borderId="0" xfId="5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0" fillId="0" borderId="0" xfId="0" applyFont="1" applyFill="1" applyAlignment="1" applyProtection="1">
      <alignment vertical="center"/>
      <protection locked="0"/>
    </xf>
    <xf numFmtId="166" fontId="90" fillId="0" borderId="0" xfId="5" applyFont="1" applyFill="1" applyAlignment="1">
      <alignment vertical="center"/>
    </xf>
    <xf numFmtId="43" fontId="4" fillId="0" borderId="0" xfId="45" applyNumberFormat="1" applyFont="1" applyFill="1" applyAlignment="1">
      <alignment vertical="center"/>
    </xf>
    <xf numFmtId="43" fontId="8" fillId="0" borderId="2" xfId="3" applyFont="1" applyBorder="1" applyAlignment="1">
      <alignment vertical="center"/>
    </xf>
    <xf numFmtId="166" fontId="4" fillId="0" borderId="2" xfId="5" applyFont="1" applyBorder="1" applyAlignment="1">
      <alignment vertical="center"/>
    </xf>
    <xf numFmtId="166" fontId="4" fillId="0" borderId="3" xfId="5" applyFont="1" applyBorder="1" applyAlignment="1">
      <alignment vertical="center"/>
    </xf>
    <xf numFmtId="0" fontId="90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43" fontId="8" fillId="0" borderId="6" xfId="3" applyFont="1" applyBorder="1" applyAlignment="1">
      <alignment vertical="center"/>
    </xf>
    <xf numFmtId="166" fontId="8" fillId="0" borderId="5" xfId="5" applyFont="1" applyBorder="1" applyAlignment="1">
      <alignment vertical="center"/>
    </xf>
    <xf numFmtId="43" fontId="8" fillId="0" borderId="0" xfId="3" applyFont="1" applyBorder="1" applyAlignment="1">
      <alignment vertical="center"/>
    </xf>
    <xf numFmtId="166" fontId="8" fillId="0" borderId="10" xfId="5" applyFont="1" applyBorder="1" applyAlignment="1">
      <alignment vertical="center"/>
    </xf>
    <xf numFmtId="43" fontId="8" fillId="0" borderId="0" xfId="3" applyFont="1" applyAlignment="1">
      <alignment horizontal="left" vertical="center"/>
    </xf>
    <xf numFmtId="0" fontId="91" fillId="0" borderId="0" xfId="0" applyFont="1" applyAlignment="1">
      <alignment vertical="center"/>
    </xf>
    <xf numFmtId="43" fontId="91" fillId="0" borderId="0" xfId="3" applyFont="1" applyAlignment="1">
      <alignment vertical="center"/>
    </xf>
    <xf numFmtId="4" fontId="91" fillId="0" borderId="0" xfId="0" applyNumberFormat="1" applyFont="1" applyAlignment="1">
      <alignment vertical="center"/>
    </xf>
    <xf numFmtId="4" fontId="3" fillId="0" borderId="0" xfId="1" applyNumberFormat="1" applyFont="1" applyAlignment="1">
      <alignment vertical="center"/>
    </xf>
    <xf numFmtId="164" fontId="89" fillId="0" borderId="0" xfId="2" applyNumberFormat="1" applyFont="1" applyAlignment="1" applyProtection="1">
      <alignment horizontal="center" vertical="center"/>
      <protection locked="0"/>
    </xf>
    <xf numFmtId="164" fontId="5" fillId="0" borderId="0" xfId="1" applyNumberFormat="1" applyFont="1" applyAlignment="1">
      <alignment vertical="center"/>
    </xf>
    <xf numFmtId="0" fontId="7" fillId="0" borderId="1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43" fontId="4" fillId="0" borderId="0" xfId="2" applyNumberFormat="1" applyFont="1" applyAlignment="1">
      <alignment vertical="center"/>
    </xf>
    <xf numFmtId="43" fontId="4" fillId="0" borderId="1" xfId="2" applyFont="1" applyBorder="1" applyAlignment="1">
      <alignment horizontal="right" vertical="center"/>
    </xf>
    <xf numFmtId="43" fontId="4" fillId="0" borderId="2" xfId="2" applyFont="1" applyBorder="1" applyAlignment="1">
      <alignment horizontal="right" vertical="center"/>
    </xf>
    <xf numFmtId="0" fontId="4" fillId="0" borderId="2" xfId="1" applyFont="1" applyBorder="1" applyAlignment="1">
      <alignment vertical="center"/>
    </xf>
    <xf numFmtId="0" fontId="61" fillId="0" borderId="0" xfId="1" applyFont="1" applyAlignment="1" applyProtection="1">
      <alignment vertical="center"/>
      <protection locked="0"/>
    </xf>
    <xf numFmtId="49" fontId="61" fillId="0" borderId="0" xfId="1" applyNumberFormat="1" applyFont="1" applyBorder="1" applyAlignment="1">
      <alignment horizontal="left" vertical="center"/>
    </xf>
    <xf numFmtId="0" fontId="61" fillId="0" borderId="0" xfId="1" applyFont="1" applyAlignment="1" applyProtection="1">
      <alignment horizontal="left" vertical="center"/>
      <protection locked="0"/>
    </xf>
    <xf numFmtId="43" fontId="61" fillId="0" borderId="0" xfId="2" applyFont="1" applyAlignment="1">
      <alignment vertical="center"/>
    </xf>
    <xf numFmtId="0" fontId="61" fillId="0" borderId="0" xfId="1" applyFont="1" applyAlignment="1">
      <alignment vertical="center"/>
    </xf>
    <xf numFmtId="0" fontId="4" fillId="0" borderId="0" xfId="1" applyFont="1" applyAlignment="1" applyProtection="1">
      <alignment horizontal="center" vertical="center"/>
      <protection locked="0"/>
    </xf>
    <xf numFmtId="43" fontId="8" fillId="0" borderId="1" xfId="2" applyFont="1" applyBorder="1" applyAlignment="1">
      <alignment vertical="center"/>
    </xf>
    <xf numFmtId="0" fontId="8" fillId="0" borderId="1" xfId="1" applyFont="1" applyBorder="1" applyAlignment="1">
      <alignment vertical="center"/>
    </xf>
    <xf numFmtId="43" fontId="8" fillId="0" borderId="3" xfId="2" applyFont="1" applyBorder="1" applyAlignment="1">
      <alignment vertical="center"/>
    </xf>
    <xf numFmtId="0" fontId="8" fillId="0" borderId="3" xfId="1" applyFont="1" applyBorder="1" applyAlignment="1">
      <alignment vertical="center"/>
    </xf>
    <xf numFmtId="43" fontId="87" fillId="0" borderId="1" xfId="2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4" fillId="0" borderId="2" xfId="2" applyNumberFormat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11" fillId="0" borderId="2" xfId="3" applyNumberFormat="1" applyFont="1" applyBorder="1" applyAlignment="1">
      <alignment horizontal="center" vertical="center"/>
    </xf>
    <xf numFmtId="49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26" applyFont="1" applyAlignment="1">
      <alignment vertical="center"/>
    </xf>
    <xf numFmtId="4" fontId="4" fillId="0" borderId="0" xfId="26" applyNumberFormat="1" applyFont="1" applyAlignment="1">
      <alignment vertical="center"/>
    </xf>
    <xf numFmtId="0" fontId="5" fillId="0" borderId="0" xfId="26" applyFont="1" applyAlignment="1">
      <alignment vertical="center"/>
    </xf>
    <xf numFmtId="4" fontId="5" fillId="0" borderId="0" xfId="26" applyNumberFormat="1" applyFont="1" applyAlignment="1">
      <alignment vertical="center"/>
    </xf>
    <xf numFmtId="43" fontId="5" fillId="0" borderId="0" xfId="9" applyFont="1" applyAlignment="1">
      <alignment vertical="center"/>
    </xf>
    <xf numFmtId="43" fontId="61" fillId="0" borderId="0" xfId="9" applyFont="1" applyAlignment="1" applyProtection="1">
      <alignment horizontal="right" vertical="center"/>
      <protection locked="0"/>
    </xf>
    <xf numFmtId="0" fontId="5" fillId="0" borderId="0" xfId="26" applyFont="1" applyBorder="1" applyAlignment="1">
      <alignment vertical="center"/>
    </xf>
    <xf numFmtId="43" fontId="5" fillId="0" borderId="0" xfId="9" applyFont="1" applyAlignment="1">
      <alignment horizontal="right" vertical="center"/>
    </xf>
    <xf numFmtId="164" fontId="18" fillId="0" borderId="0" xfId="9" quotePrefix="1" applyNumberFormat="1" applyFont="1" applyAlignment="1" applyProtection="1">
      <alignment horizontal="center" vertical="center"/>
      <protection locked="0"/>
    </xf>
    <xf numFmtId="0" fontId="5" fillId="0" borderId="1" xfId="26" applyFont="1" applyBorder="1" applyAlignment="1">
      <alignment vertical="center"/>
    </xf>
    <xf numFmtId="0" fontId="2" fillId="0" borderId="1" xfId="26" applyFont="1" applyBorder="1" applyAlignment="1">
      <alignment vertical="center"/>
    </xf>
    <xf numFmtId="43" fontId="5" fillId="0" borderId="0" xfId="9" applyNumberFormat="1" applyFont="1" applyAlignment="1">
      <alignment vertical="center"/>
    </xf>
    <xf numFmtId="43" fontId="5" fillId="0" borderId="1" xfId="9" applyFont="1" applyBorder="1" applyAlignment="1">
      <alignment horizontal="right" vertical="center"/>
    </xf>
    <xf numFmtId="43" fontId="5" fillId="0" borderId="2" xfId="9" applyFont="1" applyBorder="1" applyAlignment="1">
      <alignment horizontal="right" vertical="center"/>
    </xf>
    <xf numFmtId="0" fontId="5" fillId="0" borderId="2" xfId="26" applyFont="1" applyBorder="1" applyAlignment="1">
      <alignment vertical="center"/>
    </xf>
    <xf numFmtId="0" fontId="5" fillId="0" borderId="0" xfId="26" applyFont="1" applyAlignment="1" applyProtection="1">
      <alignment vertical="center"/>
      <protection locked="0"/>
    </xf>
    <xf numFmtId="0" fontId="5" fillId="0" borderId="0" xfId="26" applyFont="1" applyAlignment="1" applyProtection="1">
      <alignment horizontal="left" vertical="center"/>
      <protection locked="0"/>
    </xf>
    <xf numFmtId="0" fontId="4" fillId="0" borderId="0" xfId="26" applyFont="1" applyAlignment="1" applyProtection="1">
      <alignment vertical="center"/>
      <protection locked="0"/>
    </xf>
    <xf numFmtId="0" fontId="4" fillId="0" borderId="0" xfId="26" applyFont="1" applyAlignment="1">
      <alignment vertical="center" wrapText="1"/>
    </xf>
    <xf numFmtId="0" fontId="4" fillId="0" borderId="0" xfId="26" applyFont="1" applyAlignment="1" applyProtection="1">
      <alignment horizontal="left" vertical="center"/>
      <protection locked="0"/>
    </xf>
    <xf numFmtId="43" fontId="4" fillId="0" borderId="0" xfId="9" applyFont="1" applyAlignment="1">
      <alignment vertical="center"/>
    </xf>
    <xf numFmtId="0" fontId="21" fillId="0" borderId="0" xfId="26" applyFont="1" applyAlignment="1" applyProtection="1">
      <alignment vertical="center"/>
      <protection locked="0"/>
    </xf>
    <xf numFmtId="49" fontId="21" fillId="0" borderId="0" xfId="26" applyNumberFormat="1" applyFont="1" applyBorder="1" applyAlignment="1">
      <alignment horizontal="right" vertical="center"/>
    </xf>
    <xf numFmtId="0" fontId="21" fillId="0" borderId="0" xfId="26" applyFont="1" applyAlignment="1" applyProtection="1">
      <alignment horizontal="left" vertical="center"/>
      <protection locked="0"/>
    </xf>
    <xf numFmtId="43" fontId="21" fillId="0" borderId="0" xfId="9" applyFont="1" applyAlignment="1">
      <alignment vertical="center"/>
    </xf>
    <xf numFmtId="0" fontId="21" fillId="0" borderId="0" xfId="26" applyFont="1" applyAlignment="1">
      <alignment vertical="center"/>
    </xf>
    <xf numFmtId="43" fontId="4" fillId="0" borderId="1" xfId="9" applyFont="1" applyBorder="1" applyAlignment="1">
      <alignment vertical="center"/>
    </xf>
    <xf numFmtId="0" fontId="4" fillId="0" borderId="1" xfId="26" applyFont="1" applyBorder="1" applyAlignment="1">
      <alignment vertical="center"/>
    </xf>
    <xf numFmtId="2" fontId="4" fillId="0" borderId="0" xfId="26" applyNumberFormat="1" applyFont="1" applyAlignment="1">
      <alignment vertical="center"/>
    </xf>
    <xf numFmtId="43" fontId="4" fillId="0" borderId="3" xfId="9" applyFont="1" applyBorder="1" applyAlignment="1">
      <alignment vertical="center"/>
    </xf>
    <xf numFmtId="0" fontId="4" fillId="0" borderId="3" xfId="26" applyFont="1" applyBorder="1" applyAlignment="1">
      <alignment vertical="center"/>
    </xf>
    <xf numFmtId="43" fontId="5" fillId="0" borderId="0" xfId="9" applyFont="1" applyBorder="1" applyAlignment="1">
      <alignment vertical="center"/>
    </xf>
    <xf numFmtId="0" fontId="9" fillId="0" borderId="4" xfId="26" applyFont="1" applyBorder="1" applyAlignment="1">
      <alignment vertical="center"/>
    </xf>
    <xf numFmtId="0" fontId="5" fillId="0" borderId="5" xfId="26" applyFont="1" applyBorder="1" applyAlignment="1">
      <alignment vertical="center"/>
    </xf>
    <xf numFmtId="0" fontId="5" fillId="0" borderId="6" xfId="26" applyFont="1" applyBorder="1" applyAlignment="1">
      <alignment vertical="center"/>
    </xf>
    <xf numFmtId="43" fontId="5" fillId="0" borderId="6" xfId="9" applyFont="1" applyBorder="1" applyAlignment="1">
      <alignment vertical="center"/>
    </xf>
    <xf numFmtId="43" fontId="3" fillId="0" borderId="1" xfId="9" applyFont="1" applyBorder="1" applyAlignment="1">
      <alignment vertical="center"/>
    </xf>
    <xf numFmtId="0" fontId="5" fillId="0" borderId="9" xfId="26" applyFont="1" applyBorder="1" applyAlignment="1">
      <alignment vertical="center"/>
    </xf>
    <xf numFmtId="43" fontId="14" fillId="0" borderId="0" xfId="9" applyFont="1" applyBorder="1" applyAlignment="1">
      <alignment horizontal="left" vertical="center"/>
    </xf>
    <xf numFmtId="0" fontId="5" fillId="0" borderId="2" xfId="9" applyNumberFormat="1" applyFont="1" applyBorder="1" applyAlignment="1">
      <alignment vertical="center"/>
    </xf>
    <xf numFmtId="0" fontId="5" fillId="0" borderId="10" xfId="26" applyFont="1" applyBorder="1" applyAlignment="1">
      <alignment vertical="center"/>
    </xf>
    <xf numFmtId="0" fontId="14" fillId="0" borderId="0" xfId="26" applyFont="1" applyAlignment="1">
      <alignment vertical="center"/>
    </xf>
    <xf numFmtId="0" fontId="13" fillId="0" borderId="1" xfId="26" applyFont="1" applyBorder="1" applyAlignment="1">
      <alignment vertical="center" wrapText="1"/>
    </xf>
    <xf numFmtId="43" fontId="5" fillId="0" borderId="2" xfId="9" applyFont="1" applyBorder="1" applyAlignment="1">
      <alignment vertical="center"/>
    </xf>
    <xf numFmtId="0" fontId="12" fillId="0" borderId="0" xfId="26" applyFont="1" applyBorder="1" applyAlignment="1">
      <alignment horizontal="center" vertical="center" wrapText="1"/>
    </xf>
    <xf numFmtId="0" fontId="13" fillId="0" borderId="0" xfId="26" applyFont="1" applyBorder="1" applyAlignment="1">
      <alignment vertical="center"/>
    </xf>
    <xf numFmtId="43" fontId="14" fillId="0" borderId="0" xfId="9" applyFont="1" applyAlignment="1">
      <alignment vertical="center"/>
    </xf>
    <xf numFmtId="4" fontId="14" fillId="0" borderId="0" xfId="26" applyNumberFormat="1" applyFont="1" applyAlignment="1">
      <alignment vertical="center"/>
    </xf>
    <xf numFmtId="0" fontId="92" fillId="0" borderId="0" xfId="0" applyFont="1" applyAlignment="1">
      <alignment vertical="center"/>
    </xf>
    <xf numFmtId="43" fontId="5" fillId="0" borderId="0" xfId="26" applyNumberFormat="1" applyFont="1" applyAlignment="1">
      <alignment vertical="center"/>
    </xf>
    <xf numFmtId="165" fontId="5" fillId="0" borderId="0" xfId="26" applyNumberFormat="1" applyFont="1" applyAlignment="1">
      <alignment vertical="center"/>
    </xf>
    <xf numFmtId="0" fontId="4" fillId="0" borderId="0" xfId="28" applyFont="1" applyAlignment="1">
      <alignment horizontal="center" vertical="center"/>
    </xf>
    <xf numFmtId="0" fontId="4" fillId="0" borderId="0" xfId="28" applyFont="1" applyAlignment="1">
      <alignment horizontal="center" vertical="center"/>
    </xf>
    <xf numFmtId="43" fontId="86" fillId="0" borderId="0" xfId="3" applyFont="1" applyAlignment="1" applyProtection="1">
      <alignment horizontal="right" vertical="center"/>
      <protection locked="0"/>
    </xf>
    <xf numFmtId="0" fontId="21" fillId="0" borderId="0" xfId="28" applyFont="1" applyAlignment="1" applyProtection="1">
      <alignment vertical="center"/>
      <protection locked="0"/>
    </xf>
    <xf numFmtId="0" fontId="21" fillId="0" borderId="0" xfId="28" applyFont="1" applyFill="1" applyAlignment="1">
      <alignment vertical="center"/>
    </xf>
    <xf numFmtId="43" fontId="21" fillId="0" borderId="0" xfId="3" applyFont="1" applyAlignment="1">
      <alignment vertical="center"/>
    </xf>
    <xf numFmtId="0" fontId="21" fillId="0" borderId="0" xfId="28" applyFont="1" applyAlignment="1">
      <alignment vertical="center"/>
    </xf>
    <xf numFmtId="0" fontId="11" fillId="0" borderId="0" xfId="28" applyFont="1" applyAlignment="1">
      <alignment vertical="center"/>
    </xf>
    <xf numFmtId="0" fontId="4" fillId="0" borderId="0" xfId="28" quotePrefix="1" applyFont="1" applyFill="1" applyAlignment="1">
      <alignment vertical="center"/>
    </xf>
    <xf numFmtId="166" fontId="4" fillId="0" borderId="0" xfId="5" applyFont="1" applyFill="1" applyAlignment="1">
      <alignment vertical="center"/>
    </xf>
    <xf numFmtId="49" fontId="21" fillId="0" borderId="0" xfId="28" applyNumberFormat="1" applyFont="1" applyBorder="1" applyAlignment="1">
      <alignment horizontal="right" vertical="center"/>
    </xf>
    <xf numFmtId="0" fontId="21" fillId="0" borderId="0" xfId="28" applyFont="1" applyFill="1" applyAlignment="1">
      <alignment horizontal="right"/>
    </xf>
    <xf numFmtId="43" fontId="4" fillId="0" borderId="1" xfId="3" applyFont="1" applyBorder="1" applyAlignment="1">
      <alignment vertical="center"/>
    </xf>
    <xf numFmtId="43" fontId="4" fillId="0" borderId="3" xfId="3" applyFont="1" applyBorder="1" applyAlignment="1">
      <alignment vertical="center"/>
    </xf>
    <xf numFmtId="0" fontId="4" fillId="0" borderId="3" xfId="28" applyFont="1" applyBorder="1" applyAlignment="1">
      <alignment vertical="center"/>
    </xf>
    <xf numFmtId="43" fontId="5" fillId="0" borderId="0" xfId="28" applyNumberFormat="1" applyFont="1" applyFill="1" applyAlignment="1">
      <alignment vertical="center"/>
    </xf>
    <xf numFmtId="0" fontId="5" fillId="0" borderId="6" xfId="28" applyFont="1" applyBorder="1" applyAlignment="1">
      <alignment vertical="center"/>
    </xf>
    <xf numFmtId="0" fontId="4" fillId="0" borderId="1" xfId="3" applyNumberFormat="1" applyFont="1" applyBorder="1" applyAlignment="1">
      <alignment vertical="center"/>
    </xf>
    <xf numFmtId="0" fontId="4" fillId="0" borderId="9" xfId="28" applyFont="1" applyBorder="1" applyAlignment="1">
      <alignment vertical="center"/>
    </xf>
    <xf numFmtId="0" fontId="5" fillId="0" borderId="1" xfId="28" applyFont="1" applyBorder="1" applyAlignment="1">
      <alignment vertical="center"/>
    </xf>
    <xf numFmtId="0" fontId="11" fillId="0" borderId="1" xfId="28" applyFont="1" applyBorder="1" applyAlignment="1">
      <alignment vertical="center" wrapText="1"/>
    </xf>
    <xf numFmtId="0" fontId="14" fillId="0" borderId="0" xfId="28" applyFont="1" applyAlignment="1">
      <alignment vertical="center"/>
    </xf>
    <xf numFmtId="4" fontId="14" fillId="0" borderId="0" xfId="28" applyNumberFormat="1" applyFont="1" applyAlignment="1">
      <alignment vertical="center"/>
    </xf>
    <xf numFmtId="0" fontId="4" fillId="0" borderId="0" xfId="28" applyFont="1" applyAlignment="1"/>
    <xf numFmtId="43" fontId="4" fillId="0" borderId="0" xfId="3" applyFont="1" applyAlignment="1"/>
    <xf numFmtId="0" fontId="2" fillId="0" borderId="0" xfId="28" applyFont="1" applyFill="1" applyAlignment="1">
      <alignment vertical="center"/>
    </xf>
    <xf numFmtId="43" fontId="2" fillId="0" borderId="0" xfId="3" applyFont="1" applyFill="1" applyAlignment="1">
      <alignment vertical="center"/>
    </xf>
    <xf numFmtId="0" fontId="4" fillId="0" borderId="0" xfId="28" applyFont="1" applyAlignment="1">
      <alignment horizontal="center" vertical="center"/>
    </xf>
    <xf numFmtId="0" fontId="4" fillId="0" borderId="0" xfId="28" applyFont="1" applyAlignment="1">
      <alignment horizontal="center" vertical="center"/>
    </xf>
    <xf numFmtId="0" fontId="4" fillId="0" borderId="0" xfId="28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14" fontId="26" fillId="0" borderId="13" xfId="28" applyNumberFormat="1" applyFont="1" applyFill="1" applyBorder="1" applyAlignment="1">
      <alignment horizontal="center" vertical="center" wrapText="1"/>
    </xf>
    <xf numFmtId="14" fontId="26" fillId="0" borderId="2" xfId="28" applyNumberFormat="1" applyFont="1" applyFill="1" applyBorder="1" applyAlignment="1">
      <alignment horizontal="center" vertical="center" wrapText="1"/>
    </xf>
    <xf numFmtId="14" fontId="26" fillId="0" borderId="10" xfId="28" applyNumberFormat="1" applyFont="1" applyFill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43" fontId="57" fillId="0" borderId="1" xfId="3" applyFont="1" applyBorder="1" applyAlignment="1">
      <alignment horizontal="center" vertical="center"/>
    </xf>
    <xf numFmtId="43" fontId="57" fillId="0" borderId="9" xfId="3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48" fillId="0" borderId="0" xfId="3" applyNumberFormat="1" applyFont="1" applyAlignment="1" applyProtection="1">
      <alignment horizontal="center" vertical="center"/>
      <protection locked="0"/>
    </xf>
    <xf numFmtId="0" fontId="50" fillId="0" borderId="1" xfId="0" applyFont="1" applyBorder="1" applyAlignment="1">
      <alignment horizontal="center" vertical="center"/>
    </xf>
    <xf numFmtId="0" fontId="3" fillId="0" borderId="0" xfId="28" applyFont="1" applyAlignment="1">
      <alignment horizontal="center" vertical="center"/>
    </xf>
    <xf numFmtId="0" fontId="4" fillId="0" borderId="0" xfId="28" applyFont="1" applyAlignment="1">
      <alignment horizontal="center" vertical="center"/>
    </xf>
    <xf numFmtId="164" fontId="19" fillId="0" borderId="0" xfId="3" applyNumberFormat="1" applyFont="1" applyAlignment="1" applyProtection="1">
      <alignment horizontal="center" vertical="center"/>
      <protection locked="0"/>
    </xf>
    <xf numFmtId="0" fontId="4" fillId="0" borderId="1" xfId="28" applyFont="1" applyBorder="1" applyAlignment="1">
      <alignment horizontal="center" vertical="center"/>
    </xf>
    <xf numFmtId="0" fontId="5" fillId="0" borderId="7" xfId="28" applyFont="1" applyBorder="1" applyAlignment="1">
      <alignment horizontal="center" vertical="center" wrapText="1"/>
    </xf>
    <xf numFmtId="0" fontId="5" fillId="0" borderId="8" xfId="28" applyFont="1" applyBorder="1" applyAlignment="1">
      <alignment horizontal="center" vertical="center" wrapText="1"/>
    </xf>
    <xf numFmtId="0" fontId="5" fillId="0" borderId="11" xfId="28" applyFont="1" applyBorder="1" applyAlignment="1">
      <alignment horizontal="center" vertical="center" wrapText="1"/>
    </xf>
    <xf numFmtId="0" fontId="5" fillId="0" borderId="9" xfId="28" applyFont="1" applyBorder="1" applyAlignment="1">
      <alignment horizontal="center" vertical="center" wrapText="1"/>
    </xf>
    <xf numFmtId="43" fontId="39" fillId="0" borderId="1" xfId="3" applyFont="1" applyBorder="1" applyAlignment="1">
      <alignment horizontal="center" vertical="center"/>
    </xf>
    <xf numFmtId="43" fontId="39" fillId="0" borderId="9" xfId="3" applyFont="1" applyBorder="1" applyAlignment="1">
      <alignment horizontal="center" vertical="center"/>
    </xf>
    <xf numFmtId="0" fontId="40" fillId="0" borderId="1" xfId="3" applyNumberFormat="1" applyFont="1" applyBorder="1" applyAlignment="1">
      <alignment horizontal="center" vertical="center"/>
    </xf>
    <xf numFmtId="0" fontId="40" fillId="0" borderId="9" xfId="3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8" fontId="2" fillId="0" borderId="1" xfId="3" applyNumberFormat="1" applyFont="1" applyBorder="1" applyAlignment="1">
      <alignment horizontal="center" vertical="center"/>
    </xf>
    <xf numFmtId="168" fontId="2" fillId="0" borderId="9" xfId="3" applyNumberFormat="1" applyFont="1" applyBorder="1" applyAlignment="1">
      <alignment horizontal="center" vertical="center"/>
    </xf>
    <xf numFmtId="43" fontId="4" fillId="0" borderId="1" xfId="3" applyFont="1" applyBorder="1" applyAlignment="1">
      <alignment horizontal="center" vertical="center" wrapText="1"/>
    </xf>
    <xf numFmtId="43" fontId="4" fillId="0" borderId="9" xfId="3" applyFont="1" applyBorder="1" applyAlignment="1">
      <alignment horizontal="center" vertical="center" wrapText="1"/>
    </xf>
    <xf numFmtId="0" fontId="8" fillId="0" borderId="0" xfId="29" applyFont="1" applyAlignment="1">
      <alignment horizontal="center" vertical="center"/>
    </xf>
    <xf numFmtId="0" fontId="5" fillId="0" borderId="0" xfId="29" applyFont="1" applyAlignment="1">
      <alignment horizontal="center" vertical="center"/>
    </xf>
    <xf numFmtId="164" fontId="11" fillId="0" borderId="0" xfId="15" applyNumberFormat="1" applyFont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89" fillId="0" borderId="6" xfId="0" applyFont="1" applyBorder="1" applyAlignment="1">
      <alignment horizontal="center" vertical="center"/>
    </xf>
    <xf numFmtId="43" fontId="89" fillId="0" borderId="6" xfId="3" applyFont="1" applyBorder="1" applyAlignment="1">
      <alignment horizontal="center" vertical="center"/>
    </xf>
    <xf numFmtId="0" fontId="21" fillId="0" borderId="7" xfId="28" applyFont="1" applyBorder="1" applyAlignment="1">
      <alignment horizontal="center" vertical="center" wrapText="1"/>
    </xf>
    <xf numFmtId="0" fontId="21" fillId="0" borderId="8" xfId="28" applyFont="1" applyBorder="1" applyAlignment="1">
      <alignment horizontal="center" vertical="center" wrapText="1"/>
    </xf>
    <xf numFmtId="0" fontId="21" fillId="0" borderId="11" xfId="28" applyFont="1" applyBorder="1" applyAlignment="1">
      <alignment horizontal="center" vertical="center" wrapText="1"/>
    </xf>
    <xf numFmtId="0" fontId="21" fillId="0" borderId="9" xfId="28" applyFont="1" applyBorder="1" applyAlignment="1">
      <alignment horizontal="center" vertical="center" wrapText="1"/>
    </xf>
    <xf numFmtId="0" fontId="21" fillId="0" borderId="2" xfId="28" applyFont="1" applyBorder="1" applyAlignment="1">
      <alignment horizontal="center" vertical="center" wrapText="1"/>
    </xf>
    <xf numFmtId="0" fontId="7" fillId="0" borderId="7" xfId="28" applyFont="1" applyBorder="1" applyAlignment="1">
      <alignment horizontal="center" vertical="center" wrapText="1"/>
    </xf>
    <xf numFmtId="0" fontId="7" fillId="0" borderId="8" xfId="28" applyFont="1" applyBorder="1" applyAlignment="1">
      <alignment horizontal="center" vertical="center" wrapText="1"/>
    </xf>
    <xf numFmtId="0" fontId="7" fillId="0" borderId="11" xfId="28" applyFont="1" applyBorder="1" applyAlignment="1">
      <alignment horizontal="center" vertical="center" wrapText="1"/>
    </xf>
    <xf numFmtId="0" fontId="7" fillId="0" borderId="9" xfId="28" applyFont="1" applyBorder="1" applyAlignment="1">
      <alignment horizontal="center" vertical="center" wrapText="1"/>
    </xf>
    <xf numFmtId="0" fontId="7" fillId="0" borderId="2" xfId="28" applyFont="1" applyBorder="1" applyAlignment="1">
      <alignment horizontal="center" vertical="center" wrapText="1"/>
    </xf>
    <xf numFmtId="164" fontId="21" fillId="0" borderId="0" xfId="3" applyNumberFormat="1" applyFont="1" applyAlignment="1" applyProtection="1">
      <alignment horizontal="center" vertical="center"/>
      <protection locked="0"/>
    </xf>
    <xf numFmtId="0" fontId="4" fillId="0" borderId="8" xfId="28" applyFont="1" applyBorder="1" applyAlignment="1">
      <alignment horizontal="center" vertical="center" wrapText="1"/>
    </xf>
    <xf numFmtId="0" fontId="4" fillId="0" borderId="7" xfId="28" applyFont="1" applyBorder="1" applyAlignment="1">
      <alignment horizontal="center" vertical="center" wrapText="1"/>
    </xf>
    <xf numFmtId="0" fontId="4" fillId="0" borderId="11" xfId="28" applyFont="1" applyBorder="1" applyAlignment="1">
      <alignment horizontal="center" vertical="center" wrapText="1"/>
    </xf>
    <xf numFmtId="0" fontId="4" fillId="0" borderId="9" xfId="28" applyFont="1" applyBorder="1" applyAlignment="1">
      <alignment horizontal="center" vertical="center" wrapText="1"/>
    </xf>
    <xf numFmtId="43" fontId="2" fillId="0" borderId="0" xfId="3" applyFont="1" applyBorder="1" applyAlignment="1">
      <alignment horizontal="center" vertical="center"/>
    </xf>
    <xf numFmtId="43" fontId="2" fillId="0" borderId="8" xfId="3" applyFont="1" applyBorder="1" applyAlignment="1">
      <alignment horizontal="center" vertical="center"/>
    </xf>
    <xf numFmtId="0" fontId="87" fillId="0" borderId="7" xfId="28" applyFont="1" applyBorder="1" applyAlignment="1">
      <alignment horizontal="center" vertical="center" wrapText="1"/>
    </xf>
    <xf numFmtId="0" fontId="87" fillId="0" borderId="8" xfId="28" applyFont="1" applyBorder="1" applyAlignment="1">
      <alignment horizontal="center" vertical="center" wrapText="1"/>
    </xf>
    <xf numFmtId="0" fontId="87" fillId="0" borderId="11" xfId="28" applyFont="1" applyBorder="1" applyAlignment="1">
      <alignment horizontal="center" vertical="center" wrapText="1"/>
    </xf>
    <xf numFmtId="0" fontId="87" fillId="0" borderId="9" xfId="28" applyFont="1" applyBorder="1" applyAlignment="1">
      <alignment horizontal="center" vertical="center" wrapText="1"/>
    </xf>
    <xf numFmtId="0" fontId="3" fillId="0" borderId="0" xfId="26" applyFont="1" applyAlignment="1">
      <alignment horizontal="center" vertical="center"/>
    </xf>
    <xf numFmtId="0" fontId="18" fillId="0" borderId="0" xfId="26" applyFont="1" applyAlignment="1">
      <alignment horizontal="center" vertical="center"/>
    </xf>
    <xf numFmtId="0" fontId="5" fillId="0" borderId="0" xfId="26" applyFont="1" applyAlignment="1">
      <alignment horizontal="center" vertical="center"/>
    </xf>
    <xf numFmtId="0" fontId="5" fillId="0" borderId="1" xfId="26" applyFont="1" applyBorder="1" applyAlignment="1">
      <alignment horizontal="center" vertical="center"/>
    </xf>
    <xf numFmtId="0" fontId="38" fillId="0" borderId="7" xfId="26" applyFont="1" applyBorder="1" applyAlignment="1">
      <alignment horizontal="center" vertical="center" wrapText="1"/>
    </xf>
    <xf numFmtId="0" fontId="18" fillId="0" borderId="8" xfId="26" applyFont="1" applyBorder="1" applyAlignment="1">
      <alignment horizontal="center" vertical="center" wrapText="1"/>
    </xf>
    <xf numFmtId="0" fontId="18" fillId="0" borderId="7" xfId="26" applyFont="1" applyBorder="1" applyAlignment="1">
      <alignment horizontal="center" vertical="center" wrapText="1"/>
    </xf>
    <xf numFmtId="0" fontId="18" fillId="0" borderId="11" xfId="26" applyFont="1" applyBorder="1" applyAlignment="1">
      <alignment horizontal="center" vertical="center" wrapText="1"/>
    </xf>
    <xf numFmtId="0" fontId="18" fillId="0" borderId="9" xfId="26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164" fontId="11" fillId="0" borderId="0" xfId="7" applyNumberFormat="1" applyFont="1" applyAlignment="1" applyProtection="1">
      <alignment horizontal="center" vertical="center"/>
      <protection locked="0"/>
    </xf>
    <xf numFmtId="0" fontId="5" fillId="0" borderId="1" xfId="1" applyFont="1" applyBorder="1" applyAlignment="1">
      <alignment horizontal="center" vertical="center"/>
    </xf>
    <xf numFmtId="43" fontId="86" fillId="0" borderId="1" xfId="2" applyFont="1" applyBorder="1" applyAlignment="1">
      <alignment horizontal="center" vertical="center"/>
    </xf>
    <xf numFmtId="43" fontId="86" fillId="0" borderId="9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4" fillId="0" borderId="0" xfId="3" applyNumberFormat="1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38" fillId="0" borderId="7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71" fillId="0" borderId="7" xfId="40" applyFont="1" applyBorder="1" applyAlignment="1">
      <alignment horizontal="center" vertical="center" wrapText="1"/>
    </xf>
    <xf numFmtId="0" fontId="71" fillId="0" borderId="8" xfId="40" applyFont="1" applyBorder="1" applyAlignment="1">
      <alignment horizontal="center" vertical="center" wrapText="1"/>
    </xf>
    <xf numFmtId="0" fontId="71" fillId="0" borderId="11" xfId="40" applyFont="1" applyBorder="1" applyAlignment="1">
      <alignment horizontal="center" vertical="center" wrapText="1"/>
    </xf>
    <xf numFmtId="0" fontId="71" fillId="0" borderId="9" xfId="40" applyFont="1" applyBorder="1" applyAlignment="1">
      <alignment horizontal="center" vertical="center" wrapText="1"/>
    </xf>
    <xf numFmtId="43" fontId="47" fillId="0" borderId="1" xfId="16" applyFont="1" applyBorder="1" applyAlignment="1">
      <alignment horizontal="center" vertical="center"/>
    </xf>
    <xf numFmtId="43" fontId="47" fillId="0" borderId="9" xfId="16" applyFont="1" applyBorder="1" applyAlignment="1">
      <alignment horizontal="center" vertical="center"/>
    </xf>
    <xf numFmtId="0" fontId="47" fillId="0" borderId="0" xfId="40" applyFont="1" applyAlignment="1">
      <alignment horizontal="center" vertical="center"/>
    </xf>
    <xf numFmtId="0" fontId="49" fillId="0" borderId="0" xfId="40" applyFont="1" applyAlignment="1">
      <alignment horizontal="center" vertical="center"/>
    </xf>
    <xf numFmtId="43" fontId="64" fillId="0" borderId="0" xfId="16" applyFont="1" applyAlignment="1" applyProtection="1">
      <alignment horizontal="right" vertical="center"/>
      <protection locked="0"/>
    </xf>
    <xf numFmtId="0" fontId="50" fillId="0" borderId="0" xfId="40" applyFont="1" applyAlignment="1">
      <alignment horizontal="center" vertical="center"/>
    </xf>
    <xf numFmtId="0" fontId="50" fillId="0" borderId="1" xfId="40" applyFont="1" applyBorder="1" applyAlignment="1">
      <alignment horizontal="center" vertical="center"/>
    </xf>
    <xf numFmtId="0" fontId="38" fillId="0" borderId="7" xfId="28" applyFont="1" applyBorder="1" applyAlignment="1">
      <alignment horizontal="center" vertical="center" wrapText="1"/>
    </xf>
    <xf numFmtId="0" fontId="38" fillId="0" borderId="8" xfId="28" applyFont="1" applyBorder="1" applyAlignment="1">
      <alignment horizontal="center" vertical="center" wrapText="1"/>
    </xf>
    <xf numFmtId="0" fontId="38" fillId="0" borderId="11" xfId="28" applyFont="1" applyBorder="1" applyAlignment="1">
      <alignment horizontal="center" vertical="center" wrapText="1"/>
    </xf>
    <xf numFmtId="0" fontId="38" fillId="0" borderId="9" xfId="28" applyFont="1" applyBorder="1" applyAlignment="1">
      <alignment horizontal="center" vertical="center" wrapText="1"/>
    </xf>
    <xf numFmtId="0" fontId="63" fillId="0" borderId="7" xfId="40" applyFont="1" applyBorder="1" applyAlignment="1">
      <alignment horizontal="center" vertical="center" wrapText="1"/>
    </xf>
    <xf numFmtId="0" fontId="63" fillId="0" borderId="8" xfId="40" applyFont="1" applyBorder="1" applyAlignment="1">
      <alignment horizontal="center" vertical="center" wrapText="1"/>
    </xf>
    <xf numFmtId="0" fontId="63" fillId="0" borderId="11" xfId="40" applyFont="1" applyBorder="1" applyAlignment="1">
      <alignment horizontal="center" vertical="center" wrapText="1"/>
    </xf>
    <xf numFmtId="0" fontId="63" fillId="0" borderId="9" xfId="40" applyFont="1" applyBorder="1" applyAlignment="1">
      <alignment horizontal="center" vertical="center" wrapText="1"/>
    </xf>
    <xf numFmtId="43" fontId="66" fillId="0" borderId="1" xfId="16" applyFont="1" applyBorder="1" applyAlignment="1">
      <alignment horizontal="center" vertical="center"/>
    </xf>
    <xf numFmtId="43" fontId="66" fillId="0" borderId="9" xfId="16" applyFont="1" applyBorder="1" applyAlignment="1">
      <alignment horizontal="center" vertical="center"/>
    </xf>
    <xf numFmtId="0" fontId="64" fillId="0" borderId="7" xfId="0" applyFont="1" applyBorder="1" applyAlignment="1">
      <alignment horizontal="center" vertical="center" wrapText="1"/>
    </xf>
    <xf numFmtId="0" fontId="64" fillId="0" borderId="8" xfId="0" applyFont="1" applyBorder="1" applyAlignment="1">
      <alignment horizontal="center" vertical="center" wrapText="1"/>
    </xf>
    <xf numFmtId="0" fontId="64" fillId="0" borderId="11" xfId="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 wrapText="1"/>
    </xf>
    <xf numFmtId="168" fontId="71" fillId="0" borderId="1" xfId="3" applyNumberFormat="1" applyFont="1" applyBorder="1" applyAlignment="1">
      <alignment horizontal="center" vertical="center"/>
    </xf>
    <xf numFmtId="168" fontId="71" fillId="0" borderId="9" xfId="3" applyNumberFormat="1" applyFont="1" applyBorder="1" applyAlignment="1">
      <alignment horizontal="center" vertical="center"/>
    </xf>
    <xf numFmtId="0" fontId="47" fillId="0" borderId="0" xfId="29" applyFont="1" applyAlignment="1">
      <alignment horizontal="center" vertical="center"/>
    </xf>
    <xf numFmtId="0" fontId="63" fillId="0" borderId="0" xfId="29" applyFont="1" applyAlignment="1">
      <alignment horizontal="center" vertical="center"/>
    </xf>
    <xf numFmtId="164" fontId="63" fillId="0" borderId="1" xfId="3" applyNumberFormat="1" applyFont="1" applyBorder="1" applyAlignment="1" applyProtection="1">
      <alignment horizontal="center" vertical="center"/>
      <protection locked="0"/>
    </xf>
    <xf numFmtId="0" fontId="63" fillId="0" borderId="1" xfId="0" applyFont="1" applyBorder="1" applyAlignment="1">
      <alignment horizontal="center" vertical="center"/>
    </xf>
    <xf numFmtId="0" fontId="46" fillId="0" borderId="7" xfId="31" applyFont="1" applyBorder="1" applyAlignment="1">
      <alignment horizontal="center" vertical="center" wrapText="1"/>
    </xf>
    <xf numFmtId="0" fontId="46" fillId="0" borderId="8" xfId="31" applyFont="1" applyBorder="1" applyAlignment="1">
      <alignment horizontal="center" vertical="center" wrapText="1"/>
    </xf>
    <xf numFmtId="0" fontId="46" fillId="0" borderId="11" xfId="31" applyFont="1" applyBorder="1" applyAlignment="1">
      <alignment horizontal="center" vertical="center" wrapText="1"/>
    </xf>
    <xf numFmtId="0" fontId="46" fillId="0" borderId="9" xfId="31" applyFont="1" applyBorder="1" applyAlignment="1">
      <alignment horizontal="center" vertical="center" wrapText="1"/>
    </xf>
    <xf numFmtId="43" fontId="3" fillId="0" borderId="1" xfId="6" applyFont="1" applyBorder="1" applyAlignment="1">
      <alignment horizontal="center" vertical="center"/>
    </xf>
    <xf numFmtId="43" fontId="3" fillId="0" borderId="9" xfId="6" applyFont="1" applyBorder="1" applyAlignment="1">
      <alignment horizontal="center" vertical="center"/>
    </xf>
    <xf numFmtId="0" fontId="3" fillId="0" borderId="0" xfId="31" applyFont="1" applyAlignment="1">
      <alignment horizontal="center" vertical="center"/>
    </xf>
    <xf numFmtId="0" fontId="18" fillId="0" borderId="0" xfId="31" applyFont="1" applyAlignment="1">
      <alignment horizontal="center" vertical="center"/>
    </xf>
    <xf numFmtId="0" fontId="5" fillId="0" borderId="0" xfId="31" applyFont="1" applyAlignment="1">
      <alignment horizontal="center" vertical="center"/>
    </xf>
    <xf numFmtId="0" fontId="5" fillId="0" borderId="1" xfId="31" applyFont="1" applyBorder="1" applyAlignment="1">
      <alignment horizontal="center" vertical="center"/>
    </xf>
    <xf numFmtId="49" fontId="8" fillId="0" borderId="0" xfId="31" applyNumberFormat="1" applyFont="1" applyBorder="1" applyAlignment="1">
      <alignment horizontal="left" vertical="center"/>
    </xf>
    <xf numFmtId="0" fontId="18" fillId="0" borderId="1" xfId="28" applyFont="1" applyBorder="1" applyAlignment="1">
      <alignment horizontal="center" vertical="center" wrapText="1"/>
    </xf>
    <xf numFmtId="4" fontId="14" fillId="0" borderId="12" xfId="1" applyNumberFormat="1" applyFont="1" applyBorder="1" applyAlignment="1">
      <alignment horizontal="right" vertical="center" wrapText="1"/>
    </xf>
  </cellXfs>
  <cellStyles count="46">
    <cellStyle name="Comma" xfId="44" builtinId="3"/>
    <cellStyle name="Comma 10" xfId="3"/>
    <cellStyle name="Comma 11" xfId="4"/>
    <cellStyle name="Comma 11 2" xfId="5"/>
    <cellStyle name="Comma 12" xfId="6"/>
    <cellStyle name="Comma 13" xfId="2"/>
    <cellStyle name="Comma 14" xfId="7"/>
    <cellStyle name="Comma 15" xfId="8"/>
    <cellStyle name="Comma 16" xfId="9"/>
    <cellStyle name="Comma 17" xfId="10"/>
    <cellStyle name="Comma 18" xfId="11"/>
    <cellStyle name="Comma 2" xfId="12"/>
    <cellStyle name="Comma 3" xfId="13"/>
    <cellStyle name="Comma 4" xfId="14"/>
    <cellStyle name="Comma 5" xfId="15"/>
    <cellStyle name="Comma 6" xfId="16"/>
    <cellStyle name="Comma 7" xfId="17"/>
    <cellStyle name="Comma 8" xfId="18"/>
    <cellStyle name="Comma 9" xfId="19"/>
    <cellStyle name="Currency" xfId="45" builtinId="4"/>
    <cellStyle name="Currency 2" xfId="20"/>
    <cellStyle name="Currency 2 2" xfId="21"/>
    <cellStyle name="Grey" xfId="22"/>
    <cellStyle name="Input [yellow]" xfId="23"/>
    <cellStyle name="Normal" xfId="0" builtinId="0"/>
    <cellStyle name="Normal - Style1" xfId="24"/>
    <cellStyle name="Normal 10" xfId="25"/>
    <cellStyle name="Normal 11" xfId="1"/>
    <cellStyle name="Normal 12" xfId="26"/>
    <cellStyle name="Normal 13" xfId="27"/>
    <cellStyle name="Normal 14" xfId="28"/>
    <cellStyle name="Normal 15" xfId="29"/>
    <cellStyle name="Normal 16" xfId="30"/>
    <cellStyle name="Normal 17" xfId="31"/>
    <cellStyle name="Normal 18" xfId="32"/>
    <cellStyle name="Normal 19" xfId="33"/>
    <cellStyle name="Normal 2" xfId="34"/>
    <cellStyle name="Normal 20" xfId="35"/>
    <cellStyle name="Normal 3" xfId="36"/>
    <cellStyle name="Normal 4" xfId="37"/>
    <cellStyle name="Normal 5" xfId="38"/>
    <cellStyle name="Normal 6" xfId="39"/>
    <cellStyle name="Normal 7" xfId="40"/>
    <cellStyle name="Normal 8" xfId="41"/>
    <cellStyle name="Normal 9" xfId="42"/>
    <cellStyle name="Percent [2]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603468</xdr:colOff>
      <xdr:row>0</xdr:row>
      <xdr:rowOff>98773</xdr:rowOff>
    </xdr:from>
    <xdr:to>
      <xdr:col>1</xdr:col>
      <xdr:colOff>429240</xdr:colOff>
      <xdr:row>1</xdr:row>
      <xdr:rowOff>108858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03468" y="98773"/>
          <a:ext cx="502047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603468</xdr:colOff>
      <xdr:row>0</xdr:row>
      <xdr:rowOff>98773</xdr:rowOff>
    </xdr:from>
    <xdr:to>
      <xdr:col>1</xdr:col>
      <xdr:colOff>429240</xdr:colOff>
      <xdr:row>1</xdr:row>
      <xdr:rowOff>108858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03468" y="98773"/>
          <a:ext cx="502047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603468</xdr:colOff>
      <xdr:row>0</xdr:row>
      <xdr:rowOff>98773</xdr:rowOff>
    </xdr:from>
    <xdr:to>
      <xdr:col>1</xdr:col>
      <xdr:colOff>429240</xdr:colOff>
      <xdr:row>1</xdr:row>
      <xdr:rowOff>108858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03468" y="98773"/>
          <a:ext cx="502047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306456</xdr:colOff>
      <xdr:row>0</xdr:row>
      <xdr:rowOff>8283</xdr:rowOff>
    </xdr:from>
    <xdr:to>
      <xdr:col>1</xdr:col>
      <xdr:colOff>247504</xdr:colOff>
      <xdr:row>2</xdr:row>
      <xdr:rowOff>55080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306456" y="8283"/>
          <a:ext cx="503023" cy="4849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85725</xdr:rowOff>
    </xdr:from>
    <xdr:to>
      <xdr:col>1</xdr:col>
      <xdr:colOff>742390</xdr:colOff>
      <xdr:row>1</xdr:row>
      <xdr:rowOff>95810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819150" y="85725"/>
          <a:ext cx="504265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603468</xdr:colOff>
      <xdr:row>0</xdr:row>
      <xdr:rowOff>98773</xdr:rowOff>
    </xdr:from>
    <xdr:to>
      <xdr:col>1</xdr:col>
      <xdr:colOff>429240</xdr:colOff>
      <xdr:row>1</xdr:row>
      <xdr:rowOff>108858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03468" y="98773"/>
          <a:ext cx="502047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85725</xdr:rowOff>
    </xdr:from>
    <xdr:to>
      <xdr:col>1</xdr:col>
      <xdr:colOff>742390</xdr:colOff>
      <xdr:row>1</xdr:row>
      <xdr:rowOff>95810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819150" y="85725"/>
          <a:ext cx="504265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85725</xdr:rowOff>
    </xdr:from>
    <xdr:to>
      <xdr:col>1</xdr:col>
      <xdr:colOff>742390</xdr:colOff>
      <xdr:row>1</xdr:row>
      <xdr:rowOff>95810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819150" y="85725"/>
          <a:ext cx="504265" cy="44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646043</xdr:colOff>
      <xdr:row>0</xdr:row>
      <xdr:rowOff>16565</xdr:rowOff>
    </xdr:from>
    <xdr:to>
      <xdr:col>1</xdr:col>
      <xdr:colOff>413156</xdr:colOff>
      <xdr:row>1</xdr:row>
      <xdr:rowOff>166626</xdr:rowOff>
    </xdr:to>
    <xdr:pic>
      <xdr:nvPicPr>
        <xdr:cNvPr id="2" name="Picture 1" descr="C:\Users\admin\Desktop\file 1\vmdl petty cash 2020\logo.jpg"/>
        <xdr:cNvPicPr/>
      </xdr:nvPicPr>
      <xdr:blipFill>
        <a:blip xmlns:r="http://schemas.openxmlformats.org/officeDocument/2006/relationships" r:embed="rId1" cstate="print"/>
        <a:srcRect l="3087" r="82671" b="27778"/>
        <a:stretch>
          <a:fillRect/>
        </a:stretch>
      </xdr:blipFill>
      <xdr:spPr bwMode="auto">
        <a:xfrm>
          <a:off x="646043" y="16565"/>
          <a:ext cx="500538" cy="445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70"/>
  <sheetViews>
    <sheetView tabSelected="1" zoomScale="80" zoomScaleNormal="80" workbookViewId="0">
      <pane ySplit="1" topLeftCell="A2" activePane="bottomLeft" state="frozen"/>
      <selection pane="bottomLeft" activeCell="F4" sqref="F4"/>
    </sheetView>
  </sheetViews>
  <sheetFormatPr defaultColWidth="11.5703125" defaultRowHeight="14.25"/>
  <cols>
    <col min="1" max="1" width="14.42578125" style="77" customWidth="1"/>
    <col min="2" max="2" width="23.7109375" style="78" customWidth="1"/>
    <col min="3" max="3" width="41.5703125" style="79" customWidth="1"/>
    <col min="4" max="4" width="60.85546875" style="80" customWidth="1"/>
    <col min="5" max="5" width="17.85546875" style="81" customWidth="1"/>
    <col min="6" max="6" width="15.5703125" style="81" customWidth="1"/>
    <col min="7" max="7" width="13.140625" style="81" customWidth="1"/>
    <col min="8" max="8" width="14.42578125" style="81" bestFit="1" customWidth="1"/>
    <col min="9" max="9" width="17.85546875" style="81" bestFit="1" customWidth="1"/>
    <col min="10" max="10" width="14.42578125" style="81" customWidth="1"/>
    <col min="11" max="11" width="15" style="81" customWidth="1"/>
    <col min="12" max="12" width="13" style="77" customWidth="1"/>
    <col min="13" max="13" width="12.28515625" style="78" customWidth="1"/>
    <col min="14" max="14" width="20.28515625" style="82" customWidth="1"/>
    <col min="15" max="16384" width="11.5703125" style="78"/>
  </cols>
  <sheetData>
    <row r="1" spans="1:14" s="18" customFormat="1" ht="36.75" customHeight="1">
      <c r="A1" s="13" t="s">
        <v>21</v>
      </c>
      <c r="B1" s="14" t="s">
        <v>22</v>
      </c>
      <c r="C1" s="14" t="s">
        <v>23</v>
      </c>
      <c r="D1" s="15" t="s">
        <v>24</v>
      </c>
      <c r="E1" s="16" t="s">
        <v>25</v>
      </c>
      <c r="F1" s="16" t="s">
        <v>26</v>
      </c>
      <c r="G1" s="16" t="s">
        <v>27</v>
      </c>
      <c r="H1" s="17" t="s">
        <v>28</v>
      </c>
      <c r="I1" s="17" t="s">
        <v>29</v>
      </c>
      <c r="J1" s="17" t="s">
        <v>30</v>
      </c>
      <c r="K1" s="16" t="s">
        <v>31</v>
      </c>
      <c r="L1" s="13" t="s">
        <v>32</v>
      </c>
      <c r="M1" s="14" t="s">
        <v>33</v>
      </c>
      <c r="N1" s="14" t="s">
        <v>34</v>
      </c>
    </row>
    <row r="2" spans="1:14" s="19" customFormat="1" ht="35.25" customHeight="1">
      <c r="A2" s="666" t="s">
        <v>331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8"/>
    </row>
    <row r="3" spans="1:14" s="28" customFormat="1" ht="46.5" customHeight="1">
      <c r="A3" s="20">
        <v>46235</v>
      </c>
      <c r="B3" s="21" t="s">
        <v>269</v>
      </c>
      <c r="C3" s="22" t="s">
        <v>50</v>
      </c>
      <c r="D3" s="23" t="s">
        <v>299</v>
      </c>
      <c r="E3" s="23">
        <v>46196.79</v>
      </c>
      <c r="F3" s="23"/>
      <c r="G3" s="23">
        <v>46196.79</v>
      </c>
      <c r="H3" s="24"/>
      <c r="I3" s="24"/>
      <c r="J3" s="24"/>
      <c r="K3" s="24"/>
      <c r="L3" s="25">
        <v>46235</v>
      </c>
      <c r="M3" s="26" t="s">
        <v>293</v>
      </c>
      <c r="N3" s="27">
        <v>89507</v>
      </c>
    </row>
    <row r="4" spans="1:14" s="32" customFormat="1" ht="43.5" customHeight="1">
      <c r="A4" s="20">
        <v>46235</v>
      </c>
      <c r="B4" s="21" t="s">
        <v>270</v>
      </c>
      <c r="C4" s="29" t="s">
        <v>20</v>
      </c>
      <c r="D4" s="30" t="s">
        <v>54</v>
      </c>
      <c r="E4" s="23">
        <v>98356</v>
      </c>
      <c r="F4" s="31"/>
      <c r="G4" s="30">
        <v>98356</v>
      </c>
      <c r="H4" s="31"/>
      <c r="I4" s="31"/>
      <c r="J4" s="31"/>
      <c r="K4" s="31"/>
      <c r="L4" s="25">
        <v>46237</v>
      </c>
      <c r="M4" s="26" t="s">
        <v>293</v>
      </c>
      <c r="N4" s="26">
        <v>89508</v>
      </c>
    </row>
    <row r="5" spans="1:14" s="28" customFormat="1" ht="43.5" customHeight="1">
      <c r="A5" s="20">
        <v>46235</v>
      </c>
      <c r="B5" s="21" t="s">
        <v>271</v>
      </c>
      <c r="C5" s="22" t="s">
        <v>55</v>
      </c>
      <c r="D5" s="33" t="s">
        <v>58</v>
      </c>
      <c r="E5" s="23">
        <v>813231.86</v>
      </c>
      <c r="F5" s="24"/>
      <c r="G5" s="23"/>
      <c r="H5" s="23"/>
      <c r="I5" s="23"/>
      <c r="J5" s="23"/>
      <c r="K5" s="23">
        <v>813231.86</v>
      </c>
      <c r="L5" s="25"/>
      <c r="M5" s="26"/>
      <c r="N5" s="27"/>
    </row>
    <row r="6" spans="1:14" s="37" customFormat="1" ht="43.5" customHeight="1">
      <c r="A6" s="20">
        <v>46235</v>
      </c>
      <c r="B6" s="21" t="s">
        <v>272</v>
      </c>
      <c r="C6" s="34" t="s">
        <v>42</v>
      </c>
      <c r="D6" s="35" t="s">
        <v>300</v>
      </c>
      <c r="E6" s="23">
        <v>48934.3</v>
      </c>
      <c r="F6" s="36"/>
      <c r="G6" s="36"/>
      <c r="H6" s="36"/>
      <c r="I6" s="36"/>
      <c r="J6" s="36"/>
      <c r="K6" s="36">
        <v>48934.3</v>
      </c>
      <c r="L6" s="25"/>
      <c r="M6" s="26"/>
      <c r="N6" s="26"/>
    </row>
    <row r="7" spans="1:14" s="32" customFormat="1" ht="43.5" customHeight="1">
      <c r="A7" s="20">
        <v>46237</v>
      </c>
      <c r="B7" s="21" t="s">
        <v>273</v>
      </c>
      <c r="C7" s="35" t="s">
        <v>66</v>
      </c>
      <c r="D7" s="35" t="s">
        <v>66</v>
      </c>
      <c r="E7" s="23">
        <v>95568.98</v>
      </c>
      <c r="F7" s="36"/>
      <c r="G7" s="36"/>
      <c r="H7" s="36"/>
      <c r="I7" s="36"/>
      <c r="J7" s="36"/>
      <c r="K7" s="36">
        <v>95568.98</v>
      </c>
      <c r="L7" s="25">
        <v>46238</v>
      </c>
      <c r="M7" s="26" t="s">
        <v>293</v>
      </c>
      <c r="N7" s="27">
        <v>89510</v>
      </c>
    </row>
    <row r="8" spans="1:14" s="39" customFormat="1" ht="43.5" customHeight="1">
      <c r="A8" s="20">
        <v>46238</v>
      </c>
      <c r="B8" s="21" t="s">
        <v>274</v>
      </c>
      <c r="C8" s="26" t="s">
        <v>77</v>
      </c>
      <c r="D8" s="38" t="s">
        <v>81</v>
      </c>
      <c r="E8" s="23">
        <v>45000</v>
      </c>
      <c r="F8" s="36"/>
      <c r="G8" s="36">
        <v>45000</v>
      </c>
      <c r="H8" s="36"/>
      <c r="I8" s="36"/>
      <c r="J8" s="36"/>
      <c r="K8" s="36"/>
      <c r="L8" s="25">
        <v>46238</v>
      </c>
      <c r="M8" s="26" t="s">
        <v>293</v>
      </c>
      <c r="N8" s="27">
        <v>89511</v>
      </c>
    </row>
    <row r="9" spans="1:14" s="39" customFormat="1" ht="43.5" customHeight="1">
      <c r="A9" s="20">
        <v>46238</v>
      </c>
      <c r="B9" s="21" t="s">
        <v>275</v>
      </c>
      <c r="C9" s="26" t="s">
        <v>82</v>
      </c>
      <c r="D9" s="40" t="s">
        <v>301</v>
      </c>
      <c r="E9" s="23">
        <v>28685</v>
      </c>
      <c r="F9" s="36"/>
      <c r="G9" s="36"/>
      <c r="H9" s="36"/>
      <c r="I9" s="36">
        <v>28685</v>
      </c>
      <c r="J9" s="36"/>
      <c r="K9" s="36"/>
      <c r="L9" s="25">
        <v>46238</v>
      </c>
      <c r="M9" s="26" t="s">
        <v>293</v>
      </c>
      <c r="N9" s="27">
        <v>89513</v>
      </c>
    </row>
    <row r="10" spans="1:14" s="39" customFormat="1" ht="43.5" customHeight="1">
      <c r="A10" s="20">
        <v>46238</v>
      </c>
      <c r="B10" s="21" t="s">
        <v>276</v>
      </c>
      <c r="C10" s="26" t="s">
        <v>91</v>
      </c>
      <c r="D10" s="38" t="s">
        <v>302</v>
      </c>
      <c r="E10" s="23">
        <v>6815</v>
      </c>
      <c r="F10" s="36"/>
      <c r="G10" s="36"/>
      <c r="H10" s="36"/>
      <c r="I10" s="36">
        <v>6815</v>
      </c>
      <c r="J10" s="36"/>
      <c r="K10" s="36"/>
      <c r="L10" s="25">
        <v>46238</v>
      </c>
      <c r="M10" s="26" t="s">
        <v>293</v>
      </c>
      <c r="N10" s="26">
        <v>89516</v>
      </c>
    </row>
    <row r="11" spans="1:14" s="39" customFormat="1" ht="43.5" customHeight="1">
      <c r="A11" s="20">
        <v>46238</v>
      </c>
      <c r="B11" s="21" t="s">
        <v>277</v>
      </c>
      <c r="C11" s="26" t="s">
        <v>304</v>
      </c>
      <c r="D11" s="38" t="s">
        <v>303</v>
      </c>
      <c r="E11" s="23">
        <v>5625</v>
      </c>
      <c r="F11" s="36"/>
      <c r="G11" s="36"/>
      <c r="H11" s="36"/>
      <c r="I11" s="36">
        <v>5625</v>
      </c>
      <c r="J11" s="36"/>
      <c r="K11" s="36"/>
      <c r="L11" s="25">
        <v>46238</v>
      </c>
      <c r="M11" s="26" t="s">
        <v>293</v>
      </c>
      <c r="N11" s="27">
        <v>89515</v>
      </c>
    </row>
    <row r="12" spans="1:14" s="39" customFormat="1" ht="51.75" customHeight="1">
      <c r="A12" s="20">
        <v>46240</v>
      </c>
      <c r="B12" s="21" t="s">
        <v>278</v>
      </c>
      <c r="C12" s="26" t="s">
        <v>77</v>
      </c>
      <c r="D12" s="38" t="s">
        <v>112</v>
      </c>
      <c r="E12" s="23">
        <v>38978.26</v>
      </c>
      <c r="F12" s="36"/>
      <c r="G12" s="36"/>
      <c r="H12" s="23">
        <v>38978.26</v>
      </c>
      <c r="I12" s="36"/>
      <c r="J12" s="36"/>
      <c r="K12" s="36"/>
      <c r="L12" s="25"/>
      <c r="M12" s="26"/>
      <c r="N12" s="27"/>
    </row>
    <row r="13" spans="1:14" s="39" customFormat="1" ht="43.5" customHeight="1">
      <c r="A13" s="20">
        <v>46240</v>
      </c>
      <c r="B13" s="21" t="s">
        <v>279</v>
      </c>
      <c r="C13" s="26" t="s">
        <v>20</v>
      </c>
      <c r="D13" s="38" t="s">
        <v>116</v>
      </c>
      <c r="E13" s="23">
        <v>15000</v>
      </c>
      <c r="F13" s="36"/>
      <c r="G13" s="36"/>
      <c r="H13" s="36"/>
      <c r="I13" s="36"/>
      <c r="J13" s="36"/>
      <c r="K13" s="36">
        <v>15000</v>
      </c>
      <c r="L13" s="25"/>
      <c r="M13" s="26"/>
      <c r="N13" s="27"/>
    </row>
    <row r="14" spans="1:14" s="39" customFormat="1" ht="58.5" customHeight="1">
      <c r="A14" s="20">
        <v>46241</v>
      </c>
      <c r="B14" s="21" t="s">
        <v>280</v>
      </c>
      <c r="C14" s="26" t="s">
        <v>77</v>
      </c>
      <c r="D14" s="36" t="s">
        <v>121</v>
      </c>
      <c r="E14" s="23">
        <v>109837.86</v>
      </c>
      <c r="F14" s="36"/>
      <c r="G14" s="36"/>
      <c r="H14" s="23">
        <v>109837.86</v>
      </c>
      <c r="I14" s="36"/>
      <c r="J14" s="36"/>
      <c r="K14" s="36"/>
      <c r="L14" s="25"/>
      <c r="M14" s="26"/>
      <c r="N14" s="27"/>
    </row>
    <row r="15" spans="1:14" s="39" customFormat="1" ht="43.5" customHeight="1">
      <c r="A15" s="20">
        <v>46242</v>
      </c>
      <c r="B15" s="21" t="s">
        <v>281</v>
      </c>
      <c r="C15" s="41" t="s">
        <v>122</v>
      </c>
      <c r="D15" s="40" t="s">
        <v>141</v>
      </c>
      <c r="E15" s="23">
        <v>427685.85</v>
      </c>
      <c r="F15" s="36"/>
      <c r="H15" s="36"/>
      <c r="I15" s="36"/>
      <c r="J15" s="36"/>
      <c r="K15" s="23">
        <v>427685.85</v>
      </c>
      <c r="L15" s="25">
        <v>46242</v>
      </c>
      <c r="M15" s="26" t="s">
        <v>293</v>
      </c>
      <c r="N15" s="27">
        <v>89155</v>
      </c>
    </row>
    <row r="16" spans="1:14" s="39" customFormat="1" ht="43.5" customHeight="1">
      <c r="A16" s="25">
        <v>46244</v>
      </c>
      <c r="B16" s="21" t="s">
        <v>282</v>
      </c>
      <c r="C16" s="42" t="s">
        <v>20</v>
      </c>
      <c r="D16" s="43" t="s">
        <v>305</v>
      </c>
      <c r="E16" s="23">
        <v>2805</v>
      </c>
      <c r="F16" s="36"/>
      <c r="G16" s="36"/>
      <c r="H16" s="36"/>
      <c r="I16" s="36"/>
      <c r="J16" s="36"/>
      <c r="K16" s="36">
        <v>2805</v>
      </c>
      <c r="L16" s="25">
        <v>46244</v>
      </c>
      <c r="M16" s="27" t="s">
        <v>293</v>
      </c>
      <c r="N16" s="27" t="s">
        <v>292</v>
      </c>
    </row>
    <row r="17" spans="1:14" s="39" customFormat="1" ht="43.5" customHeight="1">
      <c r="A17" s="25">
        <v>46244</v>
      </c>
      <c r="B17" s="21" t="s">
        <v>283</v>
      </c>
      <c r="C17" s="808" t="s">
        <v>306</v>
      </c>
      <c r="D17" s="38" t="s">
        <v>307</v>
      </c>
      <c r="E17" s="23">
        <v>6376.98</v>
      </c>
      <c r="F17" s="36"/>
      <c r="G17" s="36"/>
      <c r="H17" s="36"/>
      <c r="I17" s="36"/>
      <c r="J17" s="36"/>
      <c r="K17" s="23">
        <v>6376.98</v>
      </c>
      <c r="L17" s="25">
        <v>46244</v>
      </c>
      <c r="M17" s="26" t="s">
        <v>293</v>
      </c>
      <c r="N17" s="27">
        <v>89517</v>
      </c>
    </row>
    <row r="18" spans="1:14" s="39" customFormat="1" ht="43.5" customHeight="1">
      <c r="A18" s="25">
        <v>46244</v>
      </c>
      <c r="B18" s="21" t="s">
        <v>284</v>
      </c>
      <c r="C18" s="44" t="s">
        <v>20</v>
      </c>
      <c r="D18" s="40" t="s">
        <v>152</v>
      </c>
      <c r="E18" s="23">
        <v>50000</v>
      </c>
      <c r="F18" s="36">
        <v>50000</v>
      </c>
      <c r="G18" s="36"/>
      <c r="H18" s="36"/>
      <c r="I18" s="36"/>
      <c r="J18" s="36"/>
      <c r="K18" s="36"/>
      <c r="L18" s="25"/>
      <c r="M18" s="26"/>
      <c r="N18" s="27"/>
    </row>
    <row r="19" spans="1:14" s="39" customFormat="1" ht="43.5" customHeight="1">
      <c r="A19" s="25">
        <v>46244</v>
      </c>
      <c r="B19" s="21" t="s">
        <v>285</v>
      </c>
      <c r="C19" s="46" t="s">
        <v>153</v>
      </c>
      <c r="D19" s="38" t="s">
        <v>155</v>
      </c>
      <c r="E19" s="23">
        <v>161562.5</v>
      </c>
      <c r="F19" s="23"/>
      <c r="G19" s="36"/>
      <c r="H19" s="36"/>
      <c r="I19" s="36"/>
      <c r="J19" s="36"/>
      <c r="K19" s="23">
        <v>161562.5</v>
      </c>
      <c r="L19" s="25">
        <v>46244</v>
      </c>
      <c r="M19" s="26" t="s">
        <v>293</v>
      </c>
      <c r="N19" s="27">
        <v>89521</v>
      </c>
    </row>
    <row r="20" spans="1:14" s="39" customFormat="1" ht="43.5" customHeight="1">
      <c r="A20" s="25">
        <v>46245</v>
      </c>
      <c r="B20" s="21" t="s">
        <v>286</v>
      </c>
      <c r="C20" s="41" t="s">
        <v>156</v>
      </c>
      <c r="D20" s="40" t="s">
        <v>157</v>
      </c>
      <c r="E20" s="23">
        <v>10000</v>
      </c>
      <c r="F20" s="23"/>
      <c r="G20" s="36"/>
      <c r="H20" s="36"/>
      <c r="I20" s="36"/>
      <c r="J20" s="36"/>
      <c r="K20" s="23">
        <v>10000</v>
      </c>
      <c r="L20" s="25"/>
      <c r="M20" s="26"/>
      <c r="N20" s="26"/>
    </row>
    <row r="21" spans="1:14" s="39" customFormat="1" ht="43.5" customHeight="1">
      <c r="A21" s="25">
        <v>46245</v>
      </c>
      <c r="B21" s="21" t="s">
        <v>287</v>
      </c>
      <c r="C21" s="44" t="s">
        <v>162</v>
      </c>
      <c r="D21" s="40" t="s">
        <v>165</v>
      </c>
      <c r="E21" s="23">
        <v>54472.26</v>
      </c>
      <c r="F21" s="23"/>
      <c r="G21" s="23"/>
      <c r="H21" s="36"/>
      <c r="I21" s="36"/>
      <c r="J21" s="36"/>
      <c r="K21" s="23">
        <v>54472.26</v>
      </c>
      <c r="L21" s="25">
        <v>46247</v>
      </c>
      <c r="M21" s="26" t="s">
        <v>293</v>
      </c>
      <c r="N21" s="27">
        <v>89534</v>
      </c>
    </row>
    <row r="22" spans="1:14" s="39" customFormat="1" ht="43.5" customHeight="1">
      <c r="A22" s="25">
        <v>46245</v>
      </c>
      <c r="B22" s="21" t="s">
        <v>288</v>
      </c>
      <c r="C22" s="26" t="s">
        <v>168</v>
      </c>
      <c r="D22" s="40" t="s">
        <v>170</v>
      </c>
      <c r="E22" s="23">
        <v>719960</v>
      </c>
      <c r="F22" s="36"/>
      <c r="G22" s="36"/>
      <c r="H22" s="36"/>
      <c r="I22" s="36"/>
      <c r="J22" s="36"/>
      <c r="K22" s="23">
        <v>719960</v>
      </c>
      <c r="L22" s="25"/>
      <c r="M22" s="26"/>
      <c r="N22" s="26"/>
    </row>
    <row r="23" spans="1:14" s="39" customFormat="1" ht="43.5" customHeight="1">
      <c r="A23" s="25">
        <v>46246</v>
      </c>
      <c r="B23" s="21" t="s">
        <v>289</v>
      </c>
      <c r="C23" s="26" t="s">
        <v>20</v>
      </c>
      <c r="D23" s="40" t="s">
        <v>326</v>
      </c>
      <c r="E23" s="23">
        <v>98852.38</v>
      </c>
      <c r="F23" s="36"/>
      <c r="G23" s="23">
        <v>98852.38</v>
      </c>
      <c r="H23" s="36"/>
      <c r="I23" s="36"/>
      <c r="J23" s="36"/>
      <c r="K23" s="36"/>
      <c r="L23" s="25">
        <v>46247</v>
      </c>
      <c r="M23" s="26" t="s">
        <v>293</v>
      </c>
      <c r="N23" s="26">
        <v>89522</v>
      </c>
    </row>
    <row r="24" spans="1:14" s="39" customFormat="1" ht="43.5" customHeight="1">
      <c r="A24" s="25">
        <v>46247</v>
      </c>
      <c r="B24" s="21" t="s">
        <v>290</v>
      </c>
      <c r="C24" s="26" t="s">
        <v>184</v>
      </c>
      <c r="D24" s="40" t="s">
        <v>327</v>
      </c>
      <c r="E24" s="809">
        <v>64578.04</v>
      </c>
      <c r="F24" s="36"/>
      <c r="G24" s="36"/>
      <c r="H24" s="47"/>
      <c r="I24" s="47"/>
      <c r="J24" s="47"/>
      <c r="K24" s="36">
        <v>64578.04</v>
      </c>
      <c r="L24" s="25">
        <v>46247</v>
      </c>
      <c r="M24" s="26" t="s">
        <v>293</v>
      </c>
      <c r="N24" s="26">
        <v>89526</v>
      </c>
    </row>
    <row r="25" spans="1:14" s="39" customFormat="1" ht="43.5" customHeight="1">
      <c r="A25" s="25">
        <v>46247</v>
      </c>
      <c r="B25" s="21" t="s">
        <v>291</v>
      </c>
      <c r="C25" s="26" t="s">
        <v>199</v>
      </c>
      <c r="D25" s="40" t="s">
        <v>205</v>
      </c>
      <c r="E25" s="48">
        <v>12000</v>
      </c>
      <c r="F25" s="36"/>
      <c r="G25" s="36"/>
      <c r="H25" s="36"/>
      <c r="I25" s="36"/>
      <c r="J25" s="36"/>
      <c r="K25" s="48">
        <v>12000</v>
      </c>
      <c r="L25" s="25">
        <v>46247</v>
      </c>
      <c r="M25" s="26" t="s">
        <v>293</v>
      </c>
      <c r="N25" s="26"/>
    </row>
    <row r="26" spans="1:14" s="39" customFormat="1" ht="43.5" customHeight="1">
      <c r="A26" s="25">
        <v>46247</v>
      </c>
      <c r="B26" s="21" t="s">
        <v>308</v>
      </c>
      <c r="C26" s="49" t="s">
        <v>156</v>
      </c>
      <c r="D26" s="36" t="s">
        <v>213</v>
      </c>
      <c r="E26" s="23">
        <v>24000</v>
      </c>
      <c r="F26" s="36"/>
      <c r="G26" s="36"/>
      <c r="H26" s="36"/>
      <c r="I26" s="36"/>
      <c r="J26" s="36"/>
      <c r="K26" s="23">
        <v>24000</v>
      </c>
      <c r="L26" s="25"/>
      <c r="M26" s="26"/>
      <c r="N26" s="26"/>
    </row>
    <row r="27" spans="1:14" s="39" customFormat="1" ht="43.5" customHeight="1">
      <c r="A27" s="25">
        <v>46247</v>
      </c>
      <c r="B27" s="21" t="s">
        <v>309</v>
      </c>
      <c r="C27" s="49" t="s">
        <v>20</v>
      </c>
      <c r="D27" s="36" t="s">
        <v>216</v>
      </c>
      <c r="E27" s="23">
        <v>35000</v>
      </c>
      <c r="F27" s="36"/>
      <c r="G27" s="36"/>
      <c r="H27" s="36"/>
      <c r="I27" s="36"/>
      <c r="J27" s="36"/>
      <c r="K27" s="23">
        <v>35000</v>
      </c>
      <c r="L27" s="25"/>
      <c r="M27" s="26"/>
      <c r="N27" s="26"/>
    </row>
    <row r="28" spans="1:14" s="39" customFormat="1" ht="43.5" customHeight="1">
      <c r="A28" s="25">
        <v>46248</v>
      </c>
      <c r="B28" s="21" t="s">
        <v>310</v>
      </c>
      <c r="C28" s="49" t="s">
        <v>217</v>
      </c>
      <c r="D28" s="36" t="s">
        <v>222</v>
      </c>
      <c r="E28" s="23">
        <v>65454.32</v>
      </c>
      <c r="F28" s="36"/>
      <c r="G28" s="36"/>
      <c r="H28" s="36"/>
      <c r="I28" s="36"/>
      <c r="J28" s="36"/>
      <c r="K28" s="23">
        <v>65454.32</v>
      </c>
      <c r="L28" s="25">
        <v>46261</v>
      </c>
      <c r="M28" s="26" t="s">
        <v>293</v>
      </c>
      <c r="N28" s="26">
        <v>89548</v>
      </c>
    </row>
    <row r="29" spans="1:14" s="39" customFormat="1" ht="43.5" customHeight="1">
      <c r="A29" s="25">
        <v>46251</v>
      </c>
      <c r="B29" s="21" t="s">
        <v>311</v>
      </c>
      <c r="C29" s="50" t="s">
        <v>223</v>
      </c>
      <c r="D29" s="26" t="s">
        <v>224</v>
      </c>
      <c r="E29" s="23">
        <v>50288.35</v>
      </c>
      <c r="F29" s="36"/>
      <c r="G29" s="36"/>
      <c r="H29" s="36">
        <v>50288.35</v>
      </c>
      <c r="I29" s="36"/>
      <c r="J29" s="36"/>
      <c r="K29" s="23"/>
      <c r="L29" s="25">
        <v>46252</v>
      </c>
      <c r="M29" s="26" t="s">
        <v>293</v>
      </c>
      <c r="N29" s="26">
        <v>89537</v>
      </c>
    </row>
    <row r="30" spans="1:14" s="39" customFormat="1" ht="43.5" customHeight="1">
      <c r="A30" s="25">
        <v>46251</v>
      </c>
      <c r="B30" s="21" t="s">
        <v>312</v>
      </c>
      <c r="C30" s="26" t="s">
        <v>20</v>
      </c>
      <c r="D30" s="36" t="s">
        <v>176</v>
      </c>
      <c r="E30" s="23">
        <v>12000</v>
      </c>
      <c r="F30" s="36">
        <v>12000</v>
      </c>
      <c r="G30" s="36"/>
      <c r="H30" s="36"/>
      <c r="I30" s="36"/>
      <c r="J30" s="36"/>
      <c r="K30" s="23"/>
      <c r="L30" s="25">
        <v>46252</v>
      </c>
      <c r="M30" s="26" t="s">
        <v>293</v>
      </c>
      <c r="N30" s="27">
        <v>89536</v>
      </c>
    </row>
    <row r="31" spans="1:14" s="39" customFormat="1" ht="43.5" customHeight="1">
      <c r="A31" s="25">
        <v>46252</v>
      </c>
      <c r="B31" s="21" t="s">
        <v>313</v>
      </c>
      <c r="C31" s="26" t="s">
        <v>235</v>
      </c>
      <c r="D31" s="36" t="s">
        <v>238</v>
      </c>
      <c r="E31" s="23">
        <v>14242.4</v>
      </c>
      <c r="F31" s="36"/>
      <c r="G31" s="36"/>
      <c r="H31" s="36"/>
      <c r="I31" s="36"/>
      <c r="J31" s="36"/>
      <c r="K31" s="23">
        <v>14242.4</v>
      </c>
      <c r="L31" s="25">
        <v>46252</v>
      </c>
      <c r="M31" s="26" t="s">
        <v>293</v>
      </c>
      <c r="N31" s="27">
        <v>89535</v>
      </c>
    </row>
    <row r="32" spans="1:14" s="39" customFormat="1" ht="43.5" customHeight="1">
      <c r="A32" s="25">
        <v>46253</v>
      </c>
      <c r="B32" s="21" t="s">
        <v>314</v>
      </c>
      <c r="C32" s="26" t="s">
        <v>240</v>
      </c>
      <c r="D32" s="36" t="s">
        <v>241</v>
      </c>
      <c r="E32" s="23">
        <v>15952.73</v>
      </c>
      <c r="F32" s="36"/>
      <c r="G32" s="36"/>
      <c r="H32" s="36"/>
      <c r="I32" s="36"/>
      <c r="J32" s="36"/>
      <c r="K32" s="23">
        <v>15952.73</v>
      </c>
      <c r="L32" s="25">
        <v>46258</v>
      </c>
      <c r="M32" s="26" t="s">
        <v>293</v>
      </c>
      <c r="N32" s="26">
        <v>89542</v>
      </c>
    </row>
    <row r="33" spans="1:14" s="39" customFormat="1" ht="43.5" customHeight="1">
      <c r="A33" s="25">
        <v>46254</v>
      </c>
      <c r="B33" s="21" t="s">
        <v>315</v>
      </c>
      <c r="C33" s="26" t="s">
        <v>20</v>
      </c>
      <c r="D33" s="36" t="s">
        <v>249</v>
      </c>
      <c r="E33" s="23">
        <v>35000</v>
      </c>
      <c r="F33" s="36"/>
      <c r="G33" s="36"/>
      <c r="H33" s="36"/>
      <c r="I33" s="36"/>
      <c r="J33" s="36"/>
      <c r="K33" s="23">
        <v>35000</v>
      </c>
      <c r="L33" s="25">
        <v>46254</v>
      </c>
      <c r="M33" s="26" t="s">
        <v>293</v>
      </c>
      <c r="N33" s="27">
        <v>89539</v>
      </c>
    </row>
    <row r="34" spans="1:14" s="39" customFormat="1" ht="43.5" customHeight="1">
      <c r="A34" s="25">
        <v>46254</v>
      </c>
      <c r="B34" s="21" t="s">
        <v>316</v>
      </c>
      <c r="C34" s="26" t="s">
        <v>77</v>
      </c>
      <c r="D34" s="36" t="s">
        <v>250</v>
      </c>
      <c r="E34" s="23">
        <v>35000</v>
      </c>
      <c r="F34" s="36"/>
      <c r="G34" s="36">
        <v>35000</v>
      </c>
      <c r="H34" s="36"/>
      <c r="I34" s="36"/>
      <c r="J34" s="36"/>
      <c r="K34" s="36"/>
      <c r="L34" s="25"/>
      <c r="M34" s="26"/>
      <c r="N34" s="27"/>
    </row>
    <row r="35" spans="1:14" s="39" customFormat="1" ht="43.5" customHeight="1">
      <c r="A35" s="25">
        <v>46254</v>
      </c>
      <c r="B35" s="21" t="s">
        <v>317</v>
      </c>
      <c r="C35" s="26" t="s">
        <v>77</v>
      </c>
      <c r="D35" s="36" t="s">
        <v>254</v>
      </c>
      <c r="E35" s="23">
        <v>150000</v>
      </c>
      <c r="F35" s="36"/>
      <c r="G35" s="36">
        <v>150000</v>
      </c>
      <c r="H35" s="36"/>
      <c r="I35" s="36"/>
      <c r="J35" s="36"/>
      <c r="K35" s="36"/>
      <c r="L35" s="25"/>
      <c r="M35" s="26"/>
      <c r="N35" s="27"/>
    </row>
    <row r="36" spans="1:14" s="39" customFormat="1" ht="43.5" customHeight="1">
      <c r="A36" s="25">
        <v>46254</v>
      </c>
      <c r="B36" s="21" t="s">
        <v>318</v>
      </c>
      <c r="C36" s="26" t="s">
        <v>256</v>
      </c>
      <c r="D36" s="51" t="s">
        <v>259</v>
      </c>
      <c r="E36" s="23">
        <v>5790</v>
      </c>
      <c r="F36" s="36"/>
      <c r="G36" s="52"/>
      <c r="H36" s="36"/>
      <c r="I36" s="36"/>
      <c r="J36" s="36"/>
      <c r="K36" s="36">
        <v>5790</v>
      </c>
      <c r="L36" s="25">
        <v>46261</v>
      </c>
      <c r="M36" s="51" t="s">
        <v>293</v>
      </c>
      <c r="N36" s="27">
        <v>89545</v>
      </c>
    </row>
    <row r="37" spans="1:14" s="39" customFormat="1" ht="43.5" customHeight="1">
      <c r="A37" s="25">
        <v>46256</v>
      </c>
      <c r="B37" s="21" t="s">
        <v>319</v>
      </c>
      <c r="C37" s="26" t="s">
        <v>20</v>
      </c>
      <c r="D37" s="36" t="s">
        <v>54</v>
      </c>
      <c r="E37" s="23">
        <v>61990</v>
      </c>
      <c r="F37" s="23">
        <v>61990</v>
      </c>
      <c r="G37" s="36"/>
      <c r="H37" s="36"/>
      <c r="I37" s="36"/>
      <c r="J37" s="36"/>
      <c r="K37" s="36"/>
      <c r="L37" s="25">
        <v>46258</v>
      </c>
      <c r="M37" s="51" t="s">
        <v>293</v>
      </c>
      <c r="N37" s="27">
        <v>89544</v>
      </c>
    </row>
    <row r="38" spans="1:14" s="39" customFormat="1" ht="43.5" customHeight="1">
      <c r="A38" s="25">
        <v>46258</v>
      </c>
      <c r="B38" s="21" t="s">
        <v>320</v>
      </c>
      <c r="C38" s="26" t="s">
        <v>20</v>
      </c>
      <c r="D38" s="40" t="s">
        <v>328</v>
      </c>
      <c r="E38" s="23">
        <v>64013.37</v>
      </c>
      <c r="F38" s="36"/>
      <c r="G38" s="23">
        <v>64013.37</v>
      </c>
      <c r="H38" s="36"/>
      <c r="I38" s="36"/>
      <c r="J38" s="36"/>
      <c r="K38" s="36"/>
      <c r="L38" s="25">
        <v>46258</v>
      </c>
      <c r="M38" s="26" t="s">
        <v>293</v>
      </c>
      <c r="N38" s="26">
        <v>89543</v>
      </c>
    </row>
    <row r="39" spans="1:14" s="53" customFormat="1" ht="43.5" customHeight="1">
      <c r="A39" s="25">
        <v>46258</v>
      </c>
      <c r="B39" s="21" t="s">
        <v>321</v>
      </c>
      <c r="C39" s="26" t="s">
        <v>20</v>
      </c>
      <c r="D39" s="36" t="s">
        <v>249</v>
      </c>
      <c r="E39" s="23">
        <v>35000</v>
      </c>
      <c r="F39" s="36"/>
      <c r="G39" s="36"/>
      <c r="H39" s="36"/>
      <c r="I39" s="36"/>
      <c r="J39" s="36"/>
      <c r="K39" s="36">
        <v>35000</v>
      </c>
      <c r="L39" s="25">
        <v>46261</v>
      </c>
      <c r="M39" s="26" t="s">
        <v>293</v>
      </c>
      <c r="N39" s="27">
        <v>89549</v>
      </c>
    </row>
    <row r="40" spans="1:14" s="53" customFormat="1" ht="43.5" customHeight="1">
      <c r="A40" s="25">
        <v>46261</v>
      </c>
      <c r="B40" s="21" t="s">
        <v>322</v>
      </c>
      <c r="C40" s="26" t="s">
        <v>184</v>
      </c>
      <c r="D40" s="36" t="s">
        <v>329</v>
      </c>
      <c r="E40" s="23">
        <v>77364</v>
      </c>
      <c r="F40" s="36"/>
      <c r="G40" s="36"/>
      <c r="H40" s="36"/>
      <c r="I40" s="36"/>
      <c r="J40" s="36"/>
      <c r="K40" s="23">
        <v>77364</v>
      </c>
      <c r="L40" s="25">
        <v>46261</v>
      </c>
      <c r="M40" s="26" t="s">
        <v>293</v>
      </c>
      <c r="N40" s="27">
        <v>89553</v>
      </c>
    </row>
    <row r="41" spans="1:14" s="53" customFormat="1" ht="43.5" customHeight="1">
      <c r="A41" s="25">
        <v>46261</v>
      </c>
      <c r="B41" s="21" t="s">
        <v>323</v>
      </c>
      <c r="C41" s="26" t="s">
        <v>199</v>
      </c>
      <c r="D41" s="36" t="s">
        <v>268</v>
      </c>
      <c r="E41" s="23">
        <v>12000</v>
      </c>
      <c r="F41" s="36"/>
      <c r="G41" s="36"/>
      <c r="H41" s="36"/>
      <c r="I41" s="36"/>
      <c r="J41" s="36"/>
      <c r="K41" s="36">
        <v>12000</v>
      </c>
      <c r="L41" s="25">
        <v>46261</v>
      </c>
      <c r="M41" s="26" t="s">
        <v>293</v>
      </c>
      <c r="N41" s="26"/>
    </row>
    <row r="42" spans="1:14" s="53" customFormat="1" ht="43.5" customHeight="1">
      <c r="A42" s="25">
        <v>46261</v>
      </c>
      <c r="B42" s="21" t="s">
        <v>324</v>
      </c>
      <c r="C42" s="26" t="s">
        <v>20</v>
      </c>
      <c r="D42" s="36" t="s">
        <v>330</v>
      </c>
      <c r="E42" s="23">
        <v>65133.760000000002</v>
      </c>
      <c r="F42" s="36"/>
      <c r="G42" s="23">
        <v>65133.760000000002</v>
      </c>
      <c r="H42" s="36"/>
      <c r="I42" s="36"/>
      <c r="J42" s="36"/>
      <c r="K42" s="36"/>
      <c r="L42" s="25">
        <v>46262</v>
      </c>
      <c r="M42" s="26" t="s">
        <v>293</v>
      </c>
      <c r="N42" s="26">
        <v>89554</v>
      </c>
    </row>
    <row r="43" spans="1:14" s="53" customFormat="1" ht="43.5" customHeight="1">
      <c r="A43" s="25">
        <v>46261</v>
      </c>
      <c r="B43" s="21" t="s">
        <v>325</v>
      </c>
      <c r="C43" s="26" t="s">
        <v>66</v>
      </c>
      <c r="D43" s="36" t="s">
        <v>66</v>
      </c>
      <c r="E43" s="23">
        <v>105675.19</v>
      </c>
      <c r="F43" s="36"/>
      <c r="G43" s="36"/>
      <c r="H43" s="36"/>
      <c r="I43" s="36"/>
      <c r="J43" s="36"/>
      <c r="K43" s="23">
        <v>105675.19</v>
      </c>
      <c r="L43" s="25"/>
      <c r="M43" s="26"/>
      <c r="N43" s="27"/>
    </row>
    <row r="44" spans="1:14" s="53" customFormat="1" ht="43.5" customHeight="1">
      <c r="A44" s="25"/>
      <c r="B44" s="21"/>
      <c r="C44" s="26"/>
      <c r="D44" s="36"/>
      <c r="E44" s="23"/>
      <c r="F44" s="36"/>
      <c r="G44" s="36"/>
      <c r="H44" s="36"/>
      <c r="I44" s="36"/>
      <c r="J44" s="36"/>
      <c r="K44" s="36"/>
      <c r="L44" s="25"/>
      <c r="M44" s="26"/>
      <c r="N44" s="27"/>
    </row>
    <row r="45" spans="1:14" s="53" customFormat="1" ht="43.5" customHeight="1">
      <c r="A45" s="25"/>
      <c r="B45" s="21"/>
      <c r="C45" s="26"/>
      <c r="D45" s="36"/>
      <c r="E45" s="23"/>
      <c r="F45" s="36"/>
      <c r="G45" s="36"/>
      <c r="H45" s="36"/>
      <c r="I45" s="36"/>
      <c r="J45" s="36"/>
      <c r="K45" s="36"/>
      <c r="L45" s="25"/>
      <c r="M45" s="26"/>
      <c r="N45" s="27"/>
    </row>
    <row r="46" spans="1:14" s="53" customFormat="1" ht="43.5" customHeight="1">
      <c r="A46" s="25"/>
      <c r="B46" s="21"/>
      <c r="C46" s="26"/>
      <c r="D46" s="36"/>
      <c r="E46" s="23"/>
      <c r="F46" s="36"/>
      <c r="G46" s="36"/>
      <c r="H46" s="36"/>
      <c r="I46" s="36"/>
      <c r="J46" s="36"/>
      <c r="K46" s="36"/>
      <c r="L46" s="25"/>
      <c r="M46" s="54"/>
      <c r="N46" s="55"/>
    </row>
    <row r="47" spans="1:14" s="53" customFormat="1" ht="43.5" customHeight="1">
      <c r="A47" s="25"/>
      <c r="B47" s="21"/>
      <c r="C47" s="26"/>
      <c r="D47" s="36"/>
      <c r="E47" s="23"/>
      <c r="F47" s="36"/>
      <c r="G47" s="36"/>
      <c r="H47" s="36"/>
      <c r="I47" s="36"/>
      <c r="J47" s="36"/>
      <c r="K47" s="36"/>
      <c r="L47" s="25"/>
      <c r="M47" s="26"/>
      <c r="N47" s="26"/>
    </row>
    <row r="48" spans="1:14" s="53" customFormat="1" ht="43.5" customHeight="1">
      <c r="A48" s="25"/>
      <c r="B48" s="21"/>
      <c r="C48" s="26"/>
      <c r="D48" s="36"/>
      <c r="E48" s="23"/>
      <c r="F48" s="36"/>
      <c r="G48" s="36"/>
      <c r="H48" s="36"/>
      <c r="I48" s="36"/>
      <c r="J48" s="36"/>
      <c r="K48" s="56"/>
      <c r="L48" s="25"/>
      <c r="M48" s="26"/>
      <c r="N48" s="27"/>
    </row>
    <row r="49" spans="1:14" s="60" customFormat="1" ht="43.5" customHeight="1">
      <c r="A49" s="25"/>
      <c r="B49" s="21"/>
      <c r="C49" s="34"/>
      <c r="D49" s="57"/>
      <c r="E49" s="23"/>
      <c r="F49" s="57"/>
      <c r="G49" s="57"/>
      <c r="H49" s="57"/>
      <c r="I49" s="57"/>
      <c r="J49" s="57"/>
      <c r="K49" s="57"/>
      <c r="L49" s="58"/>
      <c r="M49" s="59"/>
      <c r="N49" s="34"/>
    </row>
    <row r="50" spans="1:14" s="60" customFormat="1" ht="43.5" customHeight="1">
      <c r="A50" s="25"/>
      <c r="B50" s="21"/>
      <c r="C50" s="34"/>
      <c r="D50" s="57"/>
      <c r="E50" s="23"/>
      <c r="F50" s="57"/>
      <c r="G50" s="57"/>
      <c r="H50" s="57"/>
      <c r="I50" s="57"/>
      <c r="J50" s="57"/>
      <c r="K50" s="57"/>
      <c r="L50" s="58"/>
      <c r="M50" s="34"/>
      <c r="N50" s="61"/>
    </row>
    <row r="51" spans="1:14" s="60" customFormat="1" ht="43.5" customHeight="1">
      <c r="A51" s="25"/>
      <c r="B51" s="21"/>
      <c r="C51" s="26"/>
      <c r="D51" s="57"/>
      <c r="E51" s="23"/>
      <c r="F51" s="57"/>
      <c r="G51" s="57"/>
      <c r="H51" s="57"/>
      <c r="I51" s="57"/>
      <c r="J51" s="57"/>
      <c r="K51" s="57"/>
      <c r="L51" s="58"/>
      <c r="M51" s="34"/>
      <c r="N51" s="61"/>
    </row>
    <row r="52" spans="1:14" s="62" customFormat="1" ht="43.5" customHeight="1">
      <c r="A52" s="25"/>
      <c r="B52" s="21"/>
      <c r="C52" s="26"/>
      <c r="D52" s="36"/>
      <c r="E52" s="23"/>
      <c r="F52" s="36"/>
      <c r="G52" s="36"/>
      <c r="H52" s="36"/>
      <c r="I52" s="36"/>
      <c r="J52" s="36"/>
      <c r="K52" s="36"/>
      <c r="L52" s="25"/>
      <c r="M52" s="25"/>
      <c r="N52" s="45"/>
    </row>
    <row r="53" spans="1:14" s="62" customFormat="1" ht="43.5" customHeight="1">
      <c r="A53" s="58"/>
      <c r="B53" s="29"/>
      <c r="C53" s="26"/>
      <c r="D53" s="36"/>
      <c r="E53" s="23"/>
      <c r="F53" s="36"/>
      <c r="G53" s="36"/>
      <c r="H53" s="36"/>
      <c r="I53" s="36"/>
      <c r="J53" s="36"/>
      <c r="K53" s="36"/>
      <c r="L53" s="25"/>
      <c r="M53" s="25"/>
      <c r="N53" s="63"/>
    </row>
    <row r="54" spans="1:14" s="62" customFormat="1" ht="43.5" customHeight="1">
      <c r="A54" s="25"/>
      <c r="B54" s="29"/>
      <c r="C54" s="26"/>
      <c r="D54" s="36"/>
      <c r="E54" s="23"/>
      <c r="F54" s="36"/>
      <c r="G54" s="36"/>
      <c r="H54" s="36"/>
      <c r="I54" s="36"/>
      <c r="J54" s="36"/>
      <c r="K54" s="36"/>
      <c r="L54" s="25"/>
      <c r="M54" s="26"/>
      <c r="N54" s="27"/>
    </row>
    <row r="55" spans="1:14" s="62" customFormat="1" ht="43.5" customHeight="1">
      <c r="A55" s="25"/>
      <c r="B55" s="29"/>
      <c r="C55" s="26"/>
      <c r="D55" s="36"/>
      <c r="E55" s="23"/>
      <c r="F55" s="36"/>
      <c r="G55" s="36"/>
      <c r="H55" s="36"/>
      <c r="I55" s="36"/>
      <c r="J55" s="36"/>
      <c r="K55" s="36"/>
      <c r="L55" s="25"/>
      <c r="M55" s="26"/>
      <c r="N55" s="27"/>
    </row>
    <row r="56" spans="1:14" s="62" customFormat="1" ht="39" customHeight="1">
      <c r="A56" s="25"/>
      <c r="B56" s="29"/>
      <c r="C56" s="26"/>
      <c r="D56" s="36"/>
      <c r="E56" s="23"/>
      <c r="F56" s="36"/>
      <c r="G56" s="36"/>
      <c r="H56" s="36"/>
      <c r="I56" s="36"/>
      <c r="J56" s="36"/>
      <c r="K56" s="36"/>
      <c r="L56" s="25"/>
      <c r="M56" s="26"/>
      <c r="N56" s="26"/>
    </row>
    <row r="57" spans="1:14" s="60" customFormat="1" ht="40.5" customHeight="1">
      <c r="A57" s="58"/>
      <c r="B57" s="29"/>
      <c r="C57" s="34"/>
      <c r="D57" s="57"/>
      <c r="E57" s="23"/>
      <c r="F57" s="57"/>
      <c r="G57" s="57"/>
      <c r="H57" s="57"/>
      <c r="I57" s="57"/>
      <c r="J57" s="57"/>
      <c r="K57" s="57"/>
      <c r="L57" s="58"/>
      <c r="M57" s="34"/>
      <c r="N57" s="34"/>
    </row>
    <row r="58" spans="1:14" s="60" customFormat="1" ht="34.5" customHeight="1">
      <c r="A58" s="58"/>
      <c r="B58" s="29"/>
      <c r="C58" s="34"/>
      <c r="D58" s="57"/>
      <c r="E58" s="23"/>
      <c r="F58" s="57"/>
      <c r="G58" s="57"/>
      <c r="H58" s="57"/>
      <c r="I58" s="57"/>
      <c r="J58" s="57"/>
      <c r="K58" s="57"/>
      <c r="L58" s="58"/>
      <c r="M58" s="34"/>
      <c r="N58" s="61"/>
    </row>
    <row r="59" spans="1:14" s="60" customFormat="1" ht="24" customHeight="1">
      <c r="A59" s="58"/>
      <c r="B59" s="29"/>
      <c r="C59" s="34"/>
      <c r="D59" s="57"/>
      <c r="E59" s="23"/>
      <c r="F59" s="57"/>
      <c r="G59" s="57"/>
      <c r="H59" s="57"/>
      <c r="I59" s="57"/>
      <c r="J59" s="57"/>
      <c r="K59" s="57"/>
      <c r="L59" s="58"/>
      <c r="M59" s="34"/>
      <c r="N59" s="34"/>
    </row>
    <row r="60" spans="1:14" s="60" customFormat="1" ht="22.5" customHeight="1">
      <c r="A60" s="58"/>
      <c r="B60" s="29"/>
      <c r="C60" s="34"/>
      <c r="D60" s="57"/>
      <c r="E60" s="23"/>
      <c r="F60" s="57"/>
      <c r="G60" s="57"/>
      <c r="H60" s="57"/>
      <c r="I60" s="57"/>
      <c r="J60" s="57"/>
      <c r="K60" s="57"/>
      <c r="L60" s="58"/>
      <c r="M60" s="34"/>
      <c r="N60" s="34"/>
    </row>
    <row r="61" spans="1:14" s="60" customFormat="1" ht="33.75" customHeight="1">
      <c r="A61" s="64"/>
      <c r="B61" s="65"/>
      <c r="C61" s="66"/>
      <c r="D61" s="67"/>
      <c r="E61" s="23"/>
      <c r="F61" s="67"/>
      <c r="G61" s="67"/>
      <c r="H61" s="67"/>
      <c r="I61" s="67"/>
      <c r="J61" s="67"/>
      <c r="K61" s="67"/>
      <c r="L61" s="64"/>
      <c r="M61" s="68"/>
      <c r="N61" s="69"/>
    </row>
    <row r="62" spans="1:14" s="60" customFormat="1" ht="33.75" customHeight="1">
      <c r="A62" s="64"/>
      <c r="B62" s="65"/>
      <c r="C62" s="66"/>
      <c r="D62" s="67"/>
      <c r="E62" s="23"/>
      <c r="F62" s="67"/>
      <c r="G62" s="67"/>
      <c r="H62" s="67"/>
      <c r="I62" s="67"/>
      <c r="J62" s="67"/>
      <c r="K62" s="67"/>
      <c r="L62" s="64"/>
      <c r="M62" s="68"/>
      <c r="N62" s="69"/>
    </row>
    <row r="63" spans="1:14" s="60" customFormat="1" ht="33.75" customHeight="1">
      <c r="A63" s="64"/>
      <c r="B63" s="65"/>
      <c r="C63" s="66"/>
      <c r="D63" s="67"/>
      <c r="E63" s="23"/>
      <c r="F63" s="67"/>
      <c r="G63" s="67"/>
      <c r="H63" s="67"/>
      <c r="I63" s="67"/>
      <c r="J63" s="67"/>
      <c r="K63" s="67"/>
      <c r="L63" s="64"/>
      <c r="M63" s="68"/>
      <c r="N63" s="69"/>
    </row>
    <row r="64" spans="1:14" s="60" customFormat="1" ht="33.75" customHeight="1">
      <c r="A64" s="64"/>
      <c r="B64" s="65"/>
      <c r="C64" s="66"/>
      <c r="D64" s="67"/>
      <c r="E64" s="23"/>
      <c r="F64" s="67"/>
      <c r="G64" s="67"/>
      <c r="H64" s="67"/>
      <c r="I64" s="67"/>
      <c r="J64" s="67"/>
      <c r="K64" s="67"/>
      <c r="L64" s="64"/>
      <c r="M64" s="68"/>
      <c r="N64" s="69"/>
    </row>
    <row r="65" spans="1:14" s="60" customFormat="1" ht="33.75" customHeight="1">
      <c r="A65" s="64"/>
      <c r="B65" s="65"/>
      <c r="C65" s="66"/>
      <c r="D65" s="67"/>
      <c r="E65" s="23"/>
      <c r="F65" s="67"/>
      <c r="G65" s="67"/>
      <c r="H65" s="67"/>
      <c r="I65" s="67"/>
      <c r="J65" s="67"/>
      <c r="K65" s="67"/>
      <c r="L65" s="64"/>
      <c r="M65" s="68"/>
      <c r="N65" s="69"/>
    </row>
    <row r="66" spans="1:14" s="60" customFormat="1" ht="24" customHeight="1">
      <c r="A66" s="58"/>
      <c r="B66" s="29"/>
      <c r="C66" s="34"/>
      <c r="D66" s="57"/>
      <c r="E66" s="23">
        <f t="shared" ref="E66:E67" si="0">SUM(F66:K66)</f>
        <v>0</v>
      </c>
      <c r="F66" s="57"/>
      <c r="G66" s="57"/>
      <c r="H66" s="57"/>
      <c r="I66" s="57"/>
      <c r="J66" s="57"/>
      <c r="K66" s="57"/>
      <c r="L66" s="58"/>
      <c r="M66" s="34"/>
      <c r="N66" s="34"/>
    </row>
    <row r="67" spans="1:14" s="60" customFormat="1" ht="13.5">
      <c r="A67" s="58"/>
      <c r="B67" s="29"/>
      <c r="C67" s="70"/>
      <c r="D67" s="57"/>
      <c r="E67" s="23">
        <f t="shared" si="0"/>
        <v>0</v>
      </c>
      <c r="F67" s="57"/>
      <c r="G67" s="57"/>
      <c r="H67" s="57"/>
      <c r="I67" s="57"/>
      <c r="J67" s="57"/>
      <c r="K67" s="57"/>
      <c r="L67" s="58"/>
      <c r="M67" s="34"/>
      <c r="N67" s="34"/>
    </row>
    <row r="68" spans="1:14" s="60" customFormat="1" ht="25.5" customHeight="1">
      <c r="A68" s="58"/>
      <c r="B68" s="29"/>
      <c r="C68" s="34"/>
      <c r="D68" s="57"/>
      <c r="E68" s="57"/>
      <c r="F68" s="57"/>
      <c r="G68" s="57"/>
      <c r="H68" s="57"/>
      <c r="I68" s="57"/>
      <c r="J68" s="57"/>
      <c r="K68" s="57"/>
      <c r="L68" s="58"/>
      <c r="M68" s="34"/>
      <c r="N68" s="34"/>
    </row>
    <row r="69" spans="1:14" s="60" customFormat="1" ht="36.75" customHeight="1">
      <c r="A69" s="58"/>
      <c r="B69" s="29"/>
      <c r="C69" s="34"/>
      <c r="D69" s="57"/>
      <c r="E69" s="57"/>
      <c r="F69" s="57"/>
      <c r="G69" s="57"/>
      <c r="H69" s="57"/>
      <c r="I69" s="57"/>
      <c r="J69" s="57"/>
      <c r="K69" s="57"/>
      <c r="L69" s="58"/>
      <c r="M69" s="34"/>
      <c r="N69" s="34"/>
    </row>
    <row r="70" spans="1:14" s="72" customFormat="1">
      <c r="A70" s="71"/>
      <c r="C70" s="73"/>
      <c r="D70" s="74"/>
      <c r="E70" s="75"/>
      <c r="F70" s="75"/>
      <c r="G70" s="75"/>
      <c r="H70" s="75"/>
      <c r="I70" s="75"/>
      <c r="J70" s="75"/>
      <c r="K70" s="75"/>
      <c r="L70" s="71"/>
      <c r="N70" s="76"/>
    </row>
  </sheetData>
  <mergeCells count="1">
    <mergeCell ref="A2:N2"/>
  </mergeCells>
  <pageMargins left="0.25" right="0.25" top="0.75" bottom="0.75" header="0.3" footer="0.3"/>
  <pageSetup paperSize="5" scale="70" orientation="landscape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7"/>
  <sheetViews>
    <sheetView view="pageBreakPreview" zoomScale="90" zoomScaleNormal="100" zoomScaleSheetLayoutView="90" workbookViewId="0">
      <selection activeCell="E25" sqref="E25:F25"/>
    </sheetView>
  </sheetViews>
  <sheetFormatPr defaultColWidth="9.140625" defaultRowHeight="17.25"/>
  <cols>
    <col min="1" max="1" width="8.42578125" style="206" customWidth="1"/>
    <col min="2" max="2" width="24.85546875" style="206" customWidth="1"/>
    <col min="3" max="3" width="29" style="206" customWidth="1"/>
    <col min="4" max="4" width="21.42578125" style="266" customWidth="1"/>
    <col min="5" max="5" width="30.7109375" style="210" customWidth="1"/>
    <col min="6" max="6" width="6.7109375" style="206" customWidth="1"/>
    <col min="7" max="7" width="19" style="206" customWidth="1"/>
    <col min="8" max="8" width="9.140625" style="207"/>
    <col min="9" max="9" width="10" style="206" customWidth="1"/>
    <col min="10" max="16384" width="9.140625" style="206"/>
  </cols>
  <sheetData>
    <row r="1" spans="1:9" s="204" customFormat="1" ht="21.75" customHeight="1">
      <c r="A1" s="676" t="s">
        <v>0</v>
      </c>
      <c r="B1" s="676"/>
      <c r="C1" s="676"/>
      <c r="D1" s="676"/>
      <c r="E1" s="676"/>
      <c r="F1" s="676"/>
      <c r="I1" s="205"/>
    </row>
    <row r="2" spans="1:9" ht="17.25" customHeight="1">
      <c r="A2" s="677" t="s">
        <v>1</v>
      </c>
      <c r="B2" s="677"/>
      <c r="C2" s="677"/>
      <c r="D2" s="677"/>
      <c r="E2" s="677"/>
      <c r="F2" s="677"/>
      <c r="H2" s="206"/>
      <c r="I2" s="207"/>
    </row>
    <row r="3" spans="1:9" ht="22.5" customHeight="1">
      <c r="A3" s="208"/>
      <c r="B3" s="208"/>
      <c r="C3" s="208"/>
      <c r="D3" s="209"/>
      <c r="F3" s="211" t="s">
        <v>296</v>
      </c>
    </row>
    <row r="4" spans="1:9" ht="4.5" customHeight="1">
      <c r="A4" s="678"/>
      <c r="B4" s="678"/>
      <c r="C4" s="678"/>
      <c r="D4" s="678"/>
      <c r="E4" s="678"/>
      <c r="F4" s="208"/>
    </row>
    <row r="5" spans="1:9" ht="18" customHeight="1">
      <c r="A5" s="208"/>
      <c r="B5" s="212" t="s">
        <v>2</v>
      </c>
      <c r="C5" s="208"/>
      <c r="D5" s="213" t="s">
        <v>3</v>
      </c>
      <c r="E5" s="679">
        <v>46261</v>
      </c>
      <c r="F5" s="679"/>
    </row>
    <row r="6" spans="1:9" ht="23.25" customHeight="1">
      <c r="A6" s="214" t="s">
        <v>4</v>
      </c>
      <c r="B6" s="269" t="s">
        <v>66</v>
      </c>
      <c r="C6" s="665"/>
      <c r="D6" s="216"/>
      <c r="E6" s="212"/>
      <c r="F6" s="208"/>
      <c r="I6" s="217"/>
    </row>
    <row r="7" spans="1:9" ht="13.5" customHeight="1">
      <c r="A7" s="680"/>
      <c r="B7" s="680"/>
      <c r="C7" s="665"/>
      <c r="D7" s="218" t="s">
        <v>5</v>
      </c>
      <c r="E7" s="219" t="s">
        <v>6</v>
      </c>
      <c r="F7" s="220"/>
      <c r="I7" s="217"/>
    </row>
    <row r="8" spans="1:9" ht="8.25" customHeight="1">
      <c r="A8" s="221"/>
      <c r="B8" s="221"/>
      <c r="C8" s="221"/>
      <c r="D8" s="222"/>
      <c r="E8" s="223"/>
      <c r="F8" s="224"/>
      <c r="H8" s="206"/>
    </row>
    <row r="9" spans="1:9" ht="18.75" customHeight="1">
      <c r="A9" s="225"/>
      <c r="B9" s="204" t="s">
        <v>297</v>
      </c>
      <c r="C9" s="226"/>
      <c r="D9" s="222">
        <v>85687.38</v>
      </c>
      <c r="E9" s="223"/>
      <c r="F9" s="224"/>
      <c r="H9" s="206"/>
    </row>
    <row r="10" spans="1:9" s="204" customFormat="1" ht="21" customHeight="1">
      <c r="A10" s="225"/>
      <c r="B10" s="204" t="s">
        <v>298</v>
      </c>
      <c r="C10" s="226"/>
      <c r="D10" s="222">
        <v>19987.810000000001</v>
      </c>
      <c r="E10" s="223"/>
      <c r="F10" s="224"/>
    </row>
    <row r="11" spans="1:9" s="204" customFormat="1" ht="17.25" customHeight="1">
      <c r="A11" s="225"/>
      <c r="C11" s="226"/>
      <c r="D11" s="222"/>
      <c r="E11" s="223"/>
      <c r="F11" s="224"/>
    </row>
    <row r="12" spans="1:9" s="204" customFormat="1" ht="15" customHeight="1">
      <c r="A12" s="225"/>
      <c r="C12" s="226"/>
      <c r="D12" s="222"/>
      <c r="E12" s="223"/>
      <c r="F12" s="224"/>
    </row>
    <row r="13" spans="1:9" s="204" customFormat="1" ht="13.5" hidden="1" customHeight="1">
      <c r="E13" s="223"/>
      <c r="F13" s="224"/>
    </row>
    <row r="14" spans="1:9" s="204" customFormat="1" ht="14.25" hidden="1" customHeight="1">
      <c r="C14" s="226"/>
      <c r="D14" s="222"/>
      <c r="E14" s="227"/>
      <c r="F14" s="224"/>
    </row>
    <row r="15" spans="1:9" s="204" customFormat="1" ht="14.25" hidden="1" customHeight="1">
      <c r="C15" s="226"/>
      <c r="D15" s="222"/>
      <c r="E15" s="227"/>
      <c r="F15" s="224"/>
    </row>
    <row r="16" spans="1:9" s="228" customFormat="1" ht="14.25" hidden="1" customHeight="1">
      <c r="A16" s="204"/>
      <c r="D16" s="229"/>
      <c r="E16" s="227"/>
      <c r="F16" s="224"/>
    </row>
    <row r="17" spans="1:9" s="228" customFormat="1" ht="14.25" hidden="1" customHeight="1">
      <c r="A17" s="204"/>
      <c r="D17" s="229"/>
      <c r="E17" s="227"/>
      <c r="F17" s="224"/>
    </row>
    <row r="18" spans="1:9" s="228" customFormat="1" ht="14.25" hidden="1" customHeight="1">
      <c r="A18" s="204"/>
      <c r="D18" s="230"/>
      <c r="E18" s="227"/>
      <c r="F18" s="224"/>
    </row>
    <row r="19" spans="1:9" s="228" customFormat="1" ht="14.25" hidden="1" customHeight="1">
      <c r="A19" s="204"/>
      <c r="D19" s="230"/>
      <c r="E19" s="227"/>
      <c r="F19" s="224"/>
    </row>
    <row r="20" spans="1:9" s="228" customFormat="1" ht="14.25" hidden="1" customHeight="1">
      <c r="A20" s="204"/>
      <c r="C20" s="231"/>
      <c r="D20" s="222"/>
      <c r="E20" s="227"/>
      <c r="F20" s="224"/>
    </row>
    <row r="21" spans="1:9" s="228" customFormat="1" ht="15" customHeight="1">
      <c r="A21" s="224"/>
      <c r="B21" s="224"/>
      <c r="C21" s="232" t="s">
        <v>9</v>
      </c>
      <c r="D21" s="233"/>
      <c r="E21" s="234">
        <f>D22</f>
        <v>105675.19</v>
      </c>
      <c r="F21" s="235"/>
    </row>
    <row r="22" spans="1:9" s="228" customFormat="1" ht="15.75" customHeight="1" thickBot="1">
      <c r="A22" s="224"/>
      <c r="B22" s="224" t="s">
        <v>8</v>
      </c>
      <c r="C22" s="232" t="s">
        <v>10</v>
      </c>
      <c r="D22" s="236">
        <f>SUM(D9:D20)</f>
        <v>105675.19</v>
      </c>
      <c r="E22" s="237">
        <f>D22</f>
        <v>105675.19</v>
      </c>
      <c r="F22" s="238"/>
    </row>
    <row r="23" spans="1:9" ht="13.5" customHeight="1" thickTop="1">
      <c r="A23" s="208"/>
      <c r="B23" s="208"/>
      <c r="C23" s="208"/>
      <c r="D23" s="239"/>
      <c r="E23" s="240"/>
      <c r="F23" s="212"/>
      <c r="H23" s="206"/>
    </row>
    <row r="24" spans="1:9" s="246" customFormat="1" ht="15" customHeight="1">
      <c r="A24" s="241" t="s">
        <v>11</v>
      </c>
      <c r="B24" s="242"/>
      <c r="C24" s="243" t="s">
        <v>12</v>
      </c>
      <c r="D24" s="244"/>
      <c r="E24" s="245"/>
      <c r="F24" s="242"/>
    </row>
    <row r="25" spans="1:9" s="246" customFormat="1" ht="23.25" customHeight="1">
      <c r="A25" s="669" t="s">
        <v>66</v>
      </c>
      <c r="B25" s="670"/>
      <c r="C25" s="247" t="s">
        <v>13</v>
      </c>
      <c r="D25" s="248"/>
      <c r="E25" s="674">
        <f>E22</f>
        <v>105675.19</v>
      </c>
      <c r="F25" s="675"/>
      <c r="H25" s="249"/>
    </row>
    <row r="26" spans="1:9" s="246" customFormat="1" ht="14.25" customHeight="1">
      <c r="A26" s="671"/>
      <c r="B26" s="670"/>
      <c r="C26" s="247" t="s">
        <v>14</v>
      </c>
      <c r="D26" s="250" t="s">
        <v>67</v>
      </c>
      <c r="E26" s="251"/>
      <c r="F26" s="252"/>
      <c r="H26" s="249"/>
      <c r="I26" s="253"/>
    </row>
    <row r="27" spans="1:9" s="246" customFormat="1" ht="46.5" customHeight="1">
      <c r="A27" s="672"/>
      <c r="B27" s="673"/>
      <c r="C27" s="254" t="s">
        <v>16</v>
      </c>
      <c r="D27" s="270" t="str">
        <f>B6</f>
        <v>SOLITAIRE DIVERSIFIED LOGISTICS PHILIPPINES INC.</v>
      </c>
      <c r="E27" s="255" t="s">
        <v>68</v>
      </c>
      <c r="F27" s="252"/>
      <c r="H27" s="249"/>
      <c r="I27" s="253"/>
    </row>
    <row r="28" spans="1:9" s="246" customFormat="1" ht="3" customHeight="1">
      <c r="A28" s="256" t="s">
        <v>8</v>
      </c>
      <c r="B28" s="256"/>
      <c r="C28" s="247"/>
      <c r="D28" s="248"/>
      <c r="E28" s="257"/>
      <c r="F28" s="258"/>
      <c r="H28" s="249"/>
      <c r="I28" s="253"/>
    </row>
    <row r="29" spans="1:9" ht="14.25" customHeight="1">
      <c r="A29" s="232" t="s">
        <v>17</v>
      </c>
      <c r="B29" s="208"/>
      <c r="C29" s="208" t="s">
        <v>18</v>
      </c>
      <c r="D29" s="209" t="s">
        <v>69</v>
      </c>
      <c r="E29" s="259"/>
      <c r="F29" s="208"/>
      <c r="G29" s="210"/>
    </row>
    <row r="30" spans="1:9" s="246" customFormat="1" ht="14.25" customHeight="1">
      <c r="A30" s="260"/>
      <c r="B30" s="261"/>
      <c r="C30" s="261"/>
      <c r="D30" s="262"/>
      <c r="E30" s="263"/>
      <c r="F30" s="261"/>
      <c r="G30" s="264"/>
      <c r="H30" s="249"/>
    </row>
    <row r="31" spans="1:9" s="246" customFormat="1" ht="13.5" customHeight="1">
      <c r="A31" s="261"/>
      <c r="B31" s="261"/>
      <c r="C31" s="265"/>
      <c r="D31" s="262"/>
      <c r="E31" s="263"/>
      <c r="F31" s="261"/>
      <c r="G31" s="264"/>
      <c r="H31" s="249"/>
    </row>
    <row r="32" spans="1:9" ht="15.2" customHeight="1">
      <c r="A32" s="206" t="s">
        <v>70</v>
      </c>
      <c r="C32" s="266"/>
      <c r="D32" s="206"/>
      <c r="H32" s="210"/>
      <c r="I32" s="207"/>
    </row>
    <row r="33" spans="5:9" ht="18.75" customHeight="1">
      <c r="G33" s="267"/>
    </row>
    <row r="34" spans="5:9">
      <c r="G34" s="267"/>
      <c r="I34" s="268"/>
    </row>
    <row r="37" spans="5:9">
      <c r="E37" s="206"/>
      <c r="H37" s="206"/>
    </row>
  </sheetData>
  <mergeCells count="7">
    <mergeCell ref="A25:B27"/>
    <mergeCell ref="E25:F25"/>
    <mergeCell ref="A1:F1"/>
    <mergeCell ref="A2:F2"/>
    <mergeCell ref="A4:E4"/>
    <mergeCell ref="E5:F5"/>
    <mergeCell ref="A7:B7"/>
  </mergeCells>
  <printOptions horizontalCentered="1"/>
  <pageMargins left="0.3" right="0.3" top="0.2" bottom="0.5" header="0.3" footer="0.3"/>
  <pageSetup scale="83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40"/>
  <sheetViews>
    <sheetView view="pageBreakPreview" zoomScale="82" zoomScaleNormal="100" zoomScaleSheetLayoutView="82" workbookViewId="0">
      <selection activeCell="A26" sqref="A26:B29"/>
    </sheetView>
  </sheetViews>
  <sheetFormatPr defaultColWidth="9.140625" defaultRowHeight="19.5"/>
  <cols>
    <col min="1" max="1" width="11" style="4" customWidth="1"/>
    <col min="2" max="2" width="27.42578125" style="4" customWidth="1"/>
    <col min="3" max="3" width="23.140625" style="4" customWidth="1"/>
    <col min="4" max="4" width="26.425781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1" customHeight="1">
      <c r="A3" s="8"/>
      <c r="B3" s="8"/>
      <c r="C3" s="8"/>
      <c r="D3" s="6"/>
      <c r="E3" s="6"/>
      <c r="F3" s="515" t="s">
        <v>294</v>
      </c>
    </row>
    <row r="4" spans="1:10" ht="20.25" customHeight="1">
      <c r="A4" s="8"/>
      <c r="B4" s="84" t="s">
        <v>2</v>
      </c>
      <c r="C4" s="8"/>
      <c r="D4" s="85" t="s">
        <v>3</v>
      </c>
      <c r="E4" s="683">
        <v>46261</v>
      </c>
      <c r="F4" s="683"/>
    </row>
    <row r="5" spans="1:10" ht="18.75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6.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2.25" customHeight="1">
      <c r="A7" s="92"/>
      <c r="B7" s="92"/>
      <c r="C7" s="84"/>
      <c r="D7" s="93"/>
      <c r="E7" s="93"/>
      <c r="F7" s="84"/>
      <c r="J7" s="88"/>
    </row>
    <row r="8" spans="1:10" ht="15" customHeight="1">
      <c r="A8" s="97"/>
      <c r="B8" s="4" t="s">
        <v>39</v>
      </c>
      <c r="D8" s="135">
        <v>4624.47</v>
      </c>
      <c r="I8" s="4"/>
    </row>
    <row r="9" spans="1:10" s="98" customFormat="1" ht="15" customHeight="1">
      <c r="A9" s="99"/>
      <c r="B9" s="98" t="s">
        <v>171</v>
      </c>
      <c r="D9" s="135">
        <v>4713.3900000000003</v>
      </c>
      <c r="E9" s="100"/>
      <c r="F9" s="101"/>
    </row>
    <row r="10" spans="1:10" s="98" customFormat="1" ht="15" customHeight="1">
      <c r="A10" s="99"/>
      <c r="B10" s="98" t="s">
        <v>40</v>
      </c>
      <c r="D10" s="135">
        <v>6802</v>
      </c>
      <c r="E10" s="100"/>
      <c r="F10" s="101"/>
    </row>
    <row r="11" spans="1:10" s="98" customFormat="1" ht="15" customHeight="1">
      <c r="A11" s="99"/>
      <c r="B11" s="98" t="s">
        <v>172</v>
      </c>
      <c r="D11" s="135">
        <v>7321.43</v>
      </c>
      <c r="E11" s="100"/>
      <c r="F11" s="101"/>
    </row>
    <row r="12" spans="1:10" s="98" customFormat="1" ht="15" customHeight="1">
      <c r="A12" s="99"/>
      <c r="B12" s="98" t="s">
        <v>173</v>
      </c>
      <c r="D12" s="135">
        <v>11620</v>
      </c>
      <c r="E12" s="100"/>
      <c r="F12" s="101"/>
    </row>
    <row r="13" spans="1:10" s="98" customFormat="1" ht="15" customHeight="1">
      <c r="A13" s="99"/>
      <c r="B13" s="98" t="s">
        <v>41</v>
      </c>
      <c r="D13" s="135">
        <v>18727.68</v>
      </c>
      <c r="E13" s="100"/>
      <c r="F13" s="101"/>
    </row>
    <row r="14" spans="1:10" s="98" customFormat="1" ht="15" customHeight="1">
      <c r="A14" s="99"/>
      <c r="B14" s="98" t="s">
        <v>174</v>
      </c>
      <c r="D14" s="135">
        <v>8170.54</v>
      </c>
      <c r="E14" s="100"/>
      <c r="F14" s="101"/>
    </row>
    <row r="15" spans="1:10" s="98" customFormat="1" ht="15.75" customHeight="1">
      <c r="A15" s="99"/>
      <c r="B15" s="98" t="s">
        <v>175</v>
      </c>
      <c r="D15" s="135">
        <v>1117.6400000000001</v>
      </c>
      <c r="E15" s="100"/>
      <c r="F15" s="101"/>
    </row>
    <row r="16" spans="1:10" s="98" customFormat="1" ht="15.75" customHeight="1">
      <c r="A16" s="99"/>
      <c r="B16" s="98" t="s">
        <v>176</v>
      </c>
      <c r="D16" s="135"/>
      <c r="E16" s="100"/>
      <c r="F16" s="101"/>
    </row>
    <row r="17" spans="1:10" s="98" customFormat="1" ht="15" customHeight="1">
      <c r="A17" s="99"/>
      <c r="B17" s="98" t="s">
        <v>177</v>
      </c>
      <c r="D17" s="135">
        <v>1478.57</v>
      </c>
      <c r="E17" s="100"/>
      <c r="F17" s="101"/>
    </row>
    <row r="18" spans="1:10" s="98" customFormat="1" ht="15" hidden="1" customHeight="1">
      <c r="A18" s="99"/>
      <c r="B18" s="98" t="s">
        <v>177</v>
      </c>
      <c r="D18" s="135"/>
      <c r="E18" s="100"/>
      <c r="F18" s="101"/>
    </row>
    <row r="19" spans="1:10" s="98" customFormat="1" ht="15" hidden="1" customHeight="1">
      <c r="A19" s="99"/>
      <c r="B19" s="98" t="s">
        <v>177</v>
      </c>
      <c r="D19" s="135"/>
      <c r="E19" s="100"/>
      <c r="F19" s="101"/>
    </row>
    <row r="20" spans="1:10" s="98" customFormat="1" ht="15" customHeight="1">
      <c r="A20" s="99"/>
      <c r="B20" s="98" t="s">
        <v>178</v>
      </c>
      <c r="D20" s="135">
        <v>558.04</v>
      </c>
      <c r="E20" s="100"/>
      <c r="F20" s="101"/>
    </row>
    <row r="21" spans="1:10" s="111" customFormat="1" ht="9.75" customHeight="1">
      <c r="A21" s="106"/>
      <c r="B21" s="98"/>
      <c r="C21" s="108"/>
      <c r="D21" s="109"/>
      <c r="E21" s="109"/>
      <c r="F21" s="110"/>
    </row>
    <row r="22" spans="1:10" s="516" customFormat="1" ht="19.5" customHeight="1">
      <c r="A22" s="323"/>
      <c r="B22" s="9"/>
      <c r="C22" s="9" t="s">
        <v>9</v>
      </c>
      <c r="D22" s="112">
        <f>SUM(D8:D20)</f>
        <v>65133.760000000002</v>
      </c>
      <c r="E22" s="112">
        <f>D23-E21</f>
        <v>65133.760000000002</v>
      </c>
      <c r="F22" s="113"/>
    </row>
    <row r="23" spans="1:10" s="516" customFormat="1" ht="18" customHeight="1" thickBot="1">
      <c r="A23" s="323"/>
      <c r="B23" s="9" t="s">
        <v>8</v>
      </c>
      <c r="C23" s="9" t="s">
        <v>10</v>
      </c>
      <c r="D23" s="115">
        <f>SUM(D8:D20)</f>
        <v>65133.760000000002</v>
      </c>
      <c r="E23" s="115">
        <f>SUM(E20:E22)</f>
        <v>65133.760000000002</v>
      </c>
      <c r="F23" s="116"/>
    </row>
    <row r="24" spans="1:10" s="98" customFormat="1" ht="9.75" customHeight="1" thickTop="1">
      <c r="A24" s="8"/>
      <c r="B24" s="8"/>
      <c r="C24" s="8" t="s">
        <v>8</v>
      </c>
      <c r="D24" s="104"/>
      <c r="E24" s="104"/>
      <c r="F24" s="84"/>
    </row>
    <row r="25" spans="1:10" ht="17.25" customHeight="1">
      <c r="A25" s="117" t="s">
        <v>11</v>
      </c>
      <c r="B25" s="118"/>
      <c r="C25" s="119" t="s">
        <v>12</v>
      </c>
      <c r="D25" s="120"/>
      <c r="E25" s="120"/>
      <c r="F25" s="118"/>
      <c r="G25" s="3"/>
      <c r="I25" s="4"/>
    </row>
    <row r="26" spans="1:10" ht="33.75" customHeight="1">
      <c r="A26" s="685" t="s">
        <v>295</v>
      </c>
      <c r="B26" s="686"/>
      <c r="C26" s="517" t="s">
        <v>13</v>
      </c>
      <c r="D26" s="84"/>
      <c r="E26" s="689">
        <f>E23-E21</f>
        <v>65133.760000000002</v>
      </c>
      <c r="F26" s="690"/>
      <c r="G26" s="3"/>
      <c r="I26" s="4"/>
    </row>
    <row r="27" spans="1:10" ht="21" customHeight="1">
      <c r="A27" s="685"/>
      <c r="B27" s="686"/>
      <c r="C27" s="84" t="s">
        <v>35</v>
      </c>
      <c r="D27" s="121" t="s">
        <v>36</v>
      </c>
      <c r="E27" s="122"/>
      <c r="F27" s="84"/>
      <c r="G27" s="3"/>
      <c r="I27" s="4"/>
    </row>
    <row r="28" spans="1:10" ht="15" customHeight="1">
      <c r="A28" s="685"/>
      <c r="B28" s="686"/>
      <c r="C28" s="84" t="s">
        <v>37</v>
      </c>
      <c r="D28" s="123"/>
      <c r="E28" s="691"/>
      <c r="F28" s="692"/>
      <c r="G28" s="3"/>
      <c r="I28" s="4"/>
    </row>
    <row r="29" spans="1:10" ht="18.75" customHeight="1">
      <c r="A29" s="687"/>
      <c r="B29" s="688"/>
      <c r="C29" s="86" t="s">
        <v>16</v>
      </c>
      <c r="D29" s="518" t="str">
        <f>B5</f>
        <v>ROY MIRANDA</v>
      </c>
      <c r="E29" s="519" t="s">
        <v>179</v>
      </c>
      <c r="F29" s="124"/>
      <c r="G29" s="3"/>
      <c r="H29" s="125"/>
    </row>
    <row r="30" spans="1:10" s="8" customFormat="1" ht="15" customHeight="1">
      <c r="A30" s="8" t="s">
        <v>17</v>
      </c>
      <c r="C30" s="8" t="s">
        <v>18</v>
      </c>
      <c r="D30" s="6"/>
      <c r="E30" s="7" t="s">
        <v>180</v>
      </c>
      <c r="G30" s="6"/>
      <c r="I30" s="520"/>
      <c r="J30" s="521"/>
    </row>
    <row r="31" spans="1:10" ht="25.5" customHeight="1">
      <c r="A31" s="8"/>
      <c r="B31" s="8"/>
      <c r="C31" s="8"/>
      <c r="D31" s="6"/>
      <c r="E31" s="7"/>
      <c r="F31" s="8"/>
      <c r="G31" s="3"/>
      <c r="J31" s="88"/>
    </row>
    <row r="32" spans="1:10" s="127" customFormat="1" ht="22.5" customHeight="1">
      <c r="A32" s="127" t="s">
        <v>181</v>
      </c>
      <c r="E32" s="522"/>
      <c r="H32" s="522"/>
      <c r="I32" s="523"/>
    </row>
    <row r="33" spans="1:10" ht="1.5" hidden="1" customHeight="1">
      <c r="A33" s="8"/>
      <c r="B33" s="8"/>
      <c r="C33" s="8"/>
      <c r="D33" s="6"/>
      <c r="E33" s="6"/>
      <c r="F33" s="8"/>
      <c r="J33" s="88"/>
    </row>
    <row r="34" spans="1:10" ht="9.75" customHeight="1">
      <c r="H34" s="3"/>
    </row>
    <row r="35" spans="1:10" s="131" customFormat="1" ht="18.75" customHeight="1">
      <c r="A35" s="4"/>
      <c r="B35" s="4"/>
      <c r="C35" s="4"/>
      <c r="D35" s="3"/>
      <c r="E35" s="3"/>
      <c r="F35" s="4"/>
      <c r="H35" s="132"/>
      <c r="I35" s="133"/>
    </row>
    <row r="36" spans="1:10">
      <c r="H36" s="125"/>
      <c r="J36" s="134"/>
    </row>
    <row r="37" spans="1:10">
      <c r="C37" s="4" t="s">
        <v>8</v>
      </c>
      <c r="D37" s="4"/>
      <c r="E37" s="4"/>
    </row>
    <row r="39" spans="1:10">
      <c r="I39" s="4"/>
    </row>
    <row r="40" spans="1:10">
      <c r="D40" s="4"/>
      <c r="E40" s="4"/>
    </row>
  </sheetData>
  <mergeCells count="7">
    <mergeCell ref="A1:F1"/>
    <mergeCell ref="A2:F2"/>
    <mergeCell ref="E4:F4"/>
    <mergeCell ref="A6:B6"/>
    <mergeCell ref="A26:B29"/>
    <mergeCell ref="E26:F26"/>
    <mergeCell ref="E28:F28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="73" zoomScaleNormal="100" zoomScaleSheetLayoutView="73" workbookViewId="0">
      <selection activeCell="A18" sqref="A18:B20"/>
    </sheetView>
  </sheetViews>
  <sheetFormatPr defaultColWidth="9.140625" defaultRowHeight="19.5"/>
  <cols>
    <col min="1" max="1" width="10.140625" style="274" customWidth="1"/>
    <col min="2" max="2" width="25.42578125" style="274" customWidth="1"/>
    <col min="3" max="3" width="14.42578125" style="274" customWidth="1"/>
    <col min="4" max="4" width="23.7109375" style="276" customWidth="1"/>
    <col min="5" max="5" width="50.14062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506" customFormat="1" ht="34.5" customHeight="1">
      <c r="A1" s="693" t="s">
        <v>0</v>
      </c>
      <c r="B1" s="693"/>
      <c r="C1" s="693"/>
      <c r="D1" s="693"/>
      <c r="E1" s="693"/>
      <c r="F1" s="693"/>
      <c r="I1" s="559"/>
    </row>
    <row r="2" spans="1:10" ht="24.75" customHeight="1">
      <c r="A2" s="694" t="s">
        <v>1</v>
      </c>
      <c r="B2" s="694"/>
      <c r="C2" s="694"/>
      <c r="D2" s="694"/>
      <c r="E2" s="694"/>
      <c r="F2" s="694"/>
    </row>
    <row r="3" spans="1:10" ht="21.75" customHeight="1">
      <c r="F3" s="277" t="s">
        <v>267</v>
      </c>
    </row>
    <row r="4" spans="1:10" ht="6.75" customHeight="1">
      <c r="A4" s="695"/>
      <c r="B4" s="695"/>
      <c r="C4" s="695"/>
      <c r="D4" s="695"/>
      <c r="E4" s="695"/>
    </row>
    <row r="5" spans="1:10" ht="22.5" customHeight="1">
      <c r="B5" s="278" t="s">
        <v>2</v>
      </c>
      <c r="D5" s="279" t="s">
        <v>3</v>
      </c>
      <c r="E5" s="560">
        <v>46261</v>
      </c>
      <c r="F5" s="561"/>
    </row>
    <row r="6" spans="1:10" s="272" customFormat="1" ht="19.5" customHeight="1">
      <c r="A6" s="302" t="s">
        <v>4</v>
      </c>
      <c r="B6" s="562" t="s">
        <v>199</v>
      </c>
      <c r="C6" s="302"/>
      <c r="D6" s="301"/>
      <c r="E6" s="563"/>
      <c r="I6" s="273"/>
      <c r="J6" s="564"/>
    </row>
    <row r="7" spans="1:10" s="272" customFormat="1" ht="15.75" customHeight="1">
      <c r="A7" s="696"/>
      <c r="B7" s="696"/>
      <c r="C7" s="302"/>
      <c r="D7" s="565" t="s">
        <v>5</v>
      </c>
      <c r="E7" s="566" t="s">
        <v>6</v>
      </c>
      <c r="F7" s="567"/>
      <c r="G7" s="272" t="s">
        <v>7</v>
      </c>
      <c r="I7" s="273"/>
      <c r="J7" s="564"/>
    </row>
    <row r="8" spans="1:10" ht="13.5" customHeight="1">
      <c r="A8" s="286"/>
      <c r="B8" s="286"/>
      <c r="C8" s="278"/>
      <c r="D8" s="287"/>
      <c r="E8" s="287"/>
      <c r="F8" s="278"/>
      <c r="J8" s="282"/>
    </row>
    <row r="9" spans="1:10" ht="12.75" customHeight="1">
      <c r="A9" s="288"/>
      <c r="B9" s="289"/>
      <c r="C9" s="289"/>
      <c r="I9" s="274"/>
    </row>
    <row r="10" spans="1:10" s="572" customFormat="1" ht="19.5" customHeight="1">
      <c r="A10" s="568"/>
      <c r="B10" s="569" t="s">
        <v>200</v>
      </c>
      <c r="C10" s="570"/>
      <c r="D10" s="571">
        <v>12000</v>
      </c>
      <c r="E10" s="571"/>
    </row>
    <row r="11" spans="1:10" s="272" customFormat="1" ht="13.5" customHeight="1">
      <c r="A11" s="298"/>
      <c r="B11" s="295"/>
      <c r="C11" s="299"/>
      <c r="D11" s="300"/>
      <c r="E11" s="300"/>
    </row>
    <row r="12" spans="1:10" s="272" customFormat="1" ht="13.5" customHeight="1">
      <c r="A12" s="298"/>
      <c r="B12" s="295"/>
      <c r="C12" s="573"/>
      <c r="D12" s="300"/>
      <c r="E12" s="300"/>
    </row>
    <row r="13" spans="1:10" s="272" customFormat="1" ht="15.75" customHeight="1">
      <c r="A13" s="298"/>
      <c r="B13" s="295"/>
      <c r="C13" s="299"/>
      <c r="D13" s="300"/>
      <c r="E13" s="300"/>
    </row>
    <row r="14" spans="1:10" s="294" customFormat="1" ht="15.75" customHeight="1">
      <c r="B14" s="294" t="s">
        <v>8</v>
      </c>
      <c r="C14" s="294" t="s">
        <v>9</v>
      </c>
      <c r="D14" s="574"/>
      <c r="E14" s="574">
        <f>D15</f>
        <v>12000</v>
      </c>
      <c r="F14" s="575"/>
    </row>
    <row r="15" spans="1:10" s="294" customFormat="1" ht="22.5" customHeight="1" thickBot="1">
      <c r="B15" s="294" t="s">
        <v>8</v>
      </c>
      <c r="C15" s="294" t="s">
        <v>10</v>
      </c>
      <c r="D15" s="576">
        <f>SUM(D10:D14)</f>
        <v>12000</v>
      </c>
      <c r="E15" s="576">
        <f>E14-E13</f>
        <v>12000</v>
      </c>
      <c r="F15" s="577"/>
    </row>
    <row r="16" spans="1:10" ht="6.75" customHeight="1" thickTop="1">
      <c r="D16" s="305"/>
      <c r="E16" s="305"/>
      <c r="F16" s="278"/>
      <c r="I16" s="274"/>
    </row>
    <row r="17" spans="1:10" ht="19.5" customHeight="1">
      <c r="A17" s="306" t="s">
        <v>11</v>
      </c>
      <c r="B17" s="307"/>
      <c r="C17" s="308" t="s">
        <v>12</v>
      </c>
      <c r="D17" s="309"/>
      <c r="E17" s="309"/>
      <c r="F17" s="307"/>
      <c r="I17" s="274"/>
    </row>
    <row r="18" spans="1:10" ht="23.25" customHeight="1">
      <c r="A18" s="697" t="s">
        <v>268</v>
      </c>
      <c r="B18" s="698"/>
      <c r="C18" s="278" t="s">
        <v>13</v>
      </c>
      <c r="D18" s="278"/>
      <c r="E18" s="578">
        <f>E15</f>
        <v>12000</v>
      </c>
      <c r="F18" s="579"/>
    </row>
    <row r="19" spans="1:10" s="272" customFormat="1" ht="19.5" customHeight="1">
      <c r="A19" s="699"/>
      <c r="B19" s="698"/>
      <c r="C19" s="563" t="s">
        <v>14</v>
      </c>
      <c r="D19" s="1" t="s">
        <v>15</v>
      </c>
      <c r="E19" s="580"/>
      <c r="F19" s="581"/>
      <c r="I19" s="273"/>
      <c r="J19" s="564"/>
    </row>
    <row r="20" spans="1:10" ht="61.5" customHeight="1">
      <c r="A20" s="700"/>
      <c r="B20" s="701"/>
      <c r="C20" s="2" t="s">
        <v>16</v>
      </c>
      <c r="D20" s="2" t="str">
        <f>B6</f>
        <v>QUENN MARIA CAPELLA SECURITY AGENCY//ROY MIRANDA</v>
      </c>
      <c r="E20" s="582"/>
      <c r="F20" s="314"/>
      <c r="J20" s="282"/>
    </row>
    <row r="21" spans="1:10" ht="11.25" customHeight="1">
      <c r="A21" s="317"/>
      <c r="B21" s="317"/>
      <c r="C21" s="278"/>
      <c r="D21" s="318"/>
      <c r="E21" s="305"/>
      <c r="F21" s="278"/>
      <c r="J21" s="282"/>
    </row>
    <row r="22" spans="1:10" s="272" customFormat="1" ht="15" customHeight="1">
      <c r="A22" s="272" t="s">
        <v>17</v>
      </c>
      <c r="C22" s="272" t="s">
        <v>18</v>
      </c>
      <c r="E22" s="300" t="s">
        <v>201</v>
      </c>
      <c r="H22" s="300"/>
      <c r="I22" s="273"/>
    </row>
    <row r="23" spans="1:10" s="315" customFormat="1" ht="15" customHeight="1">
      <c r="E23" s="321"/>
      <c r="H23" s="321"/>
      <c r="I23" s="322"/>
    </row>
    <row r="24" spans="1:10" ht="15.75" customHeight="1">
      <c r="H24" s="276"/>
    </row>
    <row r="25" spans="1:10" s="323" customFormat="1" ht="15.2" customHeight="1">
      <c r="A25" s="323" t="s">
        <v>198</v>
      </c>
      <c r="E25" s="3"/>
      <c r="H25" s="3"/>
      <c r="I25" s="324"/>
    </row>
    <row r="26" spans="1:10" ht="18.75" customHeight="1">
      <c r="A26" s="274" t="s">
        <v>8</v>
      </c>
      <c r="H26" s="325"/>
    </row>
    <row r="27" spans="1:10">
      <c r="H27" s="325"/>
      <c r="J27" s="326"/>
    </row>
    <row r="30" spans="1:10">
      <c r="C30" s="274" t="s">
        <v>8</v>
      </c>
      <c r="D30" s="274"/>
      <c r="E30" s="274"/>
      <c r="I30" s="274"/>
    </row>
  </sheetData>
  <mergeCells count="5">
    <mergeCell ref="A1:F1"/>
    <mergeCell ref="A2:F2"/>
    <mergeCell ref="A4:E4"/>
    <mergeCell ref="A7:B7"/>
    <mergeCell ref="A18:B20"/>
  </mergeCells>
  <printOptions horizontalCentered="1"/>
  <pageMargins left="0.25" right="0.25" top="0.75" bottom="0.75" header="0.3" footer="0.3"/>
  <pageSetup scale="76" orientation="portrait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BreakPreview" zoomScale="69" zoomScaleNormal="100" zoomScaleSheetLayoutView="69" workbookViewId="0">
      <selection activeCell="A23" sqref="A23:B25"/>
    </sheetView>
  </sheetViews>
  <sheetFormatPr defaultColWidth="9.140625" defaultRowHeight="19.5"/>
  <cols>
    <col min="1" max="1" width="11" style="4" customWidth="1"/>
    <col min="2" max="2" width="27.42578125" style="4" customWidth="1"/>
    <col min="3" max="3" width="25.5703125" style="4" customWidth="1"/>
    <col min="4" max="4" width="27.5703125" style="3" customWidth="1"/>
    <col min="5" max="5" width="21.85546875" style="3" customWidth="1"/>
    <col min="6" max="6" width="20.85546875" style="451" customWidth="1"/>
    <col min="7" max="7" width="17.42578125" style="451" customWidth="1"/>
    <col min="8" max="8" width="12.5703125" style="4" customWidth="1"/>
    <col min="9" max="9" width="13.28515625" style="5" customWidth="1"/>
    <col min="10" max="10" width="14.7109375" style="4" customWidth="1"/>
    <col min="11" max="16384" width="9.140625" style="4"/>
  </cols>
  <sheetData>
    <row r="1" spans="1:10" s="525" customFormat="1" ht="23.25" customHeight="1">
      <c r="A1" s="710" t="s">
        <v>0</v>
      </c>
      <c r="B1" s="710"/>
      <c r="C1" s="710"/>
      <c r="D1" s="710"/>
      <c r="E1" s="710"/>
      <c r="F1" s="710"/>
      <c r="G1" s="451"/>
      <c r="I1" s="526"/>
    </row>
    <row r="2" spans="1:10" s="525" customFormat="1" ht="15" customHeight="1">
      <c r="A2" s="711" t="s">
        <v>1</v>
      </c>
      <c r="B2" s="711"/>
      <c r="C2" s="711"/>
      <c r="D2" s="711"/>
      <c r="E2" s="711"/>
      <c r="F2" s="711"/>
      <c r="G2" s="451"/>
      <c r="I2" s="526"/>
    </row>
    <row r="3" spans="1:10" s="525" customFormat="1" ht="25.5" customHeight="1">
      <c r="D3" s="527"/>
      <c r="E3" s="527"/>
      <c r="F3" s="528" t="s">
        <v>265</v>
      </c>
      <c r="G3" s="451"/>
      <c r="I3" s="526"/>
    </row>
    <row r="4" spans="1:10" s="525" customFormat="1" ht="20.25" customHeight="1">
      <c r="B4" s="529" t="s">
        <v>2</v>
      </c>
      <c r="D4" s="530" t="s">
        <v>3</v>
      </c>
      <c r="E4" s="712">
        <v>46261</v>
      </c>
      <c r="F4" s="712"/>
      <c r="G4" s="451"/>
      <c r="I4" s="526"/>
    </row>
    <row r="5" spans="1:10" ht="24.75" customHeight="1">
      <c r="A5" s="113" t="s">
        <v>4</v>
      </c>
      <c r="B5" s="113" t="s">
        <v>184</v>
      </c>
      <c r="C5" s="113"/>
      <c r="D5" s="112"/>
      <c r="E5" s="531"/>
      <c r="F5" s="465"/>
      <c r="J5" s="88"/>
    </row>
    <row r="6" spans="1:10" ht="15" customHeight="1">
      <c r="A6" s="713"/>
      <c r="B6" s="713"/>
      <c r="C6" s="113"/>
      <c r="D6" s="532" t="s">
        <v>5</v>
      </c>
      <c r="E6" s="533" t="s">
        <v>6</v>
      </c>
      <c r="F6" s="534"/>
      <c r="G6" s="451" t="s">
        <v>7</v>
      </c>
      <c r="J6" s="88"/>
    </row>
    <row r="7" spans="1:10" ht="23.25" customHeight="1">
      <c r="A7" s="714" t="s">
        <v>185</v>
      </c>
      <c r="B7" s="714"/>
      <c r="C7" s="714"/>
      <c r="D7" s="715"/>
      <c r="E7" s="714"/>
      <c r="F7" s="714"/>
      <c r="I7" s="4"/>
    </row>
    <row r="8" spans="1:10" ht="18" customHeight="1">
      <c r="A8" s="462"/>
      <c r="B8" s="535" t="s">
        <v>186</v>
      </c>
      <c r="C8" s="9"/>
      <c r="D8" s="536">
        <v>84149.91</v>
      </c>
      <c r="E8" s="464"/>
      <c r="F8" s="465"/>
      <c r="I8" s="4"/>
    </row>
    <row r="9" spans="1:10" ht="18" customHeight="1">
      <c r="A9" s="537"/>
      <c r="B9" s="535" t="s">
        <v>187</v>
      </c>
      <c r="C9" s="538"/>
      <c r="D9" s="536">
        <v>5009.3599999999997</v>
      </c>
      <c r="E9" s="96"/>
      <c r="F9" s="539"/>
      <c r="I9" s="4"/>
    </row>
    <row r="10" spans="1:10" ht="21" customHeight="1">
      <c r="A10" s="537"/>
      <c r="B10" s="535" t="s">
        <v>188</v>
      </c>
      <c r="C10" s="538"/>
      <c r="D10" s="536"/>
      <c r="E10" s="96"/>
      <c r="F10" s="539"/>
      <c r="I10" s="4"/>
    </row>
    <row r="11" spans="1:10" s="98" customFormat="1" ht="15" customHeight="1">
      <c r="A11" s="537"/>
      <c r="B11" s="535"/>
      <c r="C11" s="535"/>
      <c r="D11" s="96"/>
      <c r="E11" s="96"/>
      <c r="F11" s="539"/>
      <c r="G11" s="540"/>
    </row>
    <row r="12" spans="1:10" s="98" customFormat="1" ht="19.5" customHeight="1">
      <c r="A12" s="537"/>
      <c r="B12" s="535"/>
      <c r="C12" s="541" t="s">
        <v>189</v>
      </c>
      <c r="D12" s="446"/>
      <c r="E12" s="446">
        <v>1100</v>
      </c>
      <c r="F12" s="539"/>
      <c r="G12" s="540"/>
    </row>
    <row r="13" spans="1:10" s="98" customFormat="1" ht="18" customHeight="1">
      <c r="A13" s="537"/>
      <c r="B13" s="535"/>
      <c r="C13" s="541" t="s">
        <v>190</v>
      </c>
      <c r="D13" s="541"/>
      <c r="E13" s="446">
        <v>3600</v>
      </c>
      <c r="F13" s="539"/>
      <c r="G13" s="540"/>
    </row>
    <row r="14" spans="1:10" s="98" customFormat="1" ht="15" customHeight="1">
      <c r="A14" s="537"/>
      <c r="B14" s="535"/>
      <c r="C14" s="541" t="s">
        <v>191</v>
      </c>
      <c r="D14" s="541"/>
      <c r="E14" s="446">
        <v>1375</v>
      </c>
      <c r="F14" s="539"/>
      <c r="G14" s="540"/>
    </row>
    <row r="15" spans="1:10" s="98" customFormat="1" ht="15" hidden="1" customHeight="1">
      <c r="A15" s="537"/>
      <c r="B15" s="535"/>
      <c r="C15" s="541" t="s">
        <v>192</v>
      </c>
      <c r="D15" s="541"/>
      <c r="E15" s="446"/>
      <c r="F15" s="539"/>
      <c r="G15" s="540"/>
    </row>
    <row r="16" spans="1:10" s="98" customFormat="1" ht="18" customHeight="1">
      <c r="A16" s="542"/>
      <c r="B16" s="535"/>
      <c r="C16" s="541" t="s">
        <v>193</v>
      </c>
      <c r="D16" s="446"/>
      <c r="E16" s="446">
        <v>3175.99</v>
      </c>
      <c r="F16" s="543"/>
      <c r="G16" s="540"/>
    </row>
    <row r="17" spans="1:10" s="98" customFormat="1" ht="15" customHeight="1">
      <c r="A17" s="542"/>
      <c r="B17" s="535"/>
      <c r="C17" s="103" t="s">
        <v>194</v>
      </c>
      <c r="D17" s="103"/>
      <c r="E17" s="544">
        <v>2101</v>
      </c>
      <c r="F17" s="543"/>
      <c r="G17" s="540"/>
    </row>
    <row r="18" spans="1:10" s="98" customFormat="1" ht="17.25" customHeight="1">
      <c r="A18" s="542"/>
      <c r="B18" s="535"/>
      <c r="C18" s="103" t="s">
        <v>195</v>
      </c>
      <c r="D18" s="103"/>
      <c r="E18" s="544">
        <v>443.28</v>
      </c>
      <c r="F18" s="543"/>
      <c r="G18" s="540"/>
    </row>
    <row r="19" spans="1:10" s="98" customFormat="1" ht="6" customHeight="1">
      <c r="A19" s="542"/>
      <c r="B19" s="535"/>
      <c r="C19" s="541"/>
      <c r="D19" s="96"/>
      <c r="E19" s="96"/>
      <c r="F19" s="543"/>
      <c r="G19" s="540"/>
    </row>
    <row r="20" spans="1:10" s="98" customFormat="1" ht="24.75" customHeight="1">
      <c r="A20" s="8"/>
      <c r="B20" s="8"/>
      <c r="C20" s="8" t="s">
        <v>10</v>
      </c>
      <c r="D20" s="545">
        <f>SUM(D8:D16)</f>
        <v>89159.27</v>
      </c>
      <c r="E20" s="545">
        <f>SUM(E12:E18)</f>
        <v>11795.27</v>
      </c>
      <c r="F20" s="546"/>
      <c r="G20" s="540"/>
    </row>
    <row r="21" spans="1:10" s="98" customFormat="1" ht="18.75" customHeight="1" thickBot="1">
      <c r="A21" s="8"/>
      <c r="B21" s="8" t="s">
        <v>8</v>
      </c>
      <c r="C21" s="8" t="s">
        <v>9</v>
      </c>
      <c r="D21" s="115"/>
      <c r="E21" s="115">
        <f>D20-E20</f>
        <v>77364</v>
      </c>
      <c r="F21" s="547"/>
      <c r="G21" s="540"/>
    </row>
    <row r="22" spans="1:10" s="98" customFormat="1" ht="16.5" customHeight="1" thickTop="1">
      <c r="A22" s="548" t="s">
        <v>11</v>
      </c>
      <c r="B22" s="549"/>
      <c r="C22" s="550" t="s">
        <v>12</v>
      </c>
      <c r="D22" s="551"/>
      <c r="E22" s="551"/>
      <c r="F22" s="552"/>
      <c r="G22" s="540"/>
    </row>
    <row r="23" spans="1:10" s="98" customFormat="1" ht="19.5" customHeight="1">
      <c r="A23" s="702" t="s">
        <v>266</v>
      </c>
      <c r="B23" s="703"/>
      <c r="C23" s="531" t="s">
        <v>13</v>
      </c>
      <c r="D23" s="553"/>
      <c r="E23" s="706">
        <f>D20-E20</f>
        <v>77364</v>
      </c>
      <c r="F23" s="707"/>
      <c r="G23" s="540">
        <v>92062.02</v>
      </c>
    </row>
    <row r="24" spans="1:10" ht="19.5" customHeight="1">
      <c r="A24" s="702"/>
      <c r="B24" s="703"/>
      <c r="C24" s="531" t="s">
        <v>14</v>
      </c>
      <c r="D24" s="121" t="s">
        <v>94</v>
      </c>
      <c r="E24" s="464"/>
      <c r="F24" s="554"/>
      <c r="G24" s="451">
        <f>E23-G23</f>
        <v>-14698.020000000004</v>
      </c>
      <c r="I24" s="4"/>
    </row>
    <row r="25" spans="1:10" ht="51" customHeight="1">
      <c r="A25" s="704"/>
      <c r="B25" s="705"/>
      <c r="C25" s="113" t="s">
        <v>16</v>
      </c>
      <c r="D25" s="708" t="str">
        <f>B5</f>
        <v>METRO DAVAO SUPREME PUMPS INDUSTRIES INC.//ROY MIRANDA</v>
      </c>
      <c r="E25" s="708"/>
      <c r="F25" s="709"/>
      <c r="G25" s="451">
        <f>F49</f>
        <v>0</v>
      </c>
      <c r="I25" s="4"/>
    </row>
    <row r="26" spans="1:10" s="8" customFormat="1" ht="15" customHeight="1">
      <c r="A26" s="449" t="s">
        <v>17</v>
      </c>
      <c r="B26" s="449"/>
      <c r="C26" s="449" t="s">
        <v>196</v>
      </c>
      <c r="D26" s="6" t="s">
        <v>197</v>
      </c>
      <c r="E26" s="7"/>
      <c r="F26" s="450"/>
      <c r="G26" s="450"/>
    </row>
    <row r="27" spans="1:10" ht="24" customHeight="1">
      <c r="A27" s="9"/>
      <c r="B27" s="9" t="s">
        <v>8</v>
      </c>
      <c r="C27" s="9"/>
      <c r="D27" s="464"/>
      <c r="E27" s="555"/>
      <c r="F27" s="465"/>
      <c r="I27" s="4"/>
    </row>
    <row r="28" spans="1:10" s="556" customFormat="1" ht="15.2" customHeight="1">
      <c r="A28" s="323" t="s">
        <v>198</v>
      </c>
      <c r="E28" s="557"/>
      <c r="H28" s="557"/>
      <c r="I28" s="558"/>
    </row>
    <row r="29" spans="1:10">
      <c r="H29" s="125"/>
      <c r="J29" s="134"/>
    </row>
    <row r="30" spans="1:10">
      <c r="C30" s="4" t="s">
        <v>8</v>
      </c>
      <c r="D30" s="4"/>
      <c r="E30" s="4"/>
    </row>
    <row r="31" spans="1:10">
      <c r="F31" s="451">
        <v>5085.47</v>
      </c>
    </row>
    <row r="32" spans="1:10">
      <c r="F32" s="451">
        <v>5827</v>
      </c>
      <c r="I32" s="4"/>
    </row>
    <row r="33" spans="4:9">
      <c r="D33" s="4"/>
      <c r="E33" s="4"/>
      <c r="F33" s="451">
        <v>3888</v>
      </c>
    </row>
    <row r="34" spans="4:9">
      <c r="F34" s="451">
        <v>5381.09</v>
      </c>
    </row>
    <row r="35" spans="4:9">
      <c r="F35" s="451">
        <v>4845</v>
      </c>
    </row>
    <row r="36" spans="4:9">
      <c r="F36" s="451">
        <v>4850</v>
      </c>
    </row>
    <row r="37" spans="4:9">
      <c r="F37" s="451">
        <v>8947.31</v>
      </c>
    </row>
    <row r="38" spans="4:9">
      <c r="F38" s="451">
        <v>6990.72</v>
      </c>
    </row>
    <row r="39" spans="4:9">
      <c r="F39" s="451">
        <v>6308</v>
      </c>
    </row>
    <row r="40" spans="4:9">
      <c r="F40" s="451">
        <v>8560</v>
      </c>
    </row>
    <row r="41" spans="4:9">
      <c r="F41" s="451">
        <v>7439.62</v>
      </c>
    </row>
    <row r="42" spans="4:9">
      <c r="F42" s="451">
        <v>3126.22</v>
      </c>
      <c r="G42" s="4"/>
    </row>
    <row r="43" spans="4:9">
      <c r="F43" s="451">
        <v>7391.54</v>
      </c>
    </row>
    <row r="44" spans="4:9">
      <c r="F44" s="451">
        <v>4374</v>
      </c>
    </row>
    <row r="45" spans="4:9">
      <c r="F45" s="451">
        <v>5832</v>
      </c>
    </row>
    <row r="46" spans="4:9">
      <c r="D46" s="4"/>
      <c r="E46" s="4"/>
      <c r="F46" s="451">
        <v>6350</v>
      </c>
      <c r="G46" s="4"/>
      <c r="I46" s="4"/>
    </row>
    <row r="47" spans="4:9">
      <c r="D47" s="4"/>
      <c r="E47" s="4"/>
      <c r="F47" s="451">
        <f>SUM(F31:F46)</f>
        <v>95195.97</v>
      </c>
      <c r="G47" s="4"/>
      <c r="I47" s="4"/>
    </row>
    <row r="48" spans="4:9">
      <c r="D48" s="4"/>
      <c r="E48" s="4"/>
      <c r="G48" s="4"/>
      <c r="I48" s="4"/>
    </row>
    <row r="49" spans="4:9">
      <c r="D49" s="4"/>
      <c r="E49" s="4"/>
      <c r="G49" s="4"/>
      <c r="I49" s="4"/>
    </row>
  </sheetData>
  <mergeCells count="8">
    <mergeCell ref="A23:B25"/>
    <mergeCell ref="E23:F23"/>
    <mergeCell ref="D25:F25"/>
    <mergeCell ref="A1:F1"/>
    <mergeCell ref="A2:F2"/>
    <mergeCell ref="E4:F4"/>
    <mergeCell ref="A6:B6"/>
    <mergeCell ref="A7:F7"/>
  </mergeCells>
  <printOptions horizontalCentered="1"/>
  <pageMargins left="0.52" right="0.12" top="0.21" bottom="0.75" header="0.25" footer="0.3"/>
  <pageSetup scale="70" fitToWidth="0" fitToHeight="0" orientation="portrait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F12" sqref="F12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263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46261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664"/>
      <c r="B8" s="664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24" customHeight="1">
      <c r="A10" s="97"/>
      <c r="B10" s="98" t="s">
        <v>115</v>
      </c>
      <c r="C10" s="136"/>
      <c r="D10" s="96">
        <v>35000</v>
      </c>
      <c r="F10" s="98"/>
      <c r="I10" s="4"/>
    </row>
    <row r="11" spans="1:10" s="98" customFormat="1" ht="21" customHeight="1">
      <c r="A11" s="99"/>
      <c r="B11" s="103" t="s">
        <v>114</v>
      </c>
      <c r="C11" s="136"/>
      <c r="D11" s="96"/>
      <c r="E11" s="100"/>
      <c r="F11" s="101"/>
    </row>
    <row r="12" spans="1:10" s="98" customForma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35000</v>
      </c>
      <c r="E16" s="112">
        <f>D17-E15</f>
        <v>35000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35000</v>
      </c>
      <c r="E17" s="115">
        <f>SUM(E12:E16)</f>
        <v>35000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264</v>
      </c>
      <c r="B20" s="717"/>
      <c r="C20" s="84" t="s">
        <v>13</v>
      </c>
      <c r="D20" s="84"/>
      <c r="E20" s="689">
        <f>E17-E15</f>
        <v>35000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40"/>
  <sheetViews>
    <sheetView view="pageBreakPreview" topLeftCell="A4" zoomScale="82" zoomScaleNormal="100" zoomScaleSheetLayoutView="82" workbookViewId="0">
      <selection activeCell="I23" sqref="I23"/>
    </sheetView>
  </sheetViews>
  <sheetFormatPr defaultColWidth="9.140625" defaultRowHeight="19.5"/>
  <cols>
    <col min="1" max="1" width="11" style="4" customWidth="1"/>
    <col min="2" max="2" width="27.42578125" style="4" customWidth="1"/>
    <col min="3" max="3" width="23.140625" style="4" customWidth="1"/>
    <col min="4" max="4" width="26.425781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1" customHeight="1">
      <c r="A3" s="8"/>
      <c r="B3" s="8"/>
      <c r="C3" s="8"/>
      <c r="D3" s="6"/>
      <c r="E3" s="6"/>
      <c r="F3" s="515" t="s">
        <v>261</v>
      </c>
    </row>
    <row r="4" spans="1:10" ht="20.25" customHeight="1">
      <c r="A4" s="8"/>
      <c r="B4" s="84" t="s">
        <v>2</v>
      </c>
      <c r="C4" s="8"/>
      <c r="D4" s="85" t="s">
        <v>3</v>
      </c>
      <c r="E4" s="683">
        <v>46258</v>
      </c>
      <c r="F4" s="683"/>
    </row>
    <row r="5" spans="1:10" ht="18.75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6.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2.25" customHeight="1">
      <c r="A7" s="92"/>
      <c r="B7" s="92"/>
      <c r="C7" s="84"/>
      <c r="D7" s="93"/>
      <c r="E7" s="93"/>
      <c r="F7" s="84"/>
      <c r="J7" s="88"/>
    </row>
    <row r="8" spans="1:10" ht="15" customHeight="1">
      <c r="A8" s="97"/>
      <c r="B8" s="4" t="s">
        <v>39</v>
      </c>
      <c r="D8" s="135">
        <v>2764.54</v>
      </c>
      <c r="I8" s="4"/>
    </row>
    <row r="9" spans="1:10" s="98" customFormat="1" ht="15" customHeight="1">
      <c r="A9" s="99"/>
      <c r="B9" s="98" t="s">
        <v>171</v>
      </c>
      <c r="D9" s="135">
        <v>4530.41</v>
      </c>
      <c r="E9" s="100"/>
      <c r="F9" s="101"/>
    </row>
    <row r="10" spans="1:10" s="98" customFormat="1" ht="15" customHeight="1">
      <c r="A10" s="99"/>
      <c r="B10" s="98" t="s">
        <v>40</v>
      </c>
      <c r="D10" s="135">
        <v>6201</v>
      </c>
      <c r="E10" s="100"/>
      <c r="F10" s="101"/>
    </row>
    <row r="11" spans="1:10" s="98" customFormat="1" ht="15" customHeight="1">
      <c r="A11" s="99"/>
      <c r="B11" s="98" t="s">
        <v>172</v>
      </c>
      <c r="D11" s="135">
        <v>714.29</v>
      </c>
      <c r="E11" s="100"/>
      <c r="F11" s="101"/>
    </row>
    <row r="12" spans="1:10" s="98" customFormat="1" ht="15" customHeight="1">
      <c r="A12" s="99"/>
      <c r="B12" s="98" t="s">
        <v>173</v>
      </c>
      <c r="D12" s="135">
        <v>11450.11</v>
      </c>
      <c r="E12" s="100"/>
      <c r="F12" s="101"/>
    </row>
    <row r="13" spans="1:10" s="98" customFormat="1" ht="15" customHeight="1">
      <c r="A13" s="99"/>
      <c r="B13" s="98" t="s">
        <v>41</v>
      </c>
      <c r="D13" s="135">
        <v>17921.68</v>
      </c>
      <c r="E13" s="100"/>
      <c r="F13" s="101"/>
    </row>
    <row r="14" spans="1:10" s="98" customFormat="1" ht="15" customHeight="1">
      <c r="A14" s="99"/>
      <c r="B14" s="98" t="s">
        <v>174</v>
      </c>
      <c r="D14" s="135">
        <v>3083.57</v>
      </c>
      <c r="E14" s="100"/>
      <c r="F14" s="101"/>
    </row>
    <row r="15" spans="1:10" s="98" customFormat="1" ht="15.75" customHeight="1">
      <c r="A15" s="99"/>
      <c r="B15" s="98" t="s">
        <v>175</v>
      </c>
      <c r="D15" s="135"/>
      <c r="E15" s="100"/>
      <c r="F15" s="101"/>
    </row>
    <row r="16" spans="1:10" s="98" customFormat="1" ht="15.75" customHeight="1">
      <c r="A16" s="99"/>
      <c r="B16" s="98" t="s">
        <v>176</v>
      </c>
      <c r="D16" s="135">
        <v>2979.2</v>
      </c>
      <c r="E16" s="100"/>
      <c r="F16" s="101"/>
    </row>
    <row r="17" spans="1:10" s="98" customFormat="1" ht="15" customHeight="1">
      <c r="A17" s="99"/>
      <c r="B17" s="98" t="s">
        <v>177</v>
      </c>
      <c r="D17" s="135">
        <v>11303.57</v>
      </c>
      <c r="E17" s="100"/>
      <c r="F17" s="101"/>
    </row>
    <row r="18" spans="1:10" s="98" customFormat="1" ht="15" hidden="1" customHeight="1">
      <c r="A18" s="99"/>
      <c r="B18" s="98" t="s">
        <v>177</v>
      </c>
      <c r="D18" s="135"/>
      <c r="E18" s="100"/>
      <c r="F18" s="101"/>
    </row>
    <row r="19" spans="1:10" s="98" customFormat="1" ht="15" hidden="1" customHeight="1">
      <c r="A19" s="99"/>
      <c r="B19" s="98" t="s">
        <v>177</v>
      </c>
      <c r="D19" s="135"/>
      <c r="E19" s="100"/>
      <c r="F19" s="101"/>
    </row>
    <row r="20" spans="1:10" s="98" customFormat="1" ht="15" customHeight="1">
      <c r="A20" s="99"/>
      <c r="B20" s="98" t="s">
        <v>178</v>
      </c>
      <c r="D20" s="135">
        <v>3065</v>
      </c>
      <c r="E20" s="100"/>
      <c r="F20" s="101"/>
    </row>
    <row r="21" spans="1:10" s="111" customFormat="1" ht="9.75" customHeight="1">
      <c r="A21" s="106"/>
      <c r="B21" s="98"/>
      <c r="C21" s="108"/>
      <c r="D21" s="109"/>
      <c r="E21" s="109"/>
      <c r="F21" s="110"/>
    </row>
    <row r="22" spans="1:10" s="516" customFormat="1" ht="19.5" customHeight="1">
      <c r="A22" s="323"/>
      <c r="B22" s="9"/>
      <c r="C22" s="9" t="s">
        <v>9</v>
      </c>
      <c r="D22" s="112">
        <f>SUM(D8:D20)</f>
        <v>64013.369999999995</v>
      </c>
      <c r="E22" s="112">
        <f>D23-E21</f>
        <v>64013.369999999995</v>
      </c>
      <c r="F22" s="113"/>
    </row>
    <row r="23" spans="1:10" s="516" customFormat="1" ht="18" customHeight="1" thickBot="1">
      <c r="A23" s="323"/>
      <c r="B23" s="9" t="s">
        <v>8</v>
      </c>
      <c r="C23" s="9" t="s">
        <v>10</v>
      </c>
      <c r="D23" s="115">
        <f>SUM(D8:D20)</f>
        <v>64013.369999999995</v>
      </c>
      <c r="E23" s="115">
        <f>SUM(E20:E22)</f>
        <v>64013.369999999995</v>
      </c>
      <c r="F23" s="116"/>
    </row>
    <row r="24" spans="1:10" s="98" customFormat="1" ht="9.75" customHeight="1" thickTop="1">
      <c r="A24" s="8"/>
      <c r="B24" s="8"/>
      <c r="C24" s="8" t="s">
        <v>8</v>
      </c>
      <c r="D24" s="104"/>
      <c r="E24" s="104"/>
      <c r="F24" s="84"/>
    </row>
    <row r="25" spans="1:10" ht="17.25" customHeight="1">
      <c r="A25" s="117" t="s">
        <v>11</v>
      </c>
      <c r="B25" s="118"/>
      <c r="C25" s="119" t="s">
        <v>12</v>
      </c>
      <c r="D25" s="120"/>
      <c r="E25" s="120"/>
      <c r="F25" s="118"/>
      <c r="G25" s="3"/>
      <c r="I25" s="4"/>
    </row>
    <row r="26" spans="1:10" ht="33.75" customHeight="1">
      <c r="A26" s="685" t="s">
        <v>262</v>
      </c>
      <c r="B26" s="686"/>
      <c r="C26" s="517" t="s">
        <v>13</v>
      </c>
      <c r="D26" s="84"/>
      <c r="E26" s="689">
        <f>E23-E21</f>
        <v>64013.369999999995</v>
      </c>
      <c r="F26" s="690"/>
      <c r="G26" s="3"/>
      <c r="I26" s="4"/>
    </row>
    <row r="27" spans="1:10" ht="21" customHeight="1">
      <c r="A27" s="685"/>
      <c r="B27" s="686"/>
      <c r="C27" s="84" t="s">
        <v>35</v>
      </c>
      <c r="D27" s="121" t="s">
        <v>36</v>
      </c>
      <c r="E27" s="122"/>
      <c r="F27" s="84"/>
      <c r="G27" s="3"/>
      <c r="I27" s="4"/>
    </row>
    <row r="28" spans="1:10" ht="15" customHeight="1">
      <c r="A28" s="685"/>
      <c r="B28" s="686"/>
      <c r="C28" s="84" t="s">
        <v>37</v>
      </c>
      <c r="D28" s="123"/>
      <c r="E28" s="691"/>
      <c r="F28" s="692"/>
      <c r="G28" s="3"/>
      <c r="I28" s="4"/>
    </row>
    <row r="29" spans="1:10" ht="18.75" customHeight="1">
      <c r="A29" s="687"/>
      <c r="B29" s="688"/>
      <c r="C29" s="86" t="s">
        <v>16</v>
      </c>
      <c r="D29" s="518" t="str">
        <f>B5</f>
        <v>ROY MIRANDA</v>
      </c>
      <c r="E29" s="519" t="s">
        <v>179</v>
      </c>
      <c r="F29" s="124"/>
      <c r="G29" s="3"/>
      <c r="H29" s="125"/>
    </row>
    <row r="30" spans="1:10" s="8" customFormat="1" ht="15" customHeight="1">
      <c r="A30" s="8" t="s">
        <v>17</v>
      </c>
      <c r="C30" s="8" t="s">
        <v>18</v>
      </c>
      <c r="D30" s="6"/>
      <c r="E30" s="7" t="s">
        <v>180</v>
      </c>
      <c r="G30" s="6"/>
      <c r="I30" s="520"/>
      <c r="J30" s="521"/>
    </row>
    <row r="31" spans="1:10" ht="25.5" customHeight="1">
      <c r="A31" s="8"/>
      <c r="B31" s="8"/>
      <c r="C31" s="8"/>
      <c r="D31" s="6"/>
      <c r="E31" s="7"/>
      <c r="F31" s="8"/>
      <c r="G31" s="3"/>
      <c r="J31" s="88"/>
    </row>
    <row r="32" spans="1:10" s="127" customFormat="1" ht="22.5" customHeight="1">
      <c r="A32" s="127" t="s">
        <v>181</v>
      </c>
      <c r="E32" s="522"/>
      <c r="H32" s="522"/>
      <c r="I32" s="523"/>
    </row>
    <row r="33" spans="1:10" ht="1.5" hidden="1" customHeight="1">
      <c r="A33" s="8"/>
      <c r="B33" s="8"/>
      <c r="C33" s="8"/>
      <c r="D33" s="6"/>
      <c r="E33" s="6"/>
      <c r="F33" s="8"/>
      <c r="J33" s="88"/>
    </row>
    <row r="34" spans="1:10" ht="9.75" customHeight="1">
      <c r="H34" s="3"/>
    </row>
    <row r="35" spans="1:10" s="131" customFormat="1" ht="18.75" customHeight="1">
      <c r="A35" s="4"/>
      <c r="B35" s="4"/>
      <c r="C35" s="4"/>
      <c r="D35" s="3"/>
      <c r="E35" s="3"/>
      <c r="F35" s="4"/>
      <c r="H35" s="132"/>
      <c r="I35" s="133"/>
    </row>
    <row r="36" spans="1:10">
      <c r="H36" s="125"/>
      <c r="J36" s="134"/>
    </row>
    <row r="37" spans="1:10">
      <c r="C37" s="4" t="s">
        <v>8</v>
      </c>
      <c r="D37" s="4"/>
      <c r="E37" s="4"/>
    </row>
    <row r="39" spans="1:10">
      <c r="I39" s="4"/>
    </row>
    <row r="40" spans="1:10">
      <c r="D40" s="4"/>
      <c r="E40" s="4"/>
    </row>
  </sheetData>
  <mergeCells count="7">
    <mergeCell ref="A1:F1"/>
    <mergeCell ref="A2:F2"/>
    <mergeCell ref="E4:F4"/>
    <mergeCell ref="A6:B6"/>
    <mergeCell ref="A26:B29"/>
    <mergeCell ref="E26:F26"/>
    <mergeCell ref="E28:F28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G26" sqref="G26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260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46256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663"/>
      <c r="B8" s="663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16.5" customHeight="1">
      <c r="A10" s="97"/>
      <c r="B10" s="98"/>
      <c r="C10" s="136"/>
      <c r="D10" s="135"/>
      <c r="F10" s="98"/>
      <c r="I10" s="4"/>
    </row>
    <row r="11" spans="1:10" s="98" customFormat="1" ht="21" customHeight="1">
      <c r="A11" s="99"/>
      <c r="B11" s="103" t="s">
        <v>54</v>
      </c>
      <c r="C11" s="136"/>
      <c r="D11" s="96">
        <v>61990</v>
      </c>
      <c r="E11" s="100"/>
      <c r="F11" s="101"/>
    </row>
    <row r="12" spans="1:10" s="98" customForma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61990</v>
      </c>
      <c r="E16" s="112">
        <f>D17-E15</f>
        <v>61990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61990</v>
      </c>
      <c r="E17" s="115">
        <f>SUM(E12:E16)</f>
        <v>61990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54</v>
      </c>
      <c r="B20" s="717"/>
      <c r="C20" s="84" t="s">
        <v>13</v>
      </c>
      <c r="D20" s="84"/>
      <c r="E20" s="689">
        <f>E17-E15</f>
        <v>61990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9"/>
  <sheetViews>
    <sheetView view="pageBreakPreview" zoomScale="91" zoomScaleNormal="100" zoomScaleSheetLayoutView="91" workbookViewId="0">
      <selection activeCell="B6" sqref="B6"/>
    </sheetView>
  </sheetViews>
  <sheetFormatPr defaultColWidth="9.140625" defaultRowHeight="19.5"/>
  <cols>
    <col min="1" max="1" width="10.140625" style="274" customWidth="1"/>
    <col min="2" max="2" width="25.42578125" style="274" customWidth="1"/>
    <col min="3" max="3" width="14.42578125" style="274" customWidth="1"/>
    <col min="4" max="4" width="23.7109375" style="276" customWidth="1"/>
    <col min="5" max="5" width="50.14062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506" customFormat="1" ht="34.5" customHeight="1">
      <c r="A1" s="693" t="s">
        <v>0</v>
      </c>
      <c r="B1" s="693"/>
      <c r="C1" s="693"/>
      <c r="D1" s="693"/>
      <c r="E1" s="693"/>
      <c r="F1" s="693"/>
      <c r="I1" s="559"/>
    </row>
    <row r="2" spans="1:10" ht="24.75" customHeight="1">
      <c r="A2" s="694" t="s">
        <v>1</v>
      </c>
      <c r="B2" s="694"/>
      <c r="C2" s="694"/>
      <c r="D2" s="694"/>
      <c r="E2" s="694"/>
      <c r="F2" s="694"/>
    </row>
    <row r="3" spans="1:10" ht="21.75" customHeight="1">
      <c r="F3" s="277" t="s">
        <v>255</v>
      </c>
    </row>
    <row r="4" spans="1:10" ht="6.75" customHeight="1">
      <c r="A4" s="695"/>
      <c r="B4" s="695"/>
      <c r="C4" s="695"/>
      <c r="D4" s="695"/>
      <c r="E4" s="695"/>
    </row>
    <row r="5" spans="1:10" ht="22.5" customHeight="1">
      <c r="B5" s="278" t="s">
        <v>2</v>
      </c>
      <c r="D5" s="279" t="s">
        <v>3</v>
      </c>
      <c r="E5" s="560">
        <v>46254</v>
      </c>
      <c r="F5" s="561"/>
    </row>
    <row r="6" spans="1:10" s="272" customFormat="1" ht="19.5" customHeight="1">
      <c r="A6" s="302" t="s">
        <v>4</v>
      </c>
      <c r="B6" s="562" t="s">
        <v>256</v>
      </c>
      <c r="C6" s="302"/>
      <c r="D6" s="301"/>
      <c r="E6" s="563"/>
      <c r="I6" s="273"/>
      <c r="J6" s="564"/>
    </row>
    <row r="7" spans="1:10" s="272" customFormat="1" ht="15.75" customHeight="1">
      <c r="A7" s="696"/>
      <c r="B7" s="696"/>
      <c r="C7" s="302"/>
      <c r="D7" s="565" t="s">
        <v>5</v>
      </c>
      <c r="E7" s="566" t="s">
        <v>6</v>
      </c>
      <c r="F7" s="567"/>
      <c r="G7" s="272" t="s">
        <v>7</v>
      </c>
      <c r="I7" s="273"/>
      <c r="J7" s="564"/>
    </row>
    <row r="8" spans="1:10" ht="12" customHeight="1">
      <c r="A8" s="286"/>
      <c r="B8" s="286"/>
      <c r="C8" s="278"/>
      <c r="D8" s="287"/>
      <c r="E8" s="287"/>
      <c r="F8" s="278"/>
      <c r="J8" s="282"/>
    </row>
    <row r="9" spans="1:10" ht="17.25" customHeight="1">
      <c r="A9" s="288"/>
      <c r="B9" s="295" t="s">
        <v>257</v>
      </c>
      <c r="C9" s="289"/>
      <c r="D9" s="293"/>
      <c r="I9" s="274"/>
    </row>
    <row r="10" spans="1:10" s="572" customFormat="1" ht="19.5" customHeight="1">
      <c r="A10" s="568"/>
      <c r="B10" s="295" t="s">
        <v>258</v>
      </c>
      <c r="C10" s="570"/>
      <c r="D10" s="293">
        <v>5790</v>
      </c>
      <c r="E10" s="571"/>
    </row>
    <row r="11" spans="1:10" s="272" customFormat="1" ht="16.5" customHeight="1">
      <c r="A11" s="298"/>
      <c r="B11" s="295"/>
      <c r="C11" s="299"/>
      <c r="D11" s="293"/>
      <c r="E11" s="300"/>
    </row>
    <row r="12" spans="1:10" s="272" customFormat="1" ht="17.25" customHeight="1">
      <c r="A12" s="298"/>
      <c r="B12" s="295"/>
      <c r="C12" s="573"/>
      <c r="D12" s="293"/>
      <c r="E12" s="300"/>
    </row>
    <row r="13" spans="1:10" s="272" customFormat="1" ht="15.75" customHeight="1">
      <c r="A13" s="298"/>
      <c r="B13" s="295"/>
      <c r="C13" s="299"/>
      <c r="D13" s="300"/>
      <c r="E13" s="300"/>
    </row>
    <row r="14" spans="1:10" s="294" customFormat="1" ht="15.75" customHeight="1">
      <c r="B14" s="294" t="s">
        <v>8</v>
      </c>
      <c r="C14" s="294" t="s">
        <v>9</v>
      </c>
      <c r="D14" s="574"/>
      <c r="E14" s="574">
        <f>D15</f>
        <v>5790</v>
      </c>
      <c r="F14" s="575"/>
    </row>
    <row r="15" spans="1:10" s="294" customFormat="1" ht="22.5" customHeight="1" thickBot="1">
      <c r="B15" s="294" t="s">
        <v>8</v>
      </c>
      <c r="C15" s="294" t="s">
        <v>10</v>
      </c>
      <c r="D15" s="576">
        <f>SUM(D9:D13)</f>
        <v>5790</v>
      </c>
      <c r="E15" s="576">
        <f>E14-E13</f>
        <v>5790</v>
      </c>
      <c r="F15" s="577"/>
    </row>
    <row r="16" spans="1:10" ht="6.75" customHeight="1" thickTop="1">
      <c r="D16" s="305"/>
      <c r="E16" s="305"/>
      <c r="F16" s="278"/>
      <c r="I16" s="274"/>
    </row>
    <row r="17" spans="1:10" ht="19.5" customHeight="1">
      <c r="A17" s="306" t="s">
        <v>11</v>
      </c>
      <c r="B17" s="307"/>
      <c r="C17" s="308" t="s">
        <v>12</v>
      </c>
      <c r="D17" s="309"/>
      <c r="E17" s="309"/>
      <c r="F17" s="307"/>
      <c r="I17" s="274"/>
    </row>
    <row r="18" spans="1:10" ht="23.25" customHeight="1">
      <c r="A18" s="697" t="s">
        <v>259</v>
      </c>
      <c r="B18" s="698"/>
      <c r="C18" s="278" t="s">
        <v>13</v>
      </c>
      <c r="D18" s="278"/>
      <c r="E18" s="578">
        <f>E15</f>
        <v>5790</v>
      </c>
      <c r="F18" s="579"/>
    </row>
    <row r="19" spans="1:10" s="272" customFormat="1" ht="19.5" customHeight="1">
      <c r="A19" s="699"/>
      <c r="B19" s="698"/>
      <c r="C19" s="563" t="s">
        <v>14</v>
      </c>
      <c r="D19" s="1" t="s">
        <v>15</v>
      </c>
      <c r="E19" s="580"/>
      <c r="F19" s="581"/>
      <c r="I19" s="273"/>
      <c r="J19" s="564"/>
    </row>
    <row r="20" spans="1:10" ht="61.5" customHeight="1">
      <c r="A20" s="700"/>
      <c r="B20" s="701"/>
      <c r="C20" s="2" t="s">
        <v>16</v>
      </c>
      <c r="D20" s="302" t="str">
        <f>B6</f>
        <v>AIROMARK AUTO AIRCONDITIONING</v>
      </c>
      <c r="E20" s="582"/>
      <c r="F20" s="314"/>
      <c r="J20" s="282"/>
    </row>
    <row r="21" spans="1:10" ht="11.25" customHeight="1">
      <c r="A21" s="317"/>
      <c r="B21" s="317"/>
      <c r="C21" s="278"/>
      <c r="D21" s="318"/>
      <c r="E21" s="305"/>
      <c r="F21" s="278"/>
      <c r="J21" s="282"/>
    </row>
    <row r="22" spans="1:10" s="272" customFormat="1" ht="15" customHeight="1">
      <c r="A22" s="272" t="s">
        <v>17</v>
      </c>
      <c r="C22" s="272" t="s">
        <v>18</v>
      </c>
      <c r="E22" s="300" t="s">
        <v>201</v>
      </c>
      <c r="H22" s="300"/>
      <c r="I22" s="273"/>
    </row>
    <row r="23" spans="1:10" ht="29.25" customHeight="1">
      <c r="H23" s="276"/>
    </row>
    <row r="24" spans="1:10" s="323" customFormat="1" ht="15.2" customHeight="1">
      <c r="A24" s="323" t="s">
        <v>242</v>
      </c>
      <c r="E24" s="3"/>
      <c r="H24" s="3"/>
      <c r="I24" s="324"/>
    </row>
    <row r="25" spans="1:10" ht="18.75" customHeight="1">
      <c r="A25" s="274" t="s">
        <v>8</v>
      </c>
      <c r="H25" s="325"/>
    </row>
    <row r="26" spans="1:10">
      <c r="H26" s="325"/>
      <c r="J26" s="326"/>
    </row>
    <row r="29" spans="1:10">
      <c r="C29" s="274" t="s">
        <v>8</v>
      </c>
      <c r="D29" s="274"/>
      <c r="E29" s="274"/>
      <c r="I29" s="274"/>
    </row>
  </sheetData>
  <mergeCells count="5">
    <mergeCell ref="A1:F1"/>
    <mergeCell ref="A2:F2"/>
    <mergeCell ref="A4:E4"/>
    <mergeCell ref="A7:B7"/>
    <mergeCell ref="A18:B20"/>
  </mergeCells>
  <printOptions horizontalCentered="1"/>
  <pageMargins left="0.25" right="0.25" top="0.25" bottom="0.75" header="0.3" footer="0.3"/>
  <pageSetup scale="76" orientation="portrait" verticalDpi="7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252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46254</v>
      </c>
      <c r="F4" s="683"/>
    </row>
    <row r="5" spans="1:10" ht="21" customHeight="1">
      <c r="A5" s="86" t="s">
        <v>4</v>
      </c>
      <c r="B5" s="87" t="s">
        <v>77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13.5" customHeight="1">
      <c r="A8" s="662"/>
      <c r="B8" s="662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s="8" customFormat="1" ht="36" customHeight="1">
      <c r="A10" s="94"/>
      <c r="B10" s="103" t="s">
        <v>253</v>
      </c>
      <c r="C10" s="103"/>
      <c r="D10" s="96">
        <v>150000</v>
      </c>
      <c r="E10" s="6"/>
      <c r="F10" s="103"/>
    </row>
    <row r="11" spans="1:10" s="103" customFormat="1" ht="19.5" customHeight="1">
      <c r="A11" s="102"/>
      <c r="D11" s="446"/>
      <c r="E11" s="104"/>
      <c r="F11" s="105"/>
    </row>
    <row r="12" spans="1:10" s="103" customFormat="1" ht="10.5" customHeight="1">
      <c r="A12" s="102"/>
      <c r="D12" s="447"/>
      <c r="E12" s="104"/>
      <c r="F12" s="105"/>
    </row>
    <row r="13" spans="1:10" s="103" customFormat="1" ht="19.5" hidden="1" customHeight="1">
      <c r="A13" s="102"/>
      <c r="D13" s="446"/>
      <c r="E13" s="104"/>
      <c r="F13" s="105"/>
    </row>
    <row r="14" spans="1:10" s="103" customFormat="1" ht="19.5" customHeight="1">
      <c r="A14" s="102"/>
      <c r="D14" s="446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150000</v>
      </c>
      <c r="E16" s="112">
        <f>D17-E15</f>
        <v>150000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150000</v>
      </c>
      <c r="E17" s="115">
        <f>SUM(E12:E16)</f>
        <v>150000</v>
      </c>
      <c r="F17" s="116"/>
    </row>
    <row r="18" spans="1:10" s="98" customFormat="1" ht="10.5" customHeight="1" thickTop="1">
      <c r="A18" s="8"/>
      <c r="B18" s="8"/>
      <c r="C18" s="8" t="s">
        <v>8</v>
      </c>
      <c r="D18" s="104"/>
      <c r="E18" s="104"/>
      <c r="F18" s="84"/>
    </row>
    <row r="19" spans="1:10" ht="21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29.25" customHeight="1">
      <c r="A20" s="721" t="s">
        <v>254</v>
      </c>
      <c r="B20" s="722"/>
      <c r="C20" s="84" t="s">
        <v>13</v>
      </c>
      <c r="D20" s="84"/>
      <c r="E20" s="689">
        <f>E17-E15</f>
        <v>150000</v>
      </c>
      <c r="F20" s="690"/>
      <c r="G20" s="3"/>
      <c r="I20" s="4"/>
    </row>
    <row r="21" spans="1:10" ht="32.25" customHeight="1">
      <c r="A21" s="721"/>
      <c r="B21" s="722"/>
      <c r="C21" s="84" t="s">
        <v>35</v>
      </c>
      <c r="D21" s="121" t="s">
        <v>36</v>
      </c>
      <c r="E21" s="122"/>
      <c r="F21" s="84"/>
      <c r="G21" s="3"/>
      <c r="I21" s="4"/>
    </row>
    <row r="22" spans="1:10" ht="24.75" customHeight="1">
      <c r="A22" s="721"/>
      <c r="B22" s="722"/>
      <c r="C22" s="84" t="s">
        <v>37</v>
      </c>
      <c r="D22" s="123"/>
      <c r="E22" s="691"/>
      <c r="F22" s="692"/>
      <c r="G22" s="3"/>
      <c r="I22" s="4"/>
    </row>
    <row r="23" spans="1:10" ht="44.25" customHeight="1">
      <c r="A23" s="723"/>
      <c r="B23" s="724"/>
      <c r="C23" s="86" t="s">
        <v>16</v>
      </c>
      <c r="D23" s="725" t="str">
        <f>B5</f>
        <v>JUVEN ADORADOR</v>
      </c>
      <c r="E23" s="725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0.2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251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46254</v>
      </c>
      <c r="F4" s="683"/>
    </row>
    <row r="5" spans="1:10" ht="21" customHeight="1">
      <c r="A5" s="86" t="s">
        <v>4</v>
      </c>
      <c r="B5" s="87" t="s">
        <v>77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13.5" customHeight="1">
      <c r="A8" s="662"/>
      <c r="B8" s="662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s="8" customFormat="1" ht="36" customHeight="1">
      <c r="A10" s="94"/>
      <c r="B10" s="103" t="s">
        <v>118</v>
      </c>
      <c r="C10" s="103"/>
      <c r="D10" s="96">
        <v>35000</v>
      </c>
      <c r="E10" s="6"/>
      <c r="F10" s="103"/>
    </row>
    <row r="11" spans="1:10" s="103" customFormat="1" ht="19.5" customHeight="1">
      <c r="A11" s="102"/>
      <c r="D11" s="446"/>
      <c r="E11" s="104"/>
      <c r="F11" s="105"/>
    </row>
    <row r="12" spans="1:10" s="103" customFormat="1" ht="10.5" customHeight="1">
      <c r="A12" s="102"/>
      <c r="D12" s="447"/>
      <c r="E12" s="104"/>
      <c r="F12" s="105"/>
    </row>
    <row r="13" spans="1:10" s="103" customFormat="1" ht="19.5" hidden="1" customHeight="1">
      <c r="A13" s="102"/>
      <c r="D13" s="446"/>
      <c r="E13" s="104"/>
      <c r="F13" s="105"/>
    </row>
    <row r="14" spans="1:10" s="103" customFormat="1" ht="19.5" customHeight="1">
      <c r="A14" s="102"/>
      <c r="D14" s="446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35000</v>
      </c>
      <c r="E16" s="112">
        <f>D17-E15</f>
        <v>35000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35000</v>
      </c>
      <c r="E17" s="115">
        <f>SUM(E12:E16)</f>
        <v>35000</v>
      </c>
      <c r="F17" s="116"/>
    </row>
    <row r="18" spans="1:10" s="98" customFormat="1" ht="10.5" customHeight="1" thickTop="1">
      <c r="A18" s="8"/>
      <c r="B18" s="8"/>
      <c r="C18" s="8" t="s">
        <v>8</v>
      </c>
      <c r="D18" s="104"/>
      <c r="E18" s="104"/>
      <c r="F18" s="84"/>
    </row>
    <row r="19" spans="1:10" ht="21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29.25" customHeight="1">
      <c r="A20" s="721" t="s">
        <v>250</v>
      </c>
      <c r="B20" s="722"/>
      <c r="C20" s="84" t="s">
        <v>13</v>
      </c>
      <c r="D20" s="84"/>
      <c r="E20" s="689">
        <f>E17-E15</f>
        <v>35000</v>
      </c>
      <c r="F20" s="690"/>
      <c r="G20" s="3"/>
      <c r="I20" s="4"/>
    </row>
    <row r="21" spans="1:10" ht="32.25" customHeight="1">
      <c r="A21" s="721"/>
      <c r="B21" s="722"/>
      <c r="C21" s="84" t="s">
        <v>35</v>
      </c>
      <c r="D21" s="121" t="s">
        <v>36</v>
      </c>
      <c r="E21" s="122"/>
      <c r="F21" s="84"/>
      <c r="G21" s="3"/>
      <c r="I21" s="4"/>
    </row>
    <row r="22" spans="1:10" ht="24.75" customHeight="1">
      <c r="A22" s="721"/>
      <c r="B22" s="722"/>
      <c r="C22" s="84" t="s">
        <v>37</v>
      </c>
      <c r="D22" s="123"/>
      <c r="E22" s="691"/>
      <c r="F22" s="692"/>
      <c r="G22" s="3"/>
      <c r="I22" s="4"/>
    </row>
    <row r="23" spans="1:10" ht="44.25" customHeight="1">
      <c r="A23" s="723"/>
      <c r="B23" s="724"/>
      <c r="C23" s="86" t="s">
        <v>16</v>
      </c>
      <c r="D23" s="725" t="str">
        <f>B5</f>
        <v>JUVEN ADORADOR</v>
      </c>
      <c r="E23" s="725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0.2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248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46254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662"/>
      <c r="B8" s="662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24" customHeight="1">
      <c r="A10" s="97"/>
      <c r="B10" s="98" t="s">
        <v>115</v>
      </c>
      <c r="C10" s="136"/>
      <c r="D10" s="96">
        <v>35000</v>
      </c>
      <c r="F10" s="98"/>
      <c r="I10" s="4"/>
    </row>
    <row r="11" spans="1:10" s="98" customFormat="1" ht="21" customHeight="1">
      <c r="A11" s="99"/>
      <c r="B11" s="103" t="s">
        <v>114</v>
      </c>
      <c r="C11" s="136"/>
      <c r="D11" s="96"/>
      <c r="E11" s="100"/>
      <c r="F11" s="101"/>
    </row>
    <row r="12" spans="1:10" s="98" customForma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35000</v>
      </c>
      <c r="E16" s="112">
        <f>D17-E15</f>
        <v>35000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35000</v>
      </c>
      <c r="E17" s="115">
        <f>SUM(E12:E16)</f>
        <v>35000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249</v>
      </c>
      <c r="B20" s="717"/>
      <c r="C20" s="84" t="s">
        <v>13</v>
      </c>
      <c r="D20" s="84"/>
      <c r="E20" s="689">
        <f>E17-E15</f>
        <v>35000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9"/>
  <sheetViews>
    <sheetView view="pageBreakPreview" zoomScale="91" zoomScaleNormal="100" zoomScaleSheetLayoutView="91" workbookViewId="0">
      <selection activeCell="B6" sqref="B6"/>
    </sheetView>
  </sheetViews>
  <sheetFormatPr defaultColWidth="9.140625" defaultRowHeight="19.5"/>
  <cols>
    <col min="1" max="1" width="10.140625" style="274" customWidth="1"/>
    <col min="2" max="2" width="25.42578125" style="274" customWidth="1"/>
    <col min="3" max="3" width="14.42578125" style="274" customWidth="1"/>
    <col min="4" max="4" width="23.7109375" style="276" customWidth="1"/>
    <col min="5" max="5" width="50.14062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506" customFormat="1" ht="34.5" customHeight="1">
      <c r="A1" s="693" t="s">
        <v>0</v>
      </c>
      <c r="B1" s="693"/>
      <c r="C1" s="693"/>
      <c r="D1" s="693"/>
      <c r="E1" s="693"/>
      <c r="F1" s="693"/>
      <c r="I1" s="559"/>
    </row>
    <row r="2" spans="1:10" ht="24.75" customHeight="1">
      <c r="A2" s="694" t="s">
        <v>1</v>
      </c>
      <c r="B2" s="694"/>
      <c r="C2" s="694"/>
      <c r="D2" s="694"/>
      <c r="E2" s="694"/>
      <c r="F2" s="694"/>
    </row>
    <row r="3" spans="1:10" ht="21.75" customHeight="1">
      <c r="F3" s="277" t="s">
        <v>243</v>
      </c>
    </row>
    <row r="4" spans="1:10" ht="6.75" customHeight="1">
      <c r="A4" s="695"/>
      <c r="B4" s="695"/>
      <c r="C4" s="695"/>
      <c r="D4" s="695"/>
      <c r="E4" s="695"/>
    </row>
    <row r="5" spans="1:10" ht="22.5" customHeight="1">
      <c r="B5" s="278" t="s">
        <v>2</v>
      </c>
      <c r="D5" s="279" t="s">
        <v>3</v>
      </c>
      <c r="E5" s="560">
        <v>46253</v>
      </c>
      <c r="F5" s="561"/>
    </row>
    <row r="6" spans="1:10" s="272" customFormat="1" ht="19.5" customHeight="1">
      <c r="A6" s="302" t="s">
        <v>4</v>
      </c>
      <c r="B6" s="562" t="s">
        <v>240</v>
      </c>
      <c r="C6" s="302"/>
      <c r="D6" s="301"/>
      <c r="E6" s="563"/>
      <c r="I6" s="273"/>
      <c r="J6" s="564"/>
    </row>
    <row r="7" spans="1:10" s="272" customFormat="1" ht="15.75" customHeight="1">
      <c r="A7" s="696"/>
      <c r="B7" s="696"/>
      <c r="C7" s="302"/>
      <c r="D7" s="565" t="s">
        <v>5</v>
      </c>
      <c r="E7" s="566" t="s">
        <v>6</v>
      </c>
      <c r="F7" s="567"/>
      <c r="G7" s="272" t="s">
        <v>7</v>
      </c>
      <c r="I7" s="273"/>
      <c r="J7" s="564"/>
    </row>
    <row r="8" spans="1:10" ht="12" customHeight="1">
      <c r="A8" s="286"/>
      <c r="B8" s="286"/>
      <c r="C8" s="278"/>
      <c r="D8" s="287"/>
      <c r="E8" s="287"/>
      <c r="F8" s="278"/>
      <c r="J8" s="282"/>
    </row>
    <row r="9" spans="1:10" ht="17.25" customHeight="1">
      <c r="A9" s="288"/>
      <c r="B9" s="295" t="s">
        <v>244</v>
      </c>
      <c r="C9" s="289"/>
      <c r="D9" s="293">
        <v>1490.42</v>
      </c>
      <c r="I9" s="274"/>
    </row>
    <row r="10" spans="1:10" s="572" customFormat="1" ht="19.5" customHeight="1">
      <c r="A10" s="568"/>
      <c r="B10" s="295" t="s">
        <v>245</v>
      </c>
      <c r="C10" s="570"/>
      <c r="D10" s="293">
        <v>7267.27</v>
      </c>
      <c r="E10" s="571"/>
    </row>
    <row r="11" spans="1:10" s="272" customFormat="1" ht="16.5" customHeight="1">
      <c r="A11" s="298"/>
      <c r="B11" s="295" t="s">
        <v>246</v>
      </c>
      <c r="C11" s="299"/>
      <c r="D11" s="293">
        <v>16473.490000000002</v>
      </c>
      <c r="E11" s="300"/>
    </row>
    <row r="12" spans="1:10" s="272" customFormat="1" ht="17.25" customHeight="1">
      <c r="A12" s="298"/>
      <c r="B12" s="295" t="s">
        <v>247</v>
      </c>
      <c r="C12" s="573"/>
      <c r="D12" s="293">
        <v>7195.04</v>
      </c>
      <c r="E12" s="300"/>
    </row>
    <row r="13" spans="1:10" s="272" customFormat="1" ht="15.75" customHeight="1">
      <c r="A13" s="298"/>
      <c r="B13" s="295"/>
      <c r="C13" s="299"/>
      <c r="D13" s="300"/>
      <c r="E13" s="300"/>
    </row>
    <row r="14" spans="1:10" s="294" customFormat="1" ht="15.75" customHeight="1">
      <c r="B14" s="294" t="s">
        <v>8</v>
      </c>
      <c r="C14" s="294" t="s">
        <v>9</v>
      </c>
      <c r="D14" s="574"/>
      <c r="E14" s="574">
        <f>D15</f>
        <v>32426.22</v>
      </c>
      <c r="F14" s="575"/>
    </row>
    <row r="15" spans="1:10" s="294" customFormat="1" ht="22.5" customHeight="1" thickBot="1">
      <c r="B15" s="294" t="s">
        <v>8</v>
      </c>
      <c r="C15" s="294" t="s">
        <v>10</v>
      </c>
      <c r="D15" s="576">
        <f>SUM(D9:D13)</f>
        <v>32426.22</v>
      </c>
      <c r="E15" s="576">
        <f>E14-E13</f>
        <v>32426.22</v>
      </c>
      <c r="F15" s="577"/>
    </row>
    <row r="16" spans="1:10" ht="6.75" customHeight="1" thickTop="1">
      <c r="D16" s="305"/>
      <c r="E16" s="305"/>
      <c r="F16" s="278"/>
      <c r="I16" s="274"/>
    </row>
    <row r="17" spans="1:10" ht="19.5" customHeight="1">
      <c r="A17" s="306" t="s">
        <v>11</v>
      </c>
      <c r="B17" s="307"/>
      <c r="C17" s="308" t="s">
        <v>12</v>
      </c>
      <c r="D17" s="309"/>
      <c r="E17" s="309"/>
      <c r="F17" s="307"/>
      <c r="I17" s="274"/>
    </row>
    <row r="18" spans="1:10" ht="23.25" customHeight="1">
      <c r="A18" s="697" t="s">
        <v>241</v>
      </c>
      <c r="B18" s="698"/>
      <c r="C18" s="278" t="s">
        <v>13</v>
      </c>
      <c r="D18" s="278"/>
      <c r="E18" s="578">
        <f>E15</f>
        <v>32426.22</v>
      </c>
      <c r="F18" s="579"/>
    </row>
    <row r="19" spans="1:10" s="272" customFormat="1" ht="19.5" customHeight="1">
      <c r="A19" s="699"/>
      <c r="B19" s="698"/>
      <c r="C19" s="563" t="s">
        <v>14</v>
      </c>
      <c r="D19" s="1" t="s">
        <v>15</v>
      </c>
      <c r="E19" s="580"/>
      <c r="F19" s="581"/>
      <c r="I19" s="273"/>
      <c r="J19" s="564"/>
    </row>
    <row r="20" spans="1:10" ht="61.5" customHeight="1">
      <c r="A20" s="700"/>
      <c r="B20" s="701"/>
      <c r="C20" s="2" t="s">
        <v>16</v>
      </c>
      <c r="D20" s="302" t="str">
        <f>B6</f>
        <v>UPS DELBROS INTERNATIONAL EXPRESS</v>
      </c>
      <c r="E20" s="582"/>
      <c r="F20" s="314"/>
      <c r="J20" s="282"/>
    </row>
    <row r="21" spans="1:10" ht="11.25" customHeight="1">
      <c r="A21" s="317"/>
      <c r="B21" s="317"/>
      <c r="C21" s="278"/>
      <c r="D21" s="318"/>
      <c r="E21" s="305"/>
      <c r="F21" s="278"/>
      <c r="J21" s="282"/>
    </row>
    <row r="22" spans="1:10" s="272" customFormat="1" ht="15" customHeight="1">
      <c r="A22" s="272" t="s">
        <v>17</v>
      </c>
      <c r="C22" s="272" t="s">
        <v>18</v>
      </c>
      <c r="E22" s="300" t="s">
        <v>201</v>
      </c>
      <c r="H22" s="300"/>
      <c r="I22" s="273"/>
    </row>
    <row r="23" spans="1:10" ht="29.25" customHeight="1">
      <c r="H23" s="276"/>
    </row>
    <row r="24" spans="1:10" s="323" customFormat="1" ht="15.2" customHeight="1">
      <c r="A24" s="323" t="s">
        <v>242</v>
      </c>
      <c r="E24" s="3"/>
      <c r="H24" s="3"/>
      <c r="I24" s="324"/>
    </row>
    <row r="25" spans="1:10" ht="18.75" customHeight="1">
      <c r="A25" s="274" t="s">
        <v>8</v>
      </c>
      <c r="H25" s="325"/>
    </row>
    <row r="26" spans="1:10">
      <c r="H26" s="325"/>
      <c r="J26" s="326"/>
    </row>
    <row r="29" spans="1:10">
      <c r="C29" s="274" t="s">
        <v>8</v>
      </c>
      <c r="D29" s="274"/>
      <c r="E29" s="274"/>
      <c r="I29" s="274"/>
    </row>
  </sheetData>
  <mergeCells count="5">
    <mergeCell ref="A1:F1"/>
    <mergeCell ref="A2:F2"/>
    <mergeCell ref="A4:E4"/>
    <mergeCell ref="A7:B7"/>
    <mergeCell ref="A18:B20"/>
  </mergeCells>
  <printOptions horizontalCentered="1"/>
  <pageMargins left="0.25" right="0.25" top="0.25" bottom="0.75" header="0.3" footer="0.3"/>
  <pageSetup scale="76" orientation="portrait" verticalDpi="72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77" zoomScaleNormal="100" zoomScaleSheetLayoutView="77" workbookViewId="0">
      <selection activeCell="A25" sqref="A25:B28"/>
    </sheetView>
  </sheetViews>
  <sheetFormatPr defaultColWidth="9.140625" defaultRowHeight="19.5"/>
  <cols>
    <col min="1" max="1" width="11" style="4" customWidth="1"/>
    <col min="2" max="2" width="27.42578125" style="4" customWidth="1"/>
    <col min="3" max="3" width="23.85546875" style="4" customWidth="1"/>
    <col min="4" max="4" width="23.85546875" style="3" customWidth="1"/>
    <col min="5" max="5" width="21.85546875" style="3" customWidth="1"/>
    <col min="6" max="6" width="14.8554687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36.75" customHeight="1">
      <c r="A3" s="8"/>
      <c r="B3" s="8"/>
      <c r="C3" s="8"/>
      <c r="D3" s="6"/>
      <c r="E3" s="6"/>
      <c r="F3" s="637" t="s">
        <v>237</v>
      </c>
    </row>
    <row r="4" spans="1:10" ht="27" customHeight="1">
      <c r="A4" s="8"/>
      <c r="B4" s="84" t="s">
        <v>2</v>
      </c>
      <c r="C4" s="8"/>
      <c r="D4" s="85" t="s">
        <v>3</v>
      </c>
      <c r="E4" s="726">
        <v>46252</v>
      </c>
      <c r="F4" s="726"/>
    </row>
    <row r="5" spans="1:10" ht="19.5" customHeight="1">
      <c r="A5" s="86" t="s">
        <v>4</v>
      </c>
      <c r="B5" s="87" t="s">
        <v>235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G6" s="4" t="s">
        <v>7</v>
      </c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3" customHeight="1">
      <c r="A8" s="636"/>
      <c r="B8" s="636"/>
      <c r="C8" s="8"/>
      <c r="D8" s="85"/>
      <c r="E8" s="85"/>
      <c r="F8" s="8"/>
      <c r="J8" s="88"/>
    </row>
    <row r="9" spans="1:10" ht="15" customHeight="1">
      <c r="A9" s="94"/>
      <c r="B9" s="8"/>
      <c r="C9" s="8"/>
      <c r="D9" s="446"/>
      <c r="E9" s="6"/>
      <c r="F9" s="8"/>
      <c r="I9" s="4"/>
    </row>
    <row r="10" spans="1:10" ht="15" customHeight="1">
      <c r="A10" s="94"/>
      <c r="B10" s="103"/>
      <c r="C10" s="103"/>
      <c r="D10" s="446"/>
      <c r="E10" s="6"/>
      <c r="F10" s="8"/>
      <c r="I10" s="4"/>
    </row>
    <row r="11" spans="1:10" s="642" customFormat="1" ht="19.5" customHeight="1">
      <c r="A11" s="638"/>
      <c r="B11" s="660" t="s">
        <v>236</v>
      </c>
      <c r="C11" s="639"/>
      <c r="D11" s="661">
        <v>14200</v>
      </c>
      <c r="E11" s="640"/>
      <c r="F11" s="641"/>
    </row>
    <row r="12" spans="1:10" s="98" customFormat="1" ht="15" customHeight="1">
      <c r="A12" s="102"/>
      <c r="B12" s="103"/>
      <c r="C12" s="103"/>
      <c r="D12" s="446"/>
      <c r="E12" s="104"/>
      <c r="F12" s="105"/>
    </row>
    <row r="13" spans="1:10" s="98" customFormat="1" ht="15.75" customHeight="1">
      <c r="A13" s="102"/>
      <c r="B13" s="643"/>
      <c r="C13" s="644"/>
      <c r="D13" s="446"/>
      <c r="E13" s="104"/>
      <c r="F13" s="105"/>
    </row>
    <row r="14" spans="1:10" s="98" customFormat="1" ht="15.75" hidden="1" customHeight="1">
      <c r="A14" s="102"/>
      <c r="B14" s="643"/>
      <c r="C14" s="644"/>
      <c r="D14" s="446"/>
      <c r="E14" s="104"/>
      <c r="F14" s="105"/>
    </row>
    <row r="15" spans="1:10" s="98" customFormat="1" ht="15.75" hidden="1" customHeight="1">
      <c r="A15" s="102"/>
      <c r="B15" s="643"/>
      <c r="C15" s="644"/>
      <c r="D15" s="446"/>
      <c r="E15" s="104"/>
      <c r="F15" s="105"/>
    </row>
    <row r="16" spans="1:10" s="98" customFormat="1" ht="15.75" customHeight="1">
      <c r="A16" s="102"/>
      <c r="B16" s="103"/>
      <c r="C16" s="103"/>
      <c r="D16" s="446"/>
      <c r="E16" s="104"/>
      <c r="F16" s="105"/>
    </row>
    <row r="17" spans="1:10" s="98" customFormat="1" ht="15.75" customHeight="1">
      <c r="A17" s="102"/>
      <c r="B17" s="103"/>
      <c r="C17" s="103"/>
      <c r="D17" s="446"/>
      <c r="E17" s="104"/>
      <c r="F17" s="105"/>
    </row>
    <row r="18" spans="1:10" s="98" customFormat="1" ht="4.5" customHeight="1">
      <c r="A18" s="102"/>
      <c r="B18" s="103"/>
      <c r="C18" s="103"/>
      <c r="D18" s="446"/>
      <c r="E18" s="104"/>
      <c r="F18" s="105"/>
    </row>
    <row r="19" spans="1:10" s="98" customFormat="1" ht="4.5" customHeight="1">
      <c r="A19" s="102"/>
      <c r="B19" s="103"/>
      <c r="C19" s="103"/>
      <c r="D19" s="446"/>
      <c r="E19" s="104"/>
      <c r="F19" s="105"/>
    </row>
    <row r="20" spans="1:10" s="641" customFormat="1" ht="0.75" hidden="1" customHeight="1">
      <c r="A20" s="638"/>
      <c r="B20" s="645"/>
      <c r="D20" s="646"/>
      <c r="E20" s="640"/>
    </row>
    <row r="21" spans="1:10" s="98" customFormat="1" ht="14.25" customHeight="1">
      <c r="A21" s="8"/>
      <c r="B21" s="8"/>
      <c r="C21" s="8" t="s">
        <v>10</v>
      </c>
      <c r="D21" s="647">
        <f>SUM(D9:D17)</f>
        <v>14200</v>
      </c>
      <c r="E21" s="647">
        <f>E20</f>
        <v>0</v>
      </c>
      <c r="F21" s="86"/>
    </row>
    <row r="22" spans="1:10" s="98" customFormat="1" ht="18.75" customHeight="1" thickBot="1">
      <c r="A22" s="8"/>
      <c r="B22" s="8" t="s">
        <v>8</v>
      </c>
      <c r="C22" s="8" t="s">
        <v>9</v>
      </c>
      <c r="D22" s="648">
        <f>D21</f>
        <v>14200</v>
      </c>
      <c r="E22" s="648">
        <f>D22</f>
        <v>14200</v>
      </c>
      <c r="F22" s="649"/>
      <c r="G22" s="650"/>
    </row>
    <row r="23" spans="1:10" s="98" customFormat="1" ht="7.5" customHeight="1" thickTop="1">
      <c r="A23" s="8"/>
      <c r="B23" s="8"/>
      <c r="C23" s="8" t="s">
        <v>8</v>
      </c>
      <c r="D23" s="104"/>
      <c r="E23" s="104"/>
      <c r="F23" s="84"/>
    </row>
    <row r="24" spans="1:10" ht="14.25" customHeight="1">
      <c r="A24" s="117" t="s">
        <v>11</v>
      </c>
      <c r="B24" s="118"/>
      <c r="C24" s="651" t="s">
        <v>12</v>
      </c>
      <c r="D24" s="120"/>
      <c r="E24" s="120"/>
      <c r="F24" s="118"/>
      <c r="G24" s="3"/>
      <c r="I24" s="4"/>
    </row>
    <row r="25" spans="1:10" ht="18.75" customHeight="1">
      <c r="A25" s="716" t="s">
        <v>238</v>
      </c>
      <c r="B25" s="727"/>
      <c r="C25" s="126" t="s">
        <v>13</v>
      </c>
      <c r="D25" s="84"/>
      <c r="E25" s="731">
        <f>E22-E20</f>
        <v>14200</v>
      </c>
      <c r="F25" s="732"/>
      <c r="G25" s="3"/>
      <c r="I25" s="4"/>
    </row>
    <row r="26" spans="1:10" ht="15" customHeight="1">
      <c r="A26" s="728"/>
      <c r="B26" s="727"/>
      <c r="C26" s="126" t="s">
        <v>35</v>
      </c>
      <c r="D26" s="121" t="s">
        <v>36</v>
      </c>
      <c r="E26" s="122"/>
      <c r="F26" s="84"/>
      <c r="G26" s="3"/>
      <c r="I26" s="4"/>
    </row>
    <row r="27" spans="1:10" ht="20.25" customHeight="1">
      <c r="A27" s="728"/>
      <c r="B27" s="727"/>
      <c r="C27" s="126" t="s">
        <v>37</v>
      </c>
      <c r="D27" s="123"/>
      <c r="E27" s="652"/>
      <c r="F27" s="653"/>
      <c r="G27" s="3"/>
      <c r="I27" s="4"/>
    </row>
    <row r="28" spans="1:10" ht="51" customHeight="1">
      <c r="A28" s="729"/>
      <c r="B28" s="730"/>
      <c r="C28" s="654" t="s">
        <v>16</v>
      </c>
      <c r="D28" s="655" t="str">
        <f>B5</f>
        <v>JOHANNA PEROCHO</v>
      </c>
      <c r="E28" s="519" t="s">
        <v>179</v>
      </c>
      <c r="F28" s="124"/>
      <c r="G28" s="3"/>
      <c r="H28" s="125"/>
    </row>
    <row r="29" spans="1:10" ht="20.25" customHeight="1">
      <c r="A29" s="8" t="s">
        <v>17</v>
      </c>
      <c r="B29" s="8"/>
      <c r="C29" s="8" t="s">
        <v>18</v>
      </c>
      <c r="D29" s="6"/>
      <c r="E29" s="7" t="s">
        <v>19</v>
      </c>
      <c r="F29" s="8"/>
      <c r="G29" s="3"/>
      <c r="J29" s="88"/>
    </row>
    <row r="30" spans="1:10" s="656" customFormat="1" ht="18" customHeight="1">
      <c r="A30" s="8"/>
      <c r="B30" s="8"/>
      <c r="C30" s="8"/>
      <c r="D30" s="6"/>
      <c r="E30" s="7"/>
      <c r="F30" s="8"/>
      <c r="H30" s="48"/>
      <c r="I30" s="657"/>
    </row>
    <row r="31" spans="1:10" s="10" customFormat="1" ht="15.2" customHeight="1">
      <c r="A31" s="323" t="s">
        <v>239</v>
      </c>
      <c r="E31" s="11"/>
      <c r="H31" s="11"/>
      <c r="I31" s="12"/>
    </row>
    <row r="32" spans="1:10" ht="1.5" hidden="1" customHeight="1">
      <c r="A32" s="8"/>
      <c r="B32" s="8"/>
      <c r="C32" s="8"/>
      <c r="D32" s="6"/>
      <c r="E32" s="6"/>
      <c r="F32" s="8"/>
      <c r="J32" s="88"/>
    </row>
    <row r="33" spans="1:10" s="5" customFormat="1" ht="15" customHeight="1">
      <c r="A33" s="658"/>
      <c r="B33" s="658"/>
      <c r="C33" s="658"/>
      <c r="D33" s="659"/>
      <c r="E33" s="659"/>
      <c r="F33" s="658"/>
      <c r="G33" s="4"/>
      <c r="H33" s="3"/>
      <c r="J33" s="4"/>
    </row>
    <row r="34" spans="1:10" s="5" customFormat="1" ht="9.75" customHeight="1">
      <c r="A34" s="4"/>
      <c r="B34" s="4"/>
      <c r="C34" s="4"/>
      <c r="D34" s="3"/>
      <c r="E34" s="3"/>
      <c r="F34" s="4"/>
      <c r="G34" s="4"/>
      <c r="H34" s="3"/>
      <c r="J34" s="4"/>
    </row>
  </sheetData>
  <mergeCells count="6">
    <mergeCell ref="A1:F1"/>
    <mergeCell ref="A2:F2"/>
    <mergeCell ref="E4:F4"/>
    <mergeCell ref="A6:B6"/>
    <mergeCell ref="A25:B28"/>
    <mergeCell ref="E25:F25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D12" sqref="D12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231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46251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635"/>
      <c r="B8" s="635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24" customHeight="1">
      <c r="A10" s="97"/>
      <c r="B10" s="103" t="s">
        <v>176</v>
      </c>
      <c r="C10" s="136"/>
      <c r="D10" s="96">
        <v>12000</v>
      </c>
      <c r="F10" s="98"/>
      <c r="I10" s="4"/>
    </row>
    <row r="11" spans="1:10" s="98" customFormat="1" ht="21" customHeight="1">
      <c r="A11" s="99"/>
      <c r="B11" s="98" t="s">
        <v>232</v>
      </c>
      <c r="C11" s="136"/>
      <c r="D11" s="96"/>
      <c r="E11" s="100"/>
      <c r="F11" s="101"/>
    </row>
    <row r="12" spans="1:10" s="98" customFormat="1">
      <c r="A12" s="99"/>
      <c r="B12" s="98" t="s">
        <v>233</v>
      </c>
      <c r="C12" s="136"/>
      <c r="D12" s="139"/>
      <c r="E12" s="100"/>
      <c r="F12" s="101"/>
    </row>
    <row r="13" spans="1:10" s="98" customFormat="1" ht="15.75" customHeight="1">
      <c r="A13" s="99"/>
      <c r="B13" s="98" t="s">
        <v>234</v>
      </c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12000</v>
      </c>
      <c r="E16" s="112">
        <f>D17-E15</f>
        <v>12000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12000</v>
      </c>
      <c r="E17" s="115">
        <f>SUM(E12:E16)</f>
        <v>12000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33" t="s">
        <v>176</v>
      </c>
      <c r="B20" s="734"/>
      <c r="C20" s="84" t="s">
        <v>13</v>
      </c>
      <c r="D20" s="84"/>
      <c r="E20" s="689">
        <f>E17-E15</f>
        <v>12000</v>
      </c>
      <c r="F20" s="690"/>
      <c r="G20" s="3"/>
      <c r="I20" s="4"/>
    </row>
    <row r="21" spans="1:10" ht="19.5" customHeight="1">
      <c r="A21" s="733"/>
      <c r="B21" s="734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33"/>
      <c r="B22" s="734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35"/>
      <c r="B23" s="736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view="pageBreakPreview" zoomScaleNormal="100" zoomScaleSheetLayoutView="100" workbookViewId="0">
      <selection activeCell="A21" sqref="A21:B24"/>
    </sheetView>
  </sheetViews>
  <sheetFormatPr defaultColWidth="9.140625" defaultRowHeight="19.5"/>
  <cols>
    <col min="1" max="1" width="11" style="4" customWidth="1"/>
    <col min="2" max="2" width="25.5703125" style="4" customWidth="1"/>
    <col min="3" max="3" width="23.85546875" style="4" customWidth="1"/>
    <col min="4" max="4" width="22.425781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31.5" customHeight="1">
      <c r="A3" s="8"/>
      <c r="B3" s="8"/>
      <c r="C3" s="8"/>
      <c r="D3" s="6"/>
      <c r="E3" s="6"/>
      <c r="F3" s="83" t="s">
        <v>226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46251</v>
      </c>
      <c r="F4" s="683"/>
    </row>
    <row r="5" spans="1:10" ht="21" customHeight="1">
      <c r="A5" s="86" t="s">
        <v>4</v>
      </c>
      <c r="B5" s="87" t="s">
        <v>223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3" customHeight="1">
      <c r="A8" s="635"/>
      <c r="B8" s="635"/>
      <c r="C8" s="8"/>
      <c r="D8" s="85"/>
      <c r="E8" s="85"/>
      <c r="F8" s="8"/>
      <c r="J8" s="88"/>
    </row>
    <row r="9" spans="1:10" ht="9.75" customHeight="1">
      <c r="A9" s="94"/>
      <c r="B9" s="8"/>
      <c r="C9" s="8"/>
      <c r="D9" s="446"/>
      <c r="E9" s="6"/>
      <c r="F9" s="8"/>
      <c r="I9" s="4"/>
    </row>
    <row r="10" spans="1:10" ht="21.75" customHeight="1">
      <c r="A10" s="94"/>
      <c r="B10" s="103" t="s">
        <v>227</v>
      </c>
      <c r="C10" s="103"/>
      <c r="D10" s="96">
        <v>12150</v>
      </c>
      <c r="E10" s="6"/>
      <c r="F10" s="103"/>
      <c r="I10" s="4"/>
    </row>
    <row r="11" spans="1:10" s="98" customFormat="1" ht="17.25" customHeight="1">
      <c r="A11" s="102"/>
      <c r="B11" s="103" t="s">
        <v>228</v>
      </c>
      <c r="C11" s="103"/>
      <c r="D11" s="446">
        <v>31680</v>
      </c>
      <c r="E11" s="104"/>
      <c r="F11" s="105"/>
    </row>
    <row r="12" spans="1:10" s="98" customFormat="1" ht="17.25" customHeight="1">
      <c r="A12" s="102"/>
      <c r="B12" s="103" t="s">
        <v>229</v>
      </c>
      <c r="C12" s="103"/>
      <c r="D12" s="446">
        <v>2776.28</v>
      </c>
      <c r="E12" s="104"/>
      <c r="F12" s="105"/>
    </row>
    <row r="13" spans="1:10" s="98" customFormat="1" ht="17.25" customHeight="1">
      <c r="A13" s="102"/>
      <c r="B13" s="103" t="s">
        <v>230</v>
      </c>
      <c r="C13" s="103"/>
      <c r="D13" s="446">
        <v>3682.07</v>
      </c>
      <c r="E13" s="104"/>
      <c r="F13" s="105"/>
    </row>
    <row r="14" spans="1:10" s="98" customFormat="1" ht="9" customHeight="1">
      <c r="A14" s="102"/>
      <c r="E14" s="104"/>
      <c r="F14" s="105"/>
    </row>
    <row r="15" spans="1:10" s="98" customFormat="1" ht="6.75" customHeight="1">
      <c r="A15" s="102"/>
      <c r="B15" s="103"/>
      <c r="C15" s="103"/>
      <c r="D15" s="446"/>
      <c r="E15" s="104"/>
      <c r="F15" s="105"/>
    </row>
    <row r="16" spans="1:10" s="111" customFormat="1" ht="5.25" customHeight="1">
      <c r="A16" s="106"/>
      <c r="B16" s="107"/>
      <c r="C16" s="108"/>
      <c r="D16" s="109"/>
      <c r="E16" s="109"/>
      <c r="F16" s="110"/>
    </row>
    <row r="17" spans="1:10" s="516" customFormat="1" ht="18" customHeight="1">
      <c r="A17" s="323"/>
      <c r="B17" s="9"/>
      <c r="C17" s="9" t="s">
        <v>9</v>
      </c>
      <c r="D17" s="112">
        <f>SUM(D9:D13)</f>
        <v>50288.35</v>
      </c>
      <c r="E17" s="112">
        <f>D18-E16</f>
        <v>50288.35</v>
      </c>
      <c r="F17" s="113"/>
    </row>
    <row r="18" spans="1:10" s="516" customFormat="1" ht="18" customHeight="1" thickBot="1">
      <c r="A18" s="323"/>
      <c r="B18" s="9" t="s">
        <v>8</v>
      </c>
      <c r="C18" s="9" t="s">
        <v>10</v>
      </c>
      <c r="D18" s="115">
        <f>SUM(D9:D13)</f>
        <v>50288.35</v>
      </c>
      <c r="E18" s="115">
        <f>SUM(E14:E17)</f>
        <v>50288.35</v>
      </c>
      <c r="F18" s="116"/>
    </row>
    <row r="19" spans="1:10" s="98" customFormat="1" ht="18" customHeight="1" thickTop="1">
      <c r="A19" s="8"/>
      <c r="B19" s="8"/>
      <c r="C19" s="8" t="s">
        <v>8</v>
      </c>
      <c r="D19" s="104"/>
      <c r="E19" s="104"/>
      <c r="F19" s="84"/>
    </row>
    <row r="20" spans="1:10" ht="18" customHeight="1">
      <c r="A20" s="117" t="s">
        <v>11</v>
      </c>
      <c r="B20" s="118"/>
      <c r="C20" s="119" t="s">
        <v>12</v>
      </c>
      <c r="D20" s="120"/>
      <c r="E20" s="120"/>
      <c r="F20" s="118"/>
      <c r="G20" s="3"/>
      <c r="I20" s="4"/>
    </row>
    <row r="21" spans="1:10" ht="30.75" customHeight="1">
      <c r="A21" s="685" t="s">
        <v>224</v>
      </c>
      <c r="B21" s="686"/>
      <c r="C21" s="84" t="s">
        <v>13</v>
      </c>
      <c r="D21" s="84"/>
      <c r="E21" s="689">
        <f>E18-E16</f>
        <v>50288.35</v>
      </c>
      <c r="F21" s="690"/>
      <c r="G21" s="3"/>
      <c r="I21" s="4"/>
    </row>
    <row r="22" spans="1:10" ht="18" customHeight="1">
      <c r="A22" s="685"/>
      <c r="B22" s="686"/>
      <c r="C22" s="84" t="s">
        <v>35</v>
      </c>
      <c r="D22" s="121" t="s">
        <v>36</v>
      </c>
      <c r="E22" s="122"/>
      <c r="F22" s="84"/>
      <c r="G22" s="3"/>
      <c r="I22" s="4"/>
    </row>
    <row r="23" spans="1:10" ht="18" customHeight="1">
      <c r="A23" s="685"/>
      <c r="B23" s="686"/>
      <c r="C23" s="84" t="s">
        <v>37</v>
      </c>
      <c r="D23" s="123"/>
      <c r="E23" s="691"/>
      <c r="F23" s="692"/>
      <c r="G23" s="3"/>
      <c r="I23" s="4"/>
    </row>
    <row r="24" spans="1:10" ht="43.5" customHeight="1">
      <c r="A24" s="687"/>
      <c r="B24" s="688"/>
      <c r="C24" s="86" t="s">
        <v>16</v>
      </c>
      <c r="D24" s="518" t="str">
        <f>B5</f>
        <v>GILBERT BERSAMIN</v>
      </c>
      <c r="E24" s="519" t="s">
        <v>179</v>
      </c>
      <c r="F24" s="124"/>
      <c r="G24" s="3"/>
      <c r="H24" s="125"/>
    </row>
    <row r="25" spans="1:10" ht="20.25" customHeight="1">
      <c r="A25" s="4" t="s">
        <v>17</v>
      </c>
      <c r="C25" s="4" t="s">
        <v>18</v>
      </c>
      <c r="E25" s="193" t="s">
        <v>19</v>
      </c>
      <c r="G25" s="3"/>
      <c r="J25" s="88"/>
    </row>
    <row r="26" spans="1:10" ht="20.25" customHeight="1">
      <c r="A26" s="8"/>
      <c r="B26" s="8"/>
      <c r="C26" s="8"/>
      <c r="D26" s="6"/>
      <c r="E26" s="7"/>
      <c r="F26" s="8"/>
      <c r="G26" s="3"/>
      <c r="J26" s="88"/>
    </row>
    <row r="27" spans="1:10" s="128" customFormat="1" ht="26.25" customHeight="1">
      <c r="A27" s="128" t="s">
        <v>225</v>
      </c>
      <c r="E27" s="129"/>
      <c r="H27" s="129"/>
      <c r="I27" s="130"/>
    </row>
    <row r="28" spans="1:10" ht="1.5" hidden="1" customHeight="1">
      <c r="A28" s="8"/>
      <c r="B28" s="8"/>
      <c r="C28" s="8"/>
      <c r="D28" s="6"/>
      <c r="E28" s="6"/>
      <c r="F28" s="8"/>
      <c r="J28" s="88"/>
    </row>
    <row r="29" spans="1:10" ht="9.75" customHeight="1">
      <c r="H29" s="3"/>
    </row>
    <row r="30" spans="1:10" s="131" customFormat="1" ht="18.75" customHeight="1">
      <c r="A30" s="4"/>
      <c r="B30" s="4"/>
      <c r="C30" s="4"/>
      <c r="D30" s="3"/>
      <c r="E30" s="3"/>
      <c r="F30" s="4"/>
      <c r="H30" s="132"/>
      <c r="I30" s="133"/>
    </row>
    <row r="31" spans="1:10">
      <c r="H31" s="125"/>
      <c r="J31" s="134"/>
    </row>
    <row r="32" spans="1:10">
      <c r="C32" s="4" t="s">
        <v>8</v>
      </c>
      <c r="D32" s="4"/>
      <c r="E32" s="4"/>
    </row>
    <row r="34" spans="4:9">
      <c r="I34" s="4"/>
    </row>
    <row r="35" spans="4:9">
      <c r="D35" s="4"/>
      <c r="E35" s="4"/>
    </row>
  </sheetData>
  <mergeCells count="7">
    <mergeCell ref="A1:F1"/>
    <mergeCell ref="A2:F2"/>
    <mergeCell ref="E4:F4"/>
    <mergeCell ref="A6:B6"/>
    <mergeCell ref="A21:B24"/>
    <mergeCell ref="E21:F21"/>
    <mergeCell ref="E23:F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view="pageBreakPreview" topLeftCell="A7" zoomScale="115" zoomScaleNormal="100" zoomScaleSheetLayoutView="115" workbookViewId="0">
      <selection activeCell="A20" sqref="A20:B22"/>
    </sheetView>
  </sheetViews>
  <sheetFormatPr defaultColWidth="9.140625" defaultRowHeight="19.5"/>
  <cols>
    <col min="1" max="1" width="8.42578125" style="586" customWidth="1"/>
    <col min="2" max="2" width="29.28515625" style="586" customWidth="1"/>
    <col min="3" max="3" width="20" style="586" customWidth="1"/>
    <col min="4" max="4" width="20.7109375" style="588" customWidth="1"/>
    <col min="5" max="5" width="28.7109375" style="588" customWidth="1"/>
    <col min="6" max="6" width="13.85546875" style="586" customWidth="1"/>
    <col min="7" max="7" width="9.140625" style="586"/>
    <col min="8" max="8" width="10" style="586" customWidth="1"/>
    <col min="9" max="9" width="9.140625" style="587"/>
    <col min="10" max="10" width="10" style="586" customWidth="1"/>
    <col min="11" max="16384" width="9.140625" style="586"/>
  </cols>
  <sheetData>
    <row r="1" spans="1:11" s="584" customFormat="1" ht="18.75" customHeight="1">
      <c r="A1" s="737" t="s">
        <v>0</v>
      </c>
      <c r="B1" s="737"/>
      <c r="C1" s="737"/>
      <c r="D1" s="737"/>
      <c r="E1" s="737"/>
      <c r="F1" s="737"/>
      <c r="I1" s="585"/>
    </row>
    <row r="2" spans="1:11" ht="15.75" customHeight="1">
      <c r="A2" s="738" t="s">
        <v>1</v>
      </c>
      <c r="B2" s="738"/>
      <c r="C2" s="738"/>
      <c r="D2" s="738"/>
      <c r="E2" s="738"/>
      <c r="F2" s="738"/>
    </row>
    <row r="3" spans="1:11" ht="36" customHeight="1">
      <c r="F3" s="589" t="s">
        <v>221</v>
      </c>
    </row>
    <row r="4" spans="1:11" ht="6.75" customHeight="1">
      <c r="A4" s="739"/>
      <c r="B4" s="739"/>
      <c r="C4" s="739"/>
      <c r="D4" s="739"/>
      <c r="E4" s="739"/>
    </row>
    <row r="5" spans="1:11" ht="16.5" customHeight="1">
      <c r="B5" s="590" t="s">
        <v>2</v>
      </c>
      <c r="D5" s="591" t="s">
        <v>3</v>
      </c>
      <c r="E5" s="592">
        <v>46248</v>
      </c>
    </row>
    <row r="6" spans="1:11" ht="19.5" customHeight="1">
      <c r="A6" s="593" t="s">
        <v>4</v>
      </c>
      <c r="B6" s="594" t="s">
        <v>217</v>
      </c>
      <c r="C6" s="593"/>
      <c r="D6" s="593"/>
      <c r="E6" s="590"/>
      <c r="J6" s="595"/>
    </row>
    <row r="7" spans="1:11" ht="17.25" customHeight="1">
      <c r="A7" s="740"/>
      <c r="B7" s="740"/>
      <c r="C7" s="593"/>
      <c r="D7" s="596" t="s">
        <v>5</v>
      </c>
      <c r="E7" s="597" t="s">
        <v>6</v>
      </c>
      <c r="F7" s="598"/>
      <c r="G7" s="586" t="s">
        <v>7</v>
      </c>
      <c r="J7" s="595"/>
    </row>
    <row r="8" spans="1:11" ht="6" customHeight="1">
      <c r="A8" s="599"/>
      <c r="B8" s="599"/>
      <c r="C8" s="600"/>
      <c r="I8" s="586"/>
    </row>
    <row r="9" spans="1:11" ht="12.75" customHeight="1">
      <c r="A9" s="601"/>
      <c r="B9" s="602"/>
      <c r="C9" s="603"/>
      <c r="D9" s="604"/>
      <c r="E9" s="604"/>
      <c r="F9" s="584"/>
      <c r="I9" s="586"/>
    </row>
    <row r="10" spans="1:11" s="584" customFormat="1" ht="17.25" customHeight="1">
      <c r="A10" s="601"/>
      <c r="B10" s="603" t="s">
        <v>41</v>
      </c>
      <c r="C10" s="603"/>
      <c r="D10" s="604">
        <f>66044/1.12</f>
        <v>58967.857142857138</v>
      </c>
      <c r="E10" s="604"/>
      <c r="H10" s="584">
        <v>10700</v>
      </c>
    </row>
    <row r="11" spans="1:11" s="584" customFormat="1" ht="15.75" customHeight="1">
      <c r="A11" s="601"/>
      <c r="B11" s="584" t="s">
        <v>124</v>
      </c>
      <c r="D11" s="604">
        <f>D10*0.12</f>
        <v>7076.142857142856</v>
      </c>
      <c r="E11" s="604"/>
      <c r="H11" s="584">
        <v>27600</v>
      </c>
      <c r="K11" s="584" t="s">
        <v>8</v>
      </c>
    </row>
    <row r="12" spans="1:11" ht="15.75" customHeight="1">
      <c r="A12" s="601"/>
      <c r="B12" s="584"/>
      <c r="C12" s="584"/>
      <c r="D12" s="604"/>
      <c r="E12" s="604"/>
      <c r="F12" s="584"/>
      <c r="H12" s="586">
        <v>27744</v>
      </c>
      <c r="I12" s="586"/>
    </row>
    <row r="13" spans="1:11" ht="15.75" customHeight="1">
      <c r="A13" s="601"/>
      <c r="B13" s="584"/>
      <c r="C13" s="584"/>
      <c r="D13" s="604"/>
      <c r="E13" s="604"/>
      <c r="F13" s="584"/>
      <c r="I13" s="586"/>
    </row>
    <row r="14" spans="1:11" ht="15.75" customHeight="1">
      <c r="A14" s="601"/>
      <c r="B14" s="584"/>
      <c r="C14" s="584"/>
      <c r="D14" s="604"/>
      <c r="E14" s="604"/>
      <c r="F14" s="584"/>
      <c r="I14" s="586"/>
    </row>
    <row r="15" spans="1:11" s="609" customFormat="1" ht="15" customHeight="1">
      <c r="A15" s="605"/>
      <c r="B15" s="606"/>
      <c r="C15" s="607" t="s">
        <v>132</v>
      </c>
      <c r="D15" s="608"/>
      <c r="E15" s="608">
        <f>D10*0.01</f>
        <v>589.67857142857144</v>
      </c>
    </row>
    <row r="16" spans="1:11" s="584" customFormat="1" ht="18.75" customHeight="1">
      <c r="C16" s="584" t="s">
        <v>9</v>
      </c>
      <c r="D16" s="610"/>
      <c r="E16" s="610">
        <f>D17-E15</f>
        <v>65454.321428571428</v>
      </c>
      <c r="F16" s="611"/>
      <c r="H16" s="612"/>
    </row>
    <row r="17" spans="1:10" s="584" customFormat="1" ht="24" customHeight="1" thickBot="1">
      <c r="B17" s="584" t="s">
        <v>8</v>
      </c>
      <c r="C17" s="584" t="s">
        <v>10</v>
      </c>
      <c r="D17" s="613">
        <f>SUM(D8:D16)</f>
        <v>66044</v>
      </c>
      <c r="E17" s="613">
        <f>SUM(E8:E16)</f>
        <v>66044</v>
      </c>
      <c r="F17" s="614"/>
      <c r="H17" s="584">
        <f>65454.32+589.68</f>
        <v>66044</v>
      </c>
    </row>
    <row r="18" spans="1:10" ht="6.75" customHeight="1" thickTop="1">
      <c r="D18" s="615"/>
      <c r="E18" s="615"/>
      <c r="F18" s="590"/>
      <c r="I18" s="586"/>
    </row>
    <row r="19" spans="1:10" ht="13.5" customHeight="1">
      <c r="A19" s="616" t="s">
        <v>11</v>
      </c>
      <c r="B19" s="617"/>
      <c r="C19" s="618" t="s">
        <v>12</v>
      </c>
      <c r="D19" s="619"/>
      <c r="E19" s="619"/>
      <c r="F19" s="617"/>
      <c r="I19" s="586"/>
    </row>
    <row r="20" spans="1:10" ht="22.5" customHeight="1">
      <c r="A20" s="741" t="s">
        <v>222</v>
      </c>
      <c r="B20" s="742"/>
      <c r="C20" s="590" t="s">
        <v>13</v>
      </c>
      <c r="D20" s="590"/>
      <c r="E20" s="620">
        <f>E16</f>
        <v>65454.321428571428</v>
      </c>
      <c r="F20" s="621"/>
    </row>
    <row r="21" spans="1:10" ht="22.5" customHeight="1">
      <c r="A21" s="743"/>
      <c r="B21" s="742"/>
      <c r="C21" s="590" t="s">
        <v>14</v>
      </c>
      <c r="D21" s="622" t="s">
        <v>218</v>
      </c>
      <c r="E21" s="623"/>
      <c r="F21" s="624"/>
      <c r="G21" s="625"/>
      <c r="J21" s="595"/>
    </row>
    <row r="22" spans="1:10" ht="38.1" customHeight="1">
      <c r="A22" s="744"/>
      <c r="B22" s="745"/>
      <c r="C22" s="593" t="s">
        <v>16</v>
      </c>
      <c r="D22" s="626" t="str">
        <f>B6</f>
        <v>PHILTYRES CORPORATION</v>
      </c>
      <c r="E22" s="627" t="s">
        <v>137</v>
      </c>
      <c r="F22" s="624"/>
      <c r="J22" s="595"/>
    </row>
    <row r="23" spans="1:10" ht="7.5" customHeight="1">
      <c r="A23" s="628"/>
      <c r="B23" s="628"/>
      <c r="C23" s="590"/>
      <c r="D23" s="629"/>
      <c r="E23" s="615"/>
      <c r="F23" s="590"/>
      <c r="J23" s="595"/>
    </row>
    <row r="24" spans="1:10" s="625" customFormat="1" ht="15" customHeight="1">
      <c r="A24" s="625" t="s">
        <v>17</v>
      </c>
      <c r="C24" s="625" t="s">
        <v>18</v>
      </c>
      <c r="E24" s="630" t="s">
        <v>219</v>
      </c>
      <c r="H24" s="630"/>
      <c r="I24" s="631"/>
    </row>
    <row r="25" spans="1:10" ht="12.75" customHeight="1">
      <c r="H25" s="588"/>
    </row>
    <row r="26" spans="1:10" s="10" customFormat="1" ht="26.25" customHeight="1">
      <c r="A26" s="632" t="s">
        <v>220</v>
      </c>
      <c r="E26" s="11"/>
      <c r="H26" s="11"/>
      <c r="I26" s="12"/>
    </row>
    <row r="27" spans="1:10">
      <c r="H27" s="633"/>
      <c r="J27" s="634"/>
    </row>
    <row r="30" spans="1:10">
      <c r="C30" s="586" t="s">
        <v>8</v>
      </c>
      <c r="D30" s="586"/>
      <c r="E30" s="586"/>
      <c r="I30" s="586"/>
    </row>
  </sheetData>
  <mergeCells count="5">
    <mergeCell ref="A1:F1"/>
    <mergeCell ref="A2:F2"/>
    <mergeCell ref="A4:E4"/>
    <mergeCell ref="A7:B7"/>
    <mergeCell ref="A20:B22"/>
  </mergeCells>
  <printOptions horizontalCentered="1"/>
  <pageMargins left="0.2" right="0.2" top="0.2" bottom="0.5" header="0.3" footer="0.3"/>
  <pageSetup scale="85" orientation="portrait" horizontalDpi="120" verticalDpi="72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215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46247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524"/>
      <c r="B8" s="524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24" customHeight="1">
      <c r="A10" s="97"/>
      <c r="B10" s="98" t="s">
        <v>115</v>
      </c>
      <c r="C10" s="136"/>
      <c r="D10" s="96">
        <v>35000</v>
      </c>
      <c r="F10" s="98"/>
      <c r="I10" s="4"/>
    </row>
    <row r="11" spans="1:10" s="98" customFormat="1" ht="21" customHeight="1">
      <c r="A11" s="99"/>
      <c r="B11" s="103" t="s">
        <v>114</v>
      </c>
      <c r="C11" s="136"/>
      <c r="D11" s="96"/>
      <c r="E11" s="100"/>
      <c r="F11" s="101"/>
    </row>
    <row r="12" spans="1:10" s="98" customForma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35000</v>
      </c>
      <c r="E16" s="112">
        <f>D17-E15</f>
        <v>35000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35000</v>
      </c>
      <c r="E17" s="115">
        <f>SUM(E12:E16)</f>
        <v>35000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216</v>
      </c>
      <c r="B20" s="717"/>
      <c r="C20" s="84" t="s">
        <v>13</v>
      </c>
      <c r="D20" s="84"/>
      <c r="E20" s="689">
        <f>E17-E15</f>
        <v>35000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view="pageBreakPreview" zoomScale="85" zoomScaleNormal="100" zoomScaleSheetLayoutView="85" workbookViewId="0">
      <selection activeCell="B5" sqref="B5"/>
    </sheetView>
  </sheetViews>
  <sheetFormatPr defaultColWidth="9.140625" defaultRowHeight="19.5"/>
  <cols>
    <col min="1" max="1" width="8.7109375" style="274" customWidth="1"/>
    <col min="2" max="2" width="28.85546875" style="274" customWidth="1"/>
    <col min="3" max="3" width="20.7109375" style="274" customWidth="1"/>
    <col min="4" max="4" width="26.42578125" style="276" customWidth="1"/>
    <col min="5" max="5" width="42.8554687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272" customFormat="1" ht="34.5" customHeight="1">
      <c r="A1" s="693" t="s">
        <v>0</v>
      </c>
      <c r="B1" s="693"/>
      <c r="C1" s="693"/>
      <c r="D1" s="693"/>
      <c r="E1" s="693"/>
      <c r="F1" s="693"/>
      <c r="I1" s="273"/>
    </row>
    <row r="2" spans="1:10" ht="15.75" customHeight="1">
      <c r="A2" s="746" t="s">
        <v>1</v>
      </c>
      <c r="B2" s="746"/>
      <c r="C2" s="746"/>
      <c r="D2" s="746"/>
      <c r="E2" s="746"/>
      <c r="F2" s="746"/>
    </row>
    <row r="3" spans="1:10" ht="21.75" customHeight="1">
      <c r="F3" s="277" t="s">
        <v>214</v>
      </c>
    </row>
    <row r="4" spans="1:10" ht="20.25" customHeight="1">
      <c r="B4" s="278" t="s">
        <v>2</v>
      </c>
      <c r="D4" s="279" t="s">
        <v>3</v>
      </c>
      <c r="E4" s="747">
        <v>46247</v>
      </c>
      <c r="F4" s="747"/>
    </row>
    <row r="5" spans="1:10" ht="20.25" customHeight="1">
      <c r="A5" s="2" t="s">
        <v>4</v>
      </c>
      <c r="B5" s="495" t="s">
        <v>156</v>
      </c>
      <c r="C5" s="2"/>
      <c r="D5" s="281"/>
      <c r="E5" s="278"/>
      <c r="J5" s="282"/>
    </row>
    <row r="6" spans="1:10" ht="15.75" customHeight="1">
      <c r="A6" s="748"/>
      <c r="B6" s="748"/>
      <c r="C6" s="2"/>
      <c r="D6" s="283" t="s">
        <v>5</v>
      </c>
      <c r="E6" s="284" t="s">
        <v>6</v>
      </c>
      <c r="F6" s="285"/>
      <c r="G6" s="274" t="s">
        <v>7</v>
      </c>
      <c r="J6" s="282"/>
    </row>
    <row r="7" spans="1:10" ht="16.5" customHeight="1">
      <c r="A7" s="286"/>
      <c r="B7" s="583" t="s">
        <v>207</v>
      </c>
      <c r="C7" s="278"/>
      <c r="D7" s="287">
        <v>4000</v>
      </c>
      <c r="E7" s="287"/>
      <c r="F7" s="278"/>
      <c r="J7" s="282"/>
    </row>
    <row r="8" spans="1:10" ht="21" customHeight="1">
      <c r="A8" s="288"/>
      <c r="B8" s="583" t="s">
        <v>208</v>
      </c>
      <c r="C8" s="289"/>
      <c r="D8" s="276">
        <v>4000</v>
      </c>
      <c r="I8" s="274"/>
    </row>
    <row r="9" spans="1:10" s="497" customFormat="1" ht="23.25" customHeight="1">
      <c r="A9" s="496"/>
      <c r="B9" s="583" t="s">
        <v>209</v>
      </c>
      <c r="D9" s="276">
        <v>4000</v>
      </c>
      <c r="E9" s="499"/>
    </row>
    <row r="10" spans="1:10" s="272" customFormat="1" ht="19.5" customHeight="1">
      <c r="A10" s="500"/>
      <c r="B10" s="583" t="s">
        <v>210</v>
      </c>
      <c r="C10" s="299"/>
      <c r="D10" s="276">
        <v>4000</v>
      </c>
      <c r="E10" s="300"/>
    </row>
    <row r="11" spans="1:10" s="272" customFormat="1" ht="19.5" customHeight="1">
      <c r="A11" s="500"/>
      <c r="B11" s="583" t="s">
        <v>211</v>
      </c>
      <c r="C11" s="299"/>
      <c r="D11" s="276">
        <v>4000</v>
      </c>
      <c r="E11" s="300"/>
    </row>
    <row r="12" spans="1:10" s="272" customFormat="1" ht="19.5" customHeight="1">
      <c r="A12" s="298"/>
      <c r="B12" s="583" t="s">
        <v>212</v>
      </c>
      <c r="C12" s="299"/>
      <c r="D12" s="276">
        <v>4000</v>
      </c>
      <c r="E12" s="300"/>
    </row>
    <row r="13" spans="1:10" s="505" customFormat="1" ht="21" customHeight="1">
      <c r="A13" s="502"/>
      <c r="B13" s="503"/>
      <c r="C13" s="504"/>
      <c r="D13" s="498"/>
      <c r="E13" s="498"/>
    </row>
    <row r="14" spans="1:10" s="506" customFormat="1" ht="21" customHeight="1">
      <c r="B14" s="506" t="s">
        <v>8</v>
      </c>
      <c r="C14" s="506" t="s">
        <v>9</v>
      </c>
      <c r="D14" s="507"/>
      <c r="E14" s="507">
        <f>D15</f>
        <v>24000</v>
      </c>
      <c r="F14" s="280"/>
    </row>
    <row r="15" spans="1:10" s="506" customFormat="1" ht="24" customHeight="1" thickBot="1">
      <c r="B15" s="506" t="s">
        <v>8</v>
      </c>
      <c r="C15" s="506" t="s">
        <v>10</v>
      </c>
      <c r="D15" s="508">
        <f>SUM(D7:D12)</f>
        <v>24000</v>
      </c>
      <c r="E15" s="508">
        <f>E14-E13</f>
        <v>24000</v>
      </c>
      <c r="F15" s="509"/>
    </row>
    <row r="16" spans="1:10" ht="6.75" customHeight="1" thickTop="1">
      <c r="D16" s="305"/>
      <c r="E16" s="305"/>
      <c r="F16" s="278"/>
      <c r="I16" s="274"/>
    </row>
    <row r="17" spans="1:10" ht="19.5" customHeight="1">
      <c r="A17" s="306" t="s">
        <v>11</v>
      </c>
      <c r="B17" s="307"/>
      <c r="C17" s="308" t="s">
        <v>12</v>
      </c>
      <c r="D17" s="309"/>
      <c r="E17" s="309"/>
      <c r="F17" s="307"/>
      <c r="I17" s="274"/>
    </row>
    <row r="18" spans="1:10" ht="26.25" customHeight="1">
      <c r="A18" s="697" t="s">
        <v>213</v>
      </c>
      <c r="B18" s="698"/>
      <c r="C18" s="278" t="s">
        <v>13</v>
      </c>
      <c r="D18" s="278"/>
      <c r="E18" s="749">
        <f>E15</f>
        <v>24000</v>
      </c>
      <c r="F18" s="750"/>
    </row>
    <row r="19" spans="1:10" ht="13.5" customHeight="1">
      <c r="A19" s="699"/>
      <c r="B19" s="698"/>
      <c r="C19" s="278" t="s">
        <v>14</v>
      </c>
      <c r="D19" s="312" t="s">
        <v>85</v>
      </c>
      <c r="E19" s="313"/>
      <c r="F19" s="314"/>
      <c r="G19" s="315"/>
      <c r="J19" s="282"/>
    </row>
    <row r="20" spans="1:10" ht="39" customHeight="1">
      <c r="A20" s="700"/>
      <c r="B20" s="701"/>
      <c r="C20" s="2" t="s">
        <v>16</v>
      </c>
      <c r="D20" s="2" t="str">
        <f>B5</f>
        <v>GUAZON ACCOUNTING AND AUDITING OFFICE</v>
      </c>
      <c r="E20" s="510"/>
      <c r="F20" s="314"/>
      <c r="J20" s="282"/>
    </row>
    <row r="21" spans="1:10" ht="15" customHeight="1">
      <c r="A21" s="274" t="s">
        <v>17</v>
      </c>
      <c r="C21" s="274" t="s">
        <v>18</v>
      </c>
      <c r="D21" s="274"/>
      <c r="E21" s="511" t="s">
        <v>158</v>
      </c>
      <c r="H21" s="276"/>
    </row>
    <row r="22" spans="1:10" ht="24" customHeight="1">
      <c r="H22" s="276"/>
    </row>
    <row r="23" spans="1:10" s="493" customFormat="1" ht="28.5" customHeight="1">
      <c r="A23" s="493" t="s">
        <v>206</v>
      </c>
      <c r="E23" s="512"/>
      <c r="H23" s="512"/>
      <c r="I23" s="513"/>
    </row>
    <row r="25" spans="1:10">
      <c r="C25" s="274" t="s">
        <v>8</v>
      </c>
      <c r="D25" s="274"/>
      <c r="E25" s="274"/>
      <c r="I25" s="274"/>
    </row>
  </sheetData>
  <mergeCells count="6">
    <mergeCell ref="A1:F1"/>
    <mergeCell ref="A2:F2"/>
    <mergeCell ref="E4:F4"/>
    <mergeCell ref="A6:B6"/>
    <mergeCell ref="A18:B20"/>
    <mergeCell ref="E18:F18"/>
  </mergeCells>
  <printOptions horizontalCentered="1"/>
  <pageMargins left="0.25" right="0.25" top="0.75" bottom="0.75" header="0.3" footer="0.3"/>
  <pageSetup scale="75" orientation="portrait" verticalDpi="72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="73" zoomScaleNormal="100" zoomScaleSheetLayoutView="73" workbookViewId="0">
      <selection activeCell="B6" sqref="B6"/>
    </sheetView>
  </sheetViews>
  <sheetFormatPr defaultColWidth="9.140625" defaultRowHeight="19.5"/>
  <cols>
    <col min="1" max="1" width="10.140625" style="274" customWidth="1"/>
    <col min="2" max="2" width="25.42578125" style="274" customWidth="1"/>
    <col min="3" max="3" width="14.42578125" style="274" customWidth="1"/>
    <col min="4" max="4" width="23.7109375" style="276" customWidth="1"/>
    <col min="5" max="5" width="50.14062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506" customFormat="1" ht="34.5" customHeight="1">
      <c r="A1" s="693" t="s">
        <v>0</v>
      </c>
      <c r="B1" s="693"/>
      <c r="C1" s="693"/>
      <c r="D1" s="693"/>
      <c r="E1" s="693"/>
      <c r="F1" s="693"/>
      <c r="I1" s="559"/>
    </row>
    <row r="2" spans="1:10" ht="24.75" customHeight="1">
      <c r="A2" s="694" t="s">
        <v>1</v>
      </c>
      <c r="B2" s="694"/>
      <c r="C2" s="694"/>
      <c r="D2" s="694"/>
      <c r="E2" s="694"/>
      <c r="F2" s="694"/>
    </row>
    <row r="3" spans="1:10" ht="21.75" customHeight="1">
      <c r="F3" s="277" t="s">
        <v>204</v>
      </c>
    </row>
    <row r="4" spans="1:10" ht="6.75" customHeight="1">
      <c r="A4" s="695"/>
      <c r="B4" s="695"/>
      <c r="C4" s="695"/>
      <c r="D4" s="695"/>
      <c r="E4" s="695"/>
    </row>
    <row r="5" spans="1:10" ht="22.5" customHeight="1">
      <c r="B5" s="278" t="s">
        <v>2</v>
      </c>
      <c r="D5" s="279" t="s">
        <v>3</v>
      </c>
      <c r="E5" s="560">
        <v>46247</v>
      </c>
      <c r="F5" s="561"/>
    </row>
    <row r="6" spans="1:10" s="272" customFormat="1" ht="19.5" customHeight="1">
      <c r="A6" s="302" t="s">
        <v>4</v>
      </c>
      <c r="B6" s="562" t="s">
        <v>199</v>
      </c>
      <c r="C6" s="302"/>
      <c r="D6" s="301"/>
      <c r="E6" s="563"/>
      <c r="I6" s="273"/>
      <c r="J6" s="564"/>
    </row>
    <row r="7" spans="1:10" s="272" customFormat="1" ht="15.75" customHeight="1">
      <c r="A7" s="696"/>
      <c r="B7" s="696"/>
      <c r="C7" s="302"/>
      <c r="D7" s="565" t="s">
        <v>5</v>
      </c>
      <c r="E7" s="566" t="s">
        <v>6</v>
      </c>
      <c r="F7" s="567"/>
      <c r="G7" s="272" t="s">
        <v>7</v>
      </c>
      <c r="I7" s="273"/>
      <c r="J7" s="564"/>
    </row>
    <row r="8" spans="1:10" ht="13.5" customHeight="1">
      <c r="A8" s="286"/>
      <c r="B8" s="286"/>
      <c r="C8" s="278"/>
      <c r="D8" s="287"/>
      <c r="E8" s="287"/>
      <c r="F8" s="278"/>
      <c r="J8" s="282"/>
    </row>
    <row r="9" spans="1:10" ht="12.75" customHeight="1">
      <c r="A9" s="288"/>
      <c r="B9" s="289"/>
      <c r="C9" s="289"/>
      <c r="I9" s="274"/>
    </row>
    <row r="10" spans="1:10" s="572" customFormat="1" ht="19.5" customHeight="1">
      <c r="A10" s="568"/>
      <c r="B10" s="569" t="s">
        <v>200</v>
      </c>
      <c r="C10" s="570"/>
      <c r="D10" s="571">
        <v>12000</v>
      </c>
      <c r="E10" s="571"/>
    </row>
    <row r="11" spans="1:10" s="272" customFormat="1" ht="13.5" customHeight="1">
      <c r="A11" s="298"/>
      <c r="B11" s="295"/>
      <c r="C11" s="299"/>
      <c r="D11" s="300"/>
      <c r="E11" s="300"/>
    </row>
    <row r="12" spans="1:10" s="272" customFormat="1" ht="13.5" customHeight="1">
      <c r="A12" s="298"/>
      <c r="B12" s="295"/>
      <c r="C12" s="573"/>
      <c r="D12" s="300"/>
      <c r="E12" s="300"/>
    </row>
    <row r="13" spans="1:10" s="272" customFormat="1" ht="15.75" customHeight="1">
      <c r="A13" s="298"/>
      <c r="B13" s="295"/>
      <c r="C13" s="299"/>
      <c r="D13" s="300"/>
      <c r="E13" s="300"/>
    </row>
    <row r="14" spans="1:10" s="294" customFormat="1" ht="15.75" customHeight="1">
      <c r="B14" s="294" t="s">
        <v>8</v>
      </c>
      <c r="C14" s="294" t="s">
        <v>9</v>
      </c>
      <c r="D14" s="574"/>
      <c r="E14" s="574">
        <f>D15</f>
        <v>12000</v>
      </c>
      <c r="F14" s="575"/>
    </row>
    <row r="15" spans="1:10" s="294" customFormat="1" ht="22.5" customHeight="1" thickBot="1">
      <c r="B15" s="294" t="s">
        <v>8</v>
      </c>
      <c r="C15" s="294" t="s">
        <v>10</v>
      </c>
      <c r="D15" s="576">
        <f>SUM(D10:D14)</f>
        <v>12000</v>
      </c>
      <c r="E15" s="576">
        <f>E14-E13</f>
        <v>12000</v>
      </c>
      <c r="F15" s="577"/>
    </row>
    <row r="16" spans="1:10" ht="6.75" customHeight="1" thickTop="1">
      <c r="D16" s="305"/>
      <c r="E16" s="305"/>
      <c r="F16" s="278"/>
      <c r="I16" s="274"/>
    </row>
    <row r="17" spans="1:10" ht="19.5" customHeight="1">
      <c r="A17" s="306" t="s">
        <v>11</v>
      </c>
      <c r="B17" s="307"/>
      <c r="C17" s="308" t="s">
        <v>12</v>
      </c>
      <c r="D17" s="309"/>
      <c r="E17" s="309"/>
      <c r="F17" s="307"/>
      <c r="I17" s="274"/>
    </row>
    <row r="18" spans="1:10" ht="23.25" customHeight="1">
      <c r="A18" s="697" t="s">
        <v>205</v>
      </c>
      <c r="B18" s="698"/>
      <c r="C18" s="278" t="s">
        <v>13</v>
      </c>
      <c r="D18" s="278"/>
      <c r="E18" s="578">
        <f>E15</f>
        <v>12000</v>
      </c>
      <c r="F18" s="579"/>
    </row>
    <row r="19" spans="1:10" s="272" customFormat="1" ht="19.5" customHeight="1">
      <c r="A19" s="699"/>
      <c r="B19" s="698"/>
      <c r="C19" s="563" t="s">
        <v>14</v>
      </c>
      <c r="D19" s="1" t="s">
        <v>15</v>
      </c>
      <c r="E19" s="580"/>
      <c r="F19" s="581"/>
      <c r="I19" s="273"/>
      <c r="J19" s="564"/>
    </row>
    <row r="20" spans="1:10" ht="61.5" customHeight="1">
      <c r="A20" s="700"/>
      <c r="B20" s="701"/>
      <c r="C20" s="2" t="s">
        <v>16</v>
      </c>
      <c r="D20" s="2" t="str">
        <f>B6</f>
        <v>QUENN MARIA CAPELLA SECURITY AGENCY//ROY MIRANDA</v>
      </c>
      <c r="E20" s="582"/>
      <c r="F20" s="314"/>
      <c r="J20" s="282"/>
    </row>
    <row r="21" spans="1:10" ht="11.25" customHeight="1">
      <c r="A21" s="317"/>
      <c r="B21" s="317"/>
      <c r="C21" s="278"/>
      <c r="D21" s="318"/>
      <c r="E21" s="305"/>
      <c r="F21" s="278"/>
      <c r="J21" s="282"/>
    </row>
    <row r="22" spans="1:10" s="272" customFormat="1" ht="15" customHeight="1">
      <c r="A22" s="272" t="s">
        <v>17</v>
      </c>
      <c r="C22" s="272" t="s">
        <v>18</v>
      </c>
      <c r="E22" s="300" t="s">
        <v>201</v>
      </c>
      <c r="H22" s="300"/>
      <c r="I22" s="273"/>
    </row>
    <row r="23" spans="1:10" s="315" customFormat="1" ht="15" customHeight="1">
      <c r="E23" s="321"/>
      <c r="H23" s="321"/>
      <c r="I23" s="322"/>
    </row>
    <row r="24" spans="1:10" ht="15.75" customHeight="1">
      <c r="H24" s="276"/>
    </row>
    <row r="25" spans="1:10" s="323" customFormat="1" ht="15.2" customHeight="1">
      <c r="A25" s="323" t="s">
        <v>198</v>
      </c>
      <c r="E25" s="3"/>
      <c r="H25" s="3"/>
      <c r="I25" s="324"/>
    </row>
    <row r="26" spans="1:10" ht="18.75" customHeight="1">
      <c r="A26" s="274" t="s">
        <v>8</v>
      </c>
      <c r="H26" s="325"/>
    </row>
    <row r="27" spans="1:10">
      <c r="H27" s="325"/>
      <c r="J27" s="326"/>
    </row>
    <row r="30" spans="1:10">
      <c r="C30" s="274" t="s">
        <v>8</v>
      </c>
      <c r="D30" s="274"/>
      <c r="E30" s="274"/>
      <c r="I30" s="274"/>
    </row>
  </sheetData>
  <mergeCells count="5">
    <mergeCell ref="A1:F1"/>
    <mergeCell ref="A2:F2"/>
    <mergeCell ref="A4:E4"/>
    <mergeCell ref="A7:B7"/>
    <mergeCell ref="A18:B20"/>
  </mergeCells>
  <printOptions horizontalCentered="1"/>
  <pageMargins left="0.25" right="0.25" top="0.75" bottom="0.75" header="0.3" footer="0.3"/>
  <pageSetup scale="76" orientation="portrait" verticalDpi="72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BreakPreview" zoomScale="69" zoomScaleNormal="100" zoomScaleSheetLayoutView="69" workbookViewId="0">
      <selection activeCell="B5" sqref="B5"/>
    </sheetView>
  </sheetViews>
  <sheetFormatPr defaultColWidth="9.140625" defaultRowHeight="19.5"/>
  <cols>
    <col min="1" max="1" width="11" style="4" customWidth="1"/>
    <col min="2" max="2" width="27.42578125" style="4" customWidth="1"/>
    <col min="3" max="3" width="25.5703125" style="4" customWidth="1"/>
    <col min="4" max="4" width="27.5703125" style="3" customWidth="1"/>
    <col min="5" max="5" width="21.85546875" style="3" customWidth="1"/>
    <col min="6" max="6" width="20.85546875" style="451" customWidth="1"/>
    <col min="7" max="7" width="17.42578125" style="451" customWidth="1"/>
    <col min="8" max="8" width="12.5703125" style="4" customWidth="1"/>
    <col min="9" max="9" width="13.28515625" style="5" customWidth="1"/>
    <col min="10" max="10" width="14.7109375" style="4" customWidth="1"/>
    <col min="11" max="16384" width="9.140625" style="4"/>
  </cols>
  <sheetData>
    <row r="1" spans="1:10" s="525" customFormat="1" ht="23.25" customHeight="1">
      <c r="A1" s="710" t="s">
        <v>0</v>
      </c>
      <c r="B1" s="710"/>
      <c r="C1" s="710"/>
      <c r="D1" s="710"/>
      <c r="E1" s="710"/>
      <c r="F1" s="710"/>
      <c r="G1" s="451"/>
      <c r="I1" s="526"/>
    </row>
    <row r="2" spans="1:10" s="525" customFormat="1" ht="15" customHeight="1">
      <c r="A2" s="711" t="s">
        <v>1</v>
      </c>
      <c r="B2" s="711"/>
      <c r="C2" s="711"/>
      <c r="D2" s="711"/>
      <c r="E2" s="711"/>
      <c r="F2" s="711"/>
      <c r="G2" s="451"/>
      <c r="I2" s="526"/>
    </row>
    <row r="3" spans="1:10" s="525" customFormat="1" ht="25.5" customHeight="1">
      <c r="D3" s="527"/>
      <c r="E3" s="527"/>
      <c r="F3" s="528" t="s">
        <v>202</v>
      </c>
      <c r="G3" s="451"/>
      <c r="I3" s="526"/>
    </row>
    <row r="4" spans="1:10" s="525" customFormat="1" ht="20.25" customHeight="1">
      <c r="B4" s="529" t="s">
        <v>2</v>
      </c>
      <c r="D4" s="530" t="s">
        <v>3</v>
      </c>
      <c r="E4" s="712">
        <v>46247</v>
      </c>
      <c r="F4" s="712"/>
      <c r="G4" s="451"/>
      <c r="I4" s="526"/>
    </row>
    <row r="5" spans="1:10" ht="24.75" customHeight="1">
      <c r="A5" s="113" t="s">
        <v>4</v>
      </c>
      <c r="B5" s="113" t="s">
        <v>184</v>
      </c>
      <c r="C5" s="113"/>
      <c r="D5" s="112"/>
      <c r="E5" s="531"/>
      <c r="F5" s="465"/>
      <c r="J5" s="88"/>
    </row>
    <row r="6" spans="1:10" ht="15" customHeight="1">
      <c r="A6" s="713"/>
      <c r="B6" s="713"/>
      <c r="C6" s="113"/>
      <c r="D6" s="532" t="s">
        <v>5</v>
      </c>
      <c r="E6" s="533" t="s">
        <v>6</v>
      </c>
      <c r="F6" s="534"/>
      <c r="G6" s="451" t="s">
        <v>7</v>
      </c>
      <c r="J6" s="88"/>
    </row>
    <row r="7" spans="1:10" ht="23.25" customHeight="1">
      <c r="A7" s="714" t="s">
        <v>185</v>
      </c>
      <c r="B7" s="714"/>
      <c r="C7" s="714"/>
      <c r="D7" s="715"/>
      <c r="E7" s="714"/>
      <c r="F7" s="714"/>
      <c r="I7" s="4"/>
    </row>
    <row r="8" spans="1:10" ht="18" customHeight="1">
      <c r="A8" s="462"/>
      <c r="B8" s="535" t="s">
        <v>186</v>
      </c>
      <c r="C8" s="9"/>
      <c r="D8" s="536">
        <v>68632.23</v>
      </c>
      <c r="E8" s="464"/>
      <c r="F8" s="465"/>
      <c r="I8" s="4"/>
    </row>
    <row r="9" spans="1:10" ht="18" customHeight="1">
      <c r="A9" s="537"/>
      <c r="B9" s="535" t="s">
        <v>187</v>
      </c>
      <c r="C9" s="538"/>
      <c r="D9" s="536">
        <v>5009.3599999999997</v>
      </c>
      <c r="E9" s="96"/>
      <c r="F9" s="539"/>
      <c r="I9" s="4"/>
    </row>
    <row r="10" spans="1:10" ht="21" customHeight="1">
      <c r="A10" s="537"/>
      <c r="B10" s="535" t="s">
        <v>188</v>
      </c>
      <c r="C10" s="538"/>
      <c r="D10" s="536"/>
      <c r="E10" s="96"/>
      <c r="F10" s="539"/>
      <c r="I10" s="4"/>
    </row>
    <row r="11" spans="1:10" s="98" customFormat="1" ht="15" customHeight="1">
      <c r="A11" s="537"/>
      <c r="B11" s="535"/>
      <c r="C11" s="535"/>
      <c r="D11" s="96"/>
      <c r="E11" s="96"/>
      <c r="F11" s="539"/>
      <c r="G11" s="540"/>
    </row>
    <row r="12" spans="1:10" s="98" customFormat="1" ht="19.5" customHeight="1">
      <c r="A12" s="537"/>
      <c r="B12" s="535"/>
      <c r="C12" s="541" t="s">
        <v>189</v>
      </c>
      <c r="D12" s="446"/>
      <c r="E12" s="446">
        <v>1100</v>
      </c>
      <c r="F12" s="539"/>
      <c r="G12" s="540"/>
    </row>
    <row r="13" spans="1:10" s="98" customFormat="1" ht="18" customHeight="1">
      <c r="A13" s="537"/>
      <c r="B13" s="535"/>
      <c r="C13" s="541" t="s">
        <v>190</v>
      </c>
      <c r="D13" s="541"/>
      <c r="E13" s="446">
        <v>3250</v>
      </c>
      <c r="F13" s="539"/>
      <c r="G13" s="540"/>
    </row>
    <row r="14" spans="1:10" s="98" customFormat="1" ht="15" customHeight="1">
      <c r="A14" s="537"/>
      <c r="B14" s="535"/>
      <c r="C14" s="541" t="s">
        <v>191</v>
      </c>
      <c r="D14" s="541"/>
      <c r="E14" s="446">
        <v>1375</v>
      </c>
      <c r="F14" s="539"/>
      <c r="G14" s="540"/>
    </row>
    <row r="15" spans="1:10" s="98" customFormat="1" ht="15" hidden="1" customHeight="1">
      <c r="A15" s="537"/>
      <c r="B15" s="535"/>
      <c r="C15" s="541" t="s">
        <v>192</v>
      </c>
      <c r="D15" s="541"/>
      <c r="E15" s="446"/>
      <c r="F15" s="539"/>
      <c r="G15" s="540"/>
    </row>
    <row r="16" spans="1:10" s="98" customFormat="1" ht="18" customHeight="1">
      <c r="A16" s="542"/>
      <c r="B16" s="535"/>
      <c r="C16" s="541" t="s">
        <v>193</v>
      </c>
      <c r="D16" s="446"/>
      <c r="E16" s="446">
        <v>3175.99</v>
      </c>
      <c r="F16" s="543"/>
      <c r="G16" s="540"/>
    </row>
    <row r="17" spans="1:10" s="98" customFormat="1" ht="15" customHeight="1">
      <c r="A17" s="542"/>
      <c r="B17" s="535"/>
      <c r="C17" s="103" t="s">
        <v>194</v>
      </c>
      <c r="D17" s="103"/>
      <c r="E17" s="544"/>
      <c r="F17" s="543"/>
      <c r="G17" s="540"/>
    </row>
    <row r="18" spans="1:10" s="98" customFormat="1" ht="17.25" customHeight="1">
      <c r="A18" s="542"/>
      <c r="B18" s="535"/>
      <c r="C18" s="103" t="s">
        <v>195</v>
      </c>
      <c r="D18" s="103"/>
      <c r="E18" s="544">
        <v>162.56</v>
      </c>
      <c r="F18" s="543"/>
      <c r="G18" s="540"/>
    </row>
    <row r="19" spans="1:10" s="98" customFormat="1" ht="6" customHeight="1">
      <c r="A19" s="542"/>
      <c r="B19" s="535"/>
      <c r="C19" s="541"/>
      <c r="D19" s="96"/>
      <c r="E19" s="96"/>
      <c r="F19" s="543"/>
      <c r="G19" s="540"/>
    </row>
    <row r="20" spans="1:10" s="98" customFormat="1" ht="24.75" customHeight="1">
      <c r="A20" s="8"/>
      <c r="B20" s="8"/>
      <c r="C20" s="8" t="s">
        <v>10</v>
      </c>
      <c r="D20" s="545">
        <f>SUM(D8:D16)</f>
        <v>73641.59</v>
      </c>
      <c r="E20" s="545">
        <f>SUM(E12:E18)</f>
        <v>9063.5499999999993</v>
      </c>
      <c r="F20" s="546"/>
      <c r="G20" s="540"/>
    </row>
    <row r="21" spans="1:10" s="98" customFormat="1" ht="18.75" customHeight="1" thickBot="1">
      <c r="A21" s="8"/>
      <c r="B21" s="8" t="s">
        <v>8</v>
      </c>
      <c r="C21" s="8" t="s">
        <v>9</v>
      </c>
      <c r="D21" s="115"/>
      <c r="E21" s="115">
        <f>D20-E20</f>
        <v>64578.039999999994</v>
      </c>
      <c r="F21" s="547"/>
      <c r="G21" s="540"/>
    </row>
    <row r="22" spans="1:10" s="98" customFormat="1" ht="16.5" customHeight="1" thickTop="1">
      <c r="A22" s="548" t="s">
        <v>11</v>
      </c>
      <c r="B22" s="549"/>
      <c r="C22" s="550" t="s">
        <v>12</v>
      </c>
      <c r="D22" s="551"/>
      <c r="E22" s="551"/>
      <c r="F22" s="552"/>
      <c r="G22" s="540"/>
    </row>
    <row r="23" spans="1:10" s="98" customFormat="1" ht="19.5" customHeight="1">
      <c r="A23" s="702" t="s">
        <v>203</v>
      </c>
      <c r="B23" s="703"/>
      <c r="C23" s="531" t="s">
        <v>13</v>
      </c>
      <c r="D23" s="553"/>
      <c r="E23" s="706">
        <f>D20-E20</f>
        <v>64578.039999999994</v>
      </c>
      <c r="F23" s="707"/>
      <c r="G23" s="540">
        <v>92062.02</v>
      </c>
    </row>
    <row r="24" spans="1:10" ht="19.5" customHeight="1">
      <c r="A24" s="702"/>
      <c r="B24" s="703"/>
      <c r="C24" s="531" t="s">
        <v>14</v>
      </c>
      <c r="D24" s="121" t="s">
        <v>94</v>
      </c>
      <c r="E24" s="464"/>
      <c r="F24" s="554"/>
      <c r="G24" s="451">
        <f>E23-G23</f>
        <v>-27483.98000000001</v>
      </c>
      <c r="I24" s="4"/>
    </row>
    <row r="25" spans="1:10" ht="51" customHeight="1">
      <c r="A25" s="704"/>
      <c r="B25" s="705"/>
      <c r="C25" s="113" t="s">
        <v>16</v>
      </c>
      <c r="D25" s="708" t="str">
        <f>B5</f>
        <v>METRO DAVAO SUPREME PUMPS INDUSTRIES INC.//ROY MIRANDA</v>
      </c>
      <c r="E25" s="708"/>
      <c r="F25" s="709"/>
      <c r="G25" s="451">
        <f>F49</f>
        <v>0</v>
      </c>
      <c r="I25" s="4"/>
    </row>
    <row r="26" spans="1:10" s="8" customFormat="1" ht="15" customHeight="1">
      <c r="A26" s="449" t="s">
        <v>17</v>
      </c>
      <c r="B26" s="449"/>
      <c r="C26" s="449" t="s">
        <v>196</v>
      </c>
      <c r="D26" s="6" t="s">
        <v>197</v>
      </c>
      <c r="E26" s="7"/>
      <c r="F26" s="450"/>
      <c r="G26" s="450"/>
    </row>
    <row r="27" spans="1:10" ht="24" customHeight="1">
      <c r="A27" s="9"/>
      <c r="B27" s="9" t="s">
        <v>8</v>
      </c>
      <c r="C27" s="9"/>
      <c r="D27" s="464"/>
      <c r="E27" s="555"/>
      <c r="F27" s="465"/>
      <c r="I27" s="4"/>
    </row>
    <row r="28" spans="1:10" s="556" customFormat="1" ht="15.2" customHeight="1">
      <c r="A28" s="323" t="s">
        <v>198</v>
      </c>
      <c r="E28" s="557"/>
      <c r="H28" s="557"/>
      <c r="I28" s="558"/>
    </row>
    <row r="29" spans="1:10">
      <c r="H29" s="125"/>
      <c r="J29" s="134"/>
    </row>
    <row r="30" spans="1:10">
      <c r="C30" s="4" t="s">
        <v>8</v>
      </c>
      <c r="D30" s="4"/>
      <c r="E30" s="4"/>
    </row>
    <row r="31" spans="1:10">
      <c r="F31" s="451">
        <v>5085.47</v>
      </c>
    </row>
    <row r="32" spans="1:10">
      <c r="F32" s="451">
        <v>5827</v>
      </c>
      <c r="I32" s="4"/>
    </row>
    <row r="33" spans="4:9">
      <c r="D33" s="4"/>
      <c r="E33" s="4"/>
      <c r="F33" s="451">
        <v>3888</v>
      </c>
    </row>
    <row r="34" spans="4:9">
      <c r="F34" s="451">
        <v>5381.09</v>
      </c>
    </row>
    <row r="35" spans="4:9">
      <c r="F35" s="451">
        <v>4845</v>
      </c>
    </row>
    <row r="36" spans="4:9">
      <c r="F36" s="451">
        <v>4850</v>
      </c>
    </row>
    <row r="37" spans="4:9">
      <c r="F37" s="451">
        <v>8947.31</v>
      </c>
    </row>
    <row r="38" spans="4:9">
      <c r="F38" s="451">
        <v>6990.72</v>
      </c>
    </row>
    <row r="39" spans="4:9">
      <c r="F39" s="451">
        <v>6308</v>
      </c>
    </row>
    <row r="40" spans="4:9">
      <c r="F40" s="451">
        <v>8560</v>
      </c>
    </row>
    <row r="41" spans="4:9">
      <c r="F41" s="451">
        <v>7439.62</v>
      </c>
    </row>
    <row r="42" spans="4:9">
      <c r="F42" s="451">
        <v>3126.22</v>
      </c>
      <c r="G42" s="4"/>
    </row>
    <row r="43" spans="4:9">
      <c r="F43" s="451">
        <v>7391.54</v>
      </c>
    </row>
    <row r="44" spans="4:9">
      <c r="F44" s="451">
        <v>4374</v>
      </c>
    </row>
    <row r="45" spans="4:9">
      <c r="F45" s="451">
        <v>5832</v>
      </c>
    </row>
    <row r="46" spans="4:9">
      <c r="D46" s="4"/>
      <c r="E46" s="4"/>
      <c r="F46" s="451">
        <v>6350</v>
      </c>
      <c r="G46" s="4"/>
      <c r="I46" s="4"/>
    </row>
    <row r="47" spans="4:9">
      <c r="D47" s="4"/>
      <c r="E47" s="4"/>
      <c r="F47" s="451">
        <f>SUM(F31:F46)</f>
        <v>95195.97</v>
      </c>
      <c r="G47" s="4"/>
      <c r="I47" s="4"/>
    </row>
    <row r="48" spans="4:9">
      <c r="D48" s="4"/>
      <c r="E48" s="4"/>
      <c r="G48" s="4"/>
      <c r="I48" s="4"/>
    </row>
    <row r="49" spans="4:9">
      <c r="D49" s="4"/>
      <c r="E49" s="4"/>
      <c r="G49" s="4"/>
      <c r="I49" s="4"/>
    </row>
  </sheetData>
  <mergeCells count="8">
    <mergeCell ref="A23:B25"/>
    <mergeCell ref="E23:F23"/>
    <mergeCell ref="D25:F25"/>
    <mergeCell ref="A1:F1"/>
    <mergeCell ref="A2:F2"/>
    <mergeCell ref="E4:F4"/>
    <mergeCell ref="A6:B6"/>
    <mergeCell ref="A7:F7"/>
  </mergeCells>
  <printOptions horizontalCentered="1"/>
  <pageMargins left="0.52" right="0.12" top="0.21" bottom="0.75" header="0.25" footer="0.3"/>
  <pageSetup scale="70" fitToWidth="0" fitToHeight="0" orientation="portrait" verticalDpi="7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40"/>
  <sheetViews>
    <sheetView view="pageBreakPreview" zoomScale="82" zoomScaleNormal="100" zoomScaleSheetLayoutView="82" workbookViewId="0">
      <selection activeCell="A26" sqref="A26:B29"/>
    </sheetView>
  </sheetViews>
  <sheetFormatPr defaultColWidth="9.140625" defaultRowHeight="19.5"/>
  <cols>
    <col min="1" max="1" width="11" style="4" customWidth="1"/>
    <col min="2" max="2" width="27.42578125" style="4" customWidth="1"/>
    <col min="3" max="3" width="23.140625" style="4" customWidth="1"/>
    <col min="4" max="4" width="26.425781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1" customHeight="1">
      <c r="A3" s="8"/>
      <c r="B3" s="8"/>
      <c r="C3" s="8"/>
      <c r="D3" s="6"/>
      <c r="E3" s="6"/>
      <c r="F3" s="515" t="s">
        <v>182</v>
      </c>
    </row>
    <row r="4" spans="1:10" ht="20.25" customHeight="1">
      <c r="A4" s="8"/>
      <c r="B4" s="84" t="s">
        <v>2</v>
      </c>
      <c r="C4" s="8"/>
      <c r="D4" s="85" t="s">
        <v>3</v>
      </c>
      <c r="E4" s="683">
        <v>46246</v>
      </c>
      <c r="F4" s="683"/>
    </row>
    <row r="5" spans="1:10" ht="18.75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6.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2.25" customHeight="1">
      <c r="A7" s="92"/>
      <c r="B7" s="92"/>
      <c r="C7" s="84"/>
      <c r="D7" s="93"/>
      <c r="E7" s="93"/>
      <c r="F7" s="84"/>
      <c r="J7" s="88"/>
    </row>
    <row r="8" spans="1:10" ht="15" customHeight="1">
      <c r="A8" s="97"/>
      <c r="B8" s="4" t="s">
        <v>39</v>
      </c>
      <c r="D8" s="135">
        <v>5557.56</v>
      </c>
      <c r="I8" s="4"/>
    </row>
    <row r="9" spans="1:10" s="98" customFormat="1" ht="15" customHeight="1">
      <c r="A9" s="99"/>
      <c r="B9" s="98" t="s">
        <v>171</v>
      </c>
      <c r="D9" s="135">
        <v>6889.64</v>
      </c>
      <c r="E9" s="100"/>
      <c r="F9" s="101"/>
    </row>
    <row r="10" spans="1:10" s="98" customFormat="1" ht="15" customHeight="1">
      <c r="A10" s="99"/>
      <c r="B10" s="98" t="s">
        <v>40</v>
      </c>
      <c r="D10" s="135">
        <v>495</v>
      </c>
      <c r="E10" s="100"/>
      <c r="F10" s="101"/>
    </row>
    <row r="11" spans="1:10" s="98" customFormat="1" ht="15" customHeight="1">
      <c r="A11" s="99"/>
      <c r="B11" s="98" t="s">
        <v>172</v>
      </c>
      <c r="D11" s="135">
        <v>10357.14</v>
      </c>
      <c r="E11" s="100"/>
      <c r="F11" s="101"/>
    </row>
    <row r="12" spans="1:10" s="98" customFormat="1" ht="15" customHeight="1">
      <c r="A12" s="99"/>
      <c r="B12" s="98" t="s">
        <v>173</v>
      </c>
      <c r="D12" s="135">
        <v>25372.5</v>
      </c>
      <c r="E12" s="100"/>
      <c r="F12" s="101"/>
    </row>
    <row r="13" spans="1:10" s="98" customFormat="1" ht="15" customHeight="1">
      <c r="A13" s="99"/>
      <c r="B13" s="98" t="s">
        <v>41</v>
      </c>
      <c r="D13" s="135">
        <v>35785.82</v>
      </c>
      <c r="E13" s="100"/>
      <c r="F13" s="101"/>
    </row>
    <row r="14" spans="1:10" s="98" customFormat="1" ht="15" customHeight="1">
      <c r="A14" s="99"/>
      <c r="B14" s="98" t="s">
        <v>174</v>
      </c>
      <c r="D14" s="135">
        <v>1064.29</v>
      </c>
      <c r="E14" s="100"/>
      <c r="F14" s="101"/>
    </row>
    <row r="15" spans="1:10" s="98" customFormat="1" ht="15.75" customHeight="1">
      <c r="A15" s="99"/>
      <c r="B15" s="98" t="s">
        <v>175</v>
      </c>
      <c r="D15" s="135">
        <v>6172.51</v>
      </c>
      <c r="E15" s="100"/>
      <c r="F15" s="101"/>
    </row>
    <row r="16" spans="1:10" s="98" customFormat="1" ht="15.75" customHeight="1">
      <c r="A16" s="99"/>
      <c r="B16" s="98" t="s">
        <v>176</v>
      </c>
      <c r="D16" s="135">
        <v>170.54</v>
      </c>
      <c r="E16" s="100"/>
      <c r="F16" s="101"/>
    </row>
    <row r="17" spans="1:10" s="98" customFormat="1" ht="15" customHeight="1">
      <c r="A17" s="99"/>
      <c r="B17" s="98" t="s">
        <v>177</v>
      </c>
      <c r="D17" s="135">
        <v>398</v>
      </c>
      <c r="E17" s="100"/>
      <c r="F17" s="101"/>
    </row>
    <row r="18" spans="1:10" s="98" customFormat="1" ht="15" hidden="1" customHeight="1">
      <c r="A18" s="99"/>
      <c r="B18" s="98" t="s">
        <v>177</v>
      </c>
      <c r="D18" s="135"/>
      <c r="E18" s="100"/>
      <c r="F18" s="101"/>
    </row>
    <row r="19" spans="1:10" s="98" customFormat="1" ht="15" hidden="1" customHeight="1">
      <c r="A19" s="99"/>
      <c r="B19" s="98" t="s">
        <v>177</v>
      </c>
      <c r="D19" s="135"/>
      <c r="E19" s="100"/>
      <c r="F19" s="101"/>
    </row>
    <row r="20" spans="1:10" s="98" customFormat="1" ht="15" customHeight="1">
      <c r="A20" s="99"/>
      <c r="B20" s="98" t="s">
        <v>178</v>
      </c>
      <c r="D20" s="135">
        <v>6589.38</v>
      </c>
      <c r="E20" s="100"/>
      <c r="F20" s="101"/>
    </row>
    <row r="21" spans="1:10" s="111" customFormat="1" ht="9.75" customHeight="1">
      <c r="A21" s="106"/>
      <c r="B21" s="98"/>
      <c r="C21" s="108"/>
      <c r="D21" s="109"/>
      <c r="E21" s="109"/>
      <c r="F21" s="110"/>
    </row>
    <row r="22" spans="1:10" s="516" customFormat="1" ht="19.5" customHeight="1">
      <c r="A22" s="323"/>
      <c r="B22" s="9"/>
      <c r="C22" s="9" t="s">
        <v>9</v>
      </c>
      <c r="D22" s="112">
        <f>SUM(D8:D20)</f>
        <v>98852.37999999999</v>
      </c>
      <c r="E22" s="112">
        <f>D23-E21</f>
        <v>98852.37999999999</v>
      </c>
      <c r="F22" s="113"/>
    </row>
    <row r="23" spans="1:10" s="516" customFormat="1" ht="18" customHeight="1" thickBot="1">
      <c r="A23" s="323"/>
      <c r="B23" s="9" t="s">
        <v>8</v>
      </c>
      <c r="C23" s="9" t="s">
        <v>10</v>
      </c>
      <c r="D23" s="115">
        <f>SUM(D8:D20)</f>
        <v>98852.37999999999</v>
      </c>
      <c r="E23" s="115">
        <f>SUM(E20:E22)</f>
        <v>98852.37999999999</v>
      </c>
      <c r="F23" s="116"/>
    </row>
    <row r="24" spans="1:10" s="98" customFormat="1" ht="9.75" customHeight="1" thickTop="1">
      <c r="A24" s="8"/>
      <c r="B24" s="8"/>
      <c r="C24" s="8" t="s">
        <v>8</v>
      </c>
      <c r="D24" s="104"/>
      <c r="E24" s="104"/>
      <c r="F24" s="84"/>
    </row>
    <row r="25" spans="1:10" ht="17.25" customHeight="1">
      <c r="A25" s="117" t="s">
        <v>11</v>
      </c>
      <c r="B25" s="118"/>
      <c r="C25" s="119" t="s">
        <v>12</v>
      </c>
      <c r="D25" s="120"/>
      <c r="E25" s="120"/>
      <c r="F25" s="118"/>
      <c r="G25" s="3"/>
      <c r="I25" s="4"/>
    </row>
    <row r="26" spans="1:10" ht="33.75" customHeight="1">
      <c r="A26" s="685" t="s">
        <v>183</v>
      </c>
      <c r="B26" s="686"/>
      <c r="C26" s="517" t="s">
        <v>13</v>
      </c>
      <c r="D26" s="84"/>
      <c r="E26" s="689">
        <f>E23-E21</f>
        <v>98852.37999999999</v>
      </c>
      <c r="F26" s="690"/>
      <c r="G26" s="3"/>
      <c r="I26" s="4"/>
    </row>
    <row r="27" spans="1:10" ht="21" customHeight="1">
      <c r="A27" s="685"/>
      <c r="B27" s="686"/>
      <c r="C27" s="84" t="s">
        <v>35</v>
      </c>
      <c r="D27" s="121" t="s">
        <v>36</v>
      </c>
      <c r="E27" s="122"/>
      <c r="F27" s="84"/>
      <c r="G27" s="3"/>
      <c r="I27" s="4"/>
    </row>
    <row r="28" spans="1:10" ht="15" customHeight="1">
      <c r="A28" s="685"/>
      <c r="B28" s="686"/>
      <c r="C28" s="84" t="s">
        <v>37</v>
      </c>
      <c r="D28" s="123"/>
      <c r="E28" s="691"/>
      <c r="F28" s="692"/>
      <c r="G28" s="3"/>
      <c r="I28" s="4"/>
    </row>
    <row r="29" spans="1:10" ht="18.75" customHeight="1">
      <c r="A29" s="687"/>
      <c r="B29" s="688"/>
      <c r="C29" s="86" t="s">
        <v>16</v>
      </c>
      <c r="D29" s="518" t="str">
        <f>B5</f>
        <v>ROY MIRANDA</v>
      </c>
      <c r="E29" s="519" t="s">
        <v>179</v>
      </c>
      <c r="F29" s="124"/>
      <c r="G29" s="3"/>
      <c r="H29" s="125"/>
    </row>
    <row r="30" spans="1:10" s="8" customFormat="1" ht="15" customHeight="1">
      <c r="A30" s="8" t="s">
        <v>17</v>
      </c>
      <c r="C30" s="8" t="s">
        <v>18</v>
      </c>
      <c r="D30" s="6"/>
      <c r="E30" s="7" t="s">
        <v>180</v>
      </c>
      <c r="G30" s="6"/>
      <c r="I30" s="520"/>
      <c r="J30" s="521"/>
    </row>
    <row r="31" spans="1:10" ht="25.5" customHeight="1">
      <c r="A31" s="8"/>
      <c r="B31" s="8"/>
      <c r="C31" s="8"/>
      <c r="D31" s="6"/>
      <c r="E31" s="7"/>
      <c r="F31" s="8"/>
      <c r="G31" s="3"/>
      <c r="J31" s="88"/>
    </row>
    <row r="32" spans="1:10" s="127" customFormat="1" ht="22.5" customHeight="1">
      <c r="A32" s="127" t="s">
        <v>181</v>
      </c>
      <c r="E32" s="522"/>
      <c r="H32" s="522"/>
      <c r="I32" s="523"/>
    </row>
    <row r="33" spans="1:10" ht="1.5" hidden="1" customHeight="1">
      <c r="A33" s="8"/>
      <c r="B33" s="8"/>
      <c r="C33" s="8"/>
      <c r="D33" s="6"/>
      <c r="E33" s="6"/>
      <c r="F33" s="8"/>
      <c r="J33" s="88"/>
    </row>
    <row r="34" spans="1:10" ht="9.75" customHeight="1">
      <c r="H34" s="3"/>
    </row>
    <row r="35" spans="1:10" s="131" customFormat="1" ht="18.75" customHeight="1">
      <c r="A35" s="4"/>
      <c r="B35" s="4"/>
      <c r="C35" s="4"/>
      <c r="D35" s="3"/>
      <c r="E35" s="3"/>
      <c r="F35" s="4"/>
      <c r="H35" s="132"/>
      <c r="I35" s="133"/>
    </row>
    <row r="36" spans="1:10">
      <c r="H36" s="125"/>
      <c r="J36" s="134"/>
    </row>
    <row r="37" spans="1:10">
      <c r="C37" s="4" t="s">
        <v>8</v>
      </c>
      <c r="D37" s="4"/>
      <c r="E37" s="4"/>
    </row>
    <row r="39" spans="1:10">
      <c r="I39" s="4"/>
    </row>
    <row r="40" spans="1:10">
      <c r="D40" s="4"/>
      <c r="E40" s="4"/>
    </row>
  </sheetData>
  <mergeCells count="7">
    <mergeCell ref="A1:F1"/>
    <mergeCell ref="A2:F2"/>
    <mergeCell ref="E4:F4"/>
    <mergeCell ref="A6:B6"/>
    <mergeCell ref="A26:B29"/>
    <mergeCell ref="E26:F26"/>
    <mergeCell ref="E28:F28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view="pageBreakPreview" zoomScale="85" zoomScaleNormal="100" zoomScaleSheetLayoutView="85" workbookViewId="0">
      <selection activeCell="E17" sqref="E17:F17"/>
    </sheetView>
  </sheetViews>
  <sheetFormatPr defaultColWidth="9.140625" defaultRowHeight="19.5"/>
  <cols>
    <col min="1" max="1" width="8.7109375" style="274" customWidth="1"/>
    <col min="2" max="2" width="28.85546875" style="274" customWidth="1"/>
    <col min="3" max="3" width="20.7109375" style="274" customWidth="1"/>
    <col min="4" max="4" width="26.42578125" style="276" customWidth="1"/>
    <col min="5" max="5" width="42.8554687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272" customFormat="1" ht="34.5" customHeight="1">
      <c r="A1" s="693" t="s">
        <v>0</v>
      </c>
      <c r="B1" s="693"/>
      <c r="C1" s="693"/>
      <c r="D1" s="693"/>
      <c r="E1" s="693"/>
      <c r="F1" s="693"/>
      <c r="I1" s="273"/>
    </row>
    <row r="2" spans="1:10" ht="15.75" customHeight="1">
      <c r="A2" s="746" t="s">
        <v>1</v>
      </c>
      <c r="B2" s="746"/>
      <c r="C2" s="746"/>
      <c r="D2" s="746"/>
      <c r="E2" s="746"/>
      <c r="F2" s="746"/>
    </row>
    <row r="3" spans="1:10" ht="21.75" customHeight="1">
      <c r="F3" s="277" t="s">
        <v>167</v>
      </c>
    </row>
    <row r="4" spans="1:10" ht="20.25" customHeight="1">
      <c r="B4" s="278" t="s">
        <v>2</v>
      </c>
      <c r="D4" s="279" t="s">
        <v>3</v>
      </c>
      <c r="E4" s="747">
        <v>46245</v>
      </c>
      <c r="F4" s="747"/>
    </row>
    <row r="5" spans="1:10" ht="24.75" customHeight="1">
      <c r="A5" s="2" t="s">
        <v>4</v>
      </c>
      <c r="B5" s="495" t="s">
        <v>168</v>
      </c>
      <c r="C5" s="2"/>
      <c r="D5" s="281"/>
      <c r="E5" s="278"/>
      <c r="J5" s="282"/>
    </row>
    <row r="6" spans="1:10" ht="15.75" customHeight="1">
      <c r="A6" s="748"/>
      <c r="B6" s="748"/>
      <c r="C6" s="2"/>
      <c r="D6" s="283" t="s">
        <v>5</v>
      </c>
      <c r="E6" s="284" t="s">
        <v>6</v>
      </c>
      <c r="F6" s="285"/>
      <c r="G6" s="274" t="s">
        <v>7</v>
      </c>
      <c r="J6" s="282"/>
    </row>
    <row r="7" spans="1:10" ht="13.5" customHeight="1">
      <c r="A7" s="286"/>
      <c r="B7" s="286"/>
      <c r="C7" s="278"/>
      <c r="D7" s="287"/>
      <c r="E7" s="287"/>
      <c r="F7" s="278"/>
      <c r="J7" s="282"/>
    </row>
    <row r="8" spans="1:10" ht="15.75" customHeight="1">
      <c r="A8" s="288"/>
      <c r="B8" s="289"/>
      <c r="C8" s="289"/>
      <c r="I8" s="274"/>
    </row>
    <row r="9" spans="1:10" s="497" customFormat="1" ht="23.25" customHeight="1">
      <c r="A9" s="496"/>
      <c r="B9" s="514" t="s">
        <v>169</v>
      </c>
      <c r="D9" s="498">
        <v>719960</v>
      </c>
      <c r="E9" s="499"/>
    </row>
    <row r="10" spans="1:10" s="272" customFormat="1" ht="19.5" customHeight="1">
      <c r="A10" s="500"/>
      <c r="B10" s="500"/>
      <c r="C10" s="299"/>
      <c r="D10" s="498"/>
      <c r="E10" s="300"/>
    </row>
    <row r="11" spans="1:10" s="272" customFormat="1" ht="19.5" customHeight="1">
      <c r="A11" s="298"/>
      <c r="B11" s="501"/>
      <c r="C11" s="299"/>
      <c r="D11" s="499"/>
      <c r="E11" s="300"/>
    </row>
    <row r="12" spans="1:10" s="505" customFormat="1" ht="21" customHeight="1">
      <c r="A12" s="502"/>
      <c r="B12" s="503"/>
      <c r="C12" s="504"/>
      <c r="D12" s="498"/>
      <c r="E12" s="498"/>
    </row>
    <row r="13" spans="1:10" s="506" customFormat="1" ht="21" customHeight="1">
      <c r="B13" s="506" t="s">
        <v>8</v>
      </c>
      <c r="C13" s="506" t="s">
        <v>9</v>
      </c>
      <c r="D13" s="507"/>
      <c r="E13" s="507">
        <f>D14</f>
        <v>719960</v>
      </c>
      <c r="F13" s="280"/>
    </row>
    <row r="14" spans="1:10" s="506" customFormat="1" ht="24" customHeight="1" thickBot="1">
      <c r="B14" s="506" t="s">
        <v>8</v>
      </c>
      <c r="C14" s="506" t="s">
        <v>10</v>
      </c>
      <c r="D14" s="508">
        <f>SUM(D9:D11)</f>
        <v>719960</v>
      </c>
      <c r="E14" s="508">
        <f>E13-E12</f>
        <v>719960</v>
      </c>
      <c r="F14" s="509"/>
    </row>
    <row r="15" spans="1:10" ht="6.75" customHeight="1" thickTop="1">
      <c r="D15" s="305"/>
      <c r="E15" s="305"/>
      <c r="F15" s="278"/>
      <c r="I15" s="274"/>
    </row>
    <row r="16" spans="1:10" ht="19.5" customHeight="1">
      <c r="A16" s="306" t="s">
        <v>11</v>
      </c>
      <c r="B16" s="307"/>
      <c r="C16" s="308" t="s">
        <v>12</v>
      </c>
      <c r="D16" s="309"/>
      <c r="E16" s="309"/>
      <c r="F16" s="307"/>
      <c r="I16" s="274"/>
    </row>
    <row r="17" spans="1:10" ht="26.25" customHeight="1">
      <c r="A17" s="697" t="s">
        <v>170</v>
      </c>
      <c r="B17" s="698"/>
      <c r="C17" s="278" t="s">
        <v>13</v>
      </c>
      <c r="D17" s="278"/>
      <c r="E17" s="749">
        <f>E14</f>
        <v>719960</v>
      </c>
      <c r="F17" s="750"/>
    </row>
    <row r="18" spans="1:10" ht="13.5" customHeight="1">
      <c r="A18" s="699"/>
      <c r="B18" s="698"/>
      <c r="C18" s="278" t="s">
        <v>14</v>
      </c>
      <c r="D18" s="312" t="s">
        <v>85</v>
      </c>
      <c r="E18" s="313"/>
      <c r="F18" s="314"/>
      <c r="G18" s="315"/>
      <c r="J18" s="282"/>
    </row>
    <row r="19" spans="1:10" ht="54.75" customHeight="1">
      <c r="A19" s="700"/>
      <c r="B19" s="701"/>
      <c r="C19" s="2" t="s">
        <v>16</v>
      </c>
      <c r="D19" s="2" t="str">
        <f>B5</f>
        <v>DING ZHENSHENG</v>
      </c>
      <c r="E19" s="510"/>
      <c r="F19" s="314"/>
      <c r="J19" s="282"/>
    </row>
    <row r="20" spans="1:10" ht="15" customHeight="1">
      <c r="A20" s="274" t="s">
        <v>17</v>
      </c>
      <c r="C20" s="274" t="s">
        <v>18</v>
      </c>
      <c r="D20" s="274"/>
      <c r="E20" s="511" t="s">
        <v>158</v>
      </c>
      <c r="H20" s="276"/>
    </row>
    <row r="21" spans="1:10" ht="15.75" customHeight="1">
      <c r="H21" s="276"/>
    </row>
    <row r="22" spans="1:10" s="493" customFormat="1" ht="28.5" customHeight="1">
      <c r="A22" s="493" t="s">
        <v>161</v>
      </c>
      <c r="E22" s="512"/>
      <c r="H22" s="512"/>
      <c r="I22" s="513"/>
    </row>
    <row r="24" spans="1:10">
      <c r="C24" s="274" t="s">
        <v>8</v>
      </c>
      <c r="D24" s="274"/>
      <c r="E24" s="274"/>
      <c r="I24" s="274"/>
    </row>
  </sheetData>
  <mergeCells count="6">
    <mergeCell ref="A1:F1"/>
    <mergeCell ref="A2:F2"/>
    <mergeCell ref="E4:F4"/>
    <mergeCell ref="A6:B6"/>
    <mergeCell ref="A17:B19"/>
    <mergeCell ref="E17:F17"/>
  </mergeCells>
  <printOptions horizontalCentered="1"/>
  <pageMargins left="0.25" right="0.25" top="0.75" bottom="0.75" header="0.3" footer="0.3"/>
  <pageSetup scale="75" orientation="portrait" verticalDpi="72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8"/>
  <sheetViews>
    <sheetView view="pageBreakPreview" zoomScaleNormal="100" zoomScaleSheetLayoutView="100" workbookViewId="0">
      <selection activeCell="B5" sqref="B5"/>
    </sheetView>
  </sheetViews>
  <sheetFormatPr defaultColWidth="9.140625" defaultRowHeight="19.5"/>
  <cols>
    <col min="1" max="1" width="8.42578125" style="323" customWidth="1"/>
    <col min="2" max="2" width="23.5703125" style="323" customWidth="1"/>
    <col min="3" max="3" width="20" style="323" customWidth="1"/>
    <col min="4" max="4" width="22.42578125" style="3" customWidth="1"/>
    <col min="5" max="5" width="30.85546875" style="3" customWidth="1"/>
    <col min="6" max="6" width="14.85546875" style="323" customWidth="1"/>
    <col min="7" max="7" width="9.140625" style="323"/>
    <col min="8" max="8" width="19.42578125" style="323" customWidth="1"/>
    <col min="9" max="9" width="15.28515625" style="323" customWidth="1"/>
    <col min="10" max="10" width="22.85546875" style="451" customWidth="1"/>
    <col min="11" max="11" width="10" style="323" customWidth="1"/>
    <col min="12" max="16384" width="9.140625" style="323"/>
  </cols>
  <sheetData>
    <row r="1" spans="1:11" s="449" customFormat="1" ht="18.75" customHeight="1">
      <c r="A1" s="751" t="s">
        <v>0</v>
      </c>
      <c r="B1" s="751"/>
      <c r="C1" s="751"/>
      <c r="D1" s="751"/>
      <c r="E1" s="751"/>
      <c r="F1" s="751"/>
      <c r="J1" s="450"/>
    </row>
    <row r="2" spans="1:11" ht="15.75" customHeight="1">
      <c r="A2" s="752" t="s">
        <v>1</v>
      </c>
      <c r="B2" s="752"/>
      <c r="C2" s="752"/>
      <c r="D2" s="752"/>
      <c r="E2" s="752"/>
      <c r="F2" s="752"/>
    </row>
    <row r="3" spans="1:11" ht="27.75" customHeight="1">
      <c r="F3" s="83" t="s">
        <v>164</v>
      </c>
      <c r="H3" s="323">
        <f>185233.58-1653.87</f>
        <v>183579.71</v>
      </c>
    </row>
    <row r="4" spans="1:11" ht="22.5" customHeight="1">
      <c r="B4" s="452" t="s">
        <v>2</v>
      </c>
      <c r="D4" s="453" t="s">
        <v>3</v>
      </c>
      <c r="E4" s="753">
        <v>46245</v>
      </c>
      <c r="F4" s="753"/>
      <c r="H4" s="323">
        <f>185233.58/1.12*0.01</f>
        <v>1653.8712499999997</v>
      </c>
    </row>
    <row r="5" spans="1:11" ht="19.5" customHeight="1">
      <c r="A5" s="454" t="s">
        <v>4</v>
      </c>
      <c r="B5" s="455" t="s">
        <v>162</v>
      </c>
      <c r="C5" s="454"/>
      <c r="D5" s="454"/>
      <c r="E5" s="452"/>
      <c r="K5" s="88"/>
    </row>
    <row r="6" spans="1:11" ht="17.25" customHeight="1">
      <c r="A6" s="754"/>
      <c r="B6" s="754"/>
      <c r="C6" s="454"/>
      <c r="D6" s="456" t="s">
        <v>5</v>
      </c>
      <c r="E6" s="457" t="s">
        <v>6</v>
      </c>
      <c r="F6" s="458"/>
      <c r="G6" s="323" t="s">
        <v>7</v>
      </c>
      <c r="K6" s="88"/>
    </row>
    <row r="7" spans="1:11" ht="12.75" customHeight="1">
      <c r="A7" s="459"/>
      <c r="B7" s="460"/>
      <c r="C7" s="461"/>
      <c r="D7" s="6"/>
      <c r="E7" s="6"/>
      <c r="F7" s="449"/>
    </row>
    <row r="8" spans="1:11" s="9" customFormat="1" ht="20.25" customHeight="1">
      <c r="A8" s="462"/>
      <c r="B8" s="463" t="s">
        <v>41</v>
      </c>
      <c r="C8" s="463"/>
      <c r="D8" s="464">
        <f>54963/1.12</f>
        <v>49074.107142857138</v>
      </c>
      <c r="E8" s="464"/>
      <c r="H8" s="9" t="s">
        <v>123</v>
      </c>
      <c r="J8" s="465"/>
    </row>
    <row r="9" spans="1:11" s="9" customFormat="1" ht="19.5" customHeight="1">
      <c r="A9" s="462"/>
      <c r="B9" s="9" t="s">
        <v>124</v>
      </c>
      <c r="D9" s="464">
        <f>D8*0.12</f>
        <v>5888.892857142856</v>
      </c>
      <c r="E9" s="464"/>
      <c r="H9" s="9" t="s">
        <v>125</v>
      </c>
      <c r="I9" s="9" t="s">
        <v>126</v>
      </c>
      <c r="J9" s="465">
        <v>3209.8</v>
      </c>
    </row>
    <row r="10" spans="1:11" ht="15.75" customHeight="1">
      <c r="A10" s="459"/>
      <c r="B10" s="449"/>
      <c r="C10" s="449"/>
      <c r="D10" s="6"/>
      <c r="E10" s="6"/>
      <c r="F10" s="449"/>
      <c r="H10" s="323" t="s">
        <v>127</v>
      </c>
      <c r="I10" s="323" t="s">
        <v>128</v>
      </c>
      <c r="J10" s="451">
        <v>73734.27</v>
      </c>
    </row>
    <row r="11" spans="1:11" ht="29.25" customHeight="1">
      <c r="A11" s="459"/>
      <c r="B11" s="466" t="s">
        <v>163</v>
      </c>
      <c r="C11" s="449"/>
      <c r="D11" s="6"/>
      <c r="E11" s="6"/>
      <c r="F11" s="449"/>
      <c r="H11" s="323" t="s">
        <v>130</v>
      </c>
      <c r="I11" s="323" t="s">
        <v>131</v>
      </c>
      <c r="J11" s="451">
        <v>17850</v>
      </c>
    </row>
    <row r="12" spans="1:11" ht="15.75" customHeight="1" thickBot="1">
      <c r="A12" s="459"/>
      <c r="B12" s="449"/>
      <c r="C12" s="449"/>
      <c r="D12" s="6"/>
      <c r="E12" s="6"/>
      <c r="F12" s="449"/>
      <c r="J12" s="467">
        <f>SUM(J9:J11)</f>
        <v>94794.07</v>
      </c>
    </row>
    <row r="13" spans="1:11" s="9" customFormat="1" ht="21.75" customHeight="1" thickTop="1">
      <c r="A13" s="462"/>
      <c r="B13" s="468"/>
      <c r="C13" s="463" t="s">
        <v>132</v>
      </c>
      <c r="D13" s="464"/>
      <c r="E13" s="464">
        <f>D8*0.01</f>
        <v>490.74107142857139</v>
      </c>
      <c r="J13" s="465"/>
    </row>
    <row r="14" spans="1:11" s="9" customFormat="1" ht="20.25" customHeight="1">
      <c r="C14" s="9" t="s">
        <v>9</v>
      </c>
      <c r="D14" s="112"/>
      <c r="E14" s="112">
        <f>D15-E13</f>
        <v>54472.25892857142</v>
      </c>
      <c r="F14" s="113"/>
      <c r="J14" s="465"/>
    </row>
    <row r="15" spans="1:11" s="9" customFormat="1" ht="24" customHeight="1" thickBot="1">
      <c r="B15" s="9" t="s">
        <v>8</v>
      </c>
      <c r="C15" s="9" t="s">
        <v>10</v>
      </c>
      <c r="D15" s="115">
        <f>SUM(D7:D14)</f>
        <v>54962.999999999993</v>
      </c>
      <c r="E15" s="115">
        <f>SUM(E7:E14)</f>
        <v>54962.999999999993</v>
      </c>
      <c r="F15" s="116"/>
      <c r="I15" s="469"/>
      <c r="J15" s="465"/>
    </row>
    <row r="16" spans="1:11" ht="6.75" customHeight="1" thickTop="1">
      <c r="D16" s="100"/>
      <c r="E16" s="100"/>
      <c r="F16" s="452"/>
    </row>
    <row r="17" spans="1:11" ht="13.5" customHeight="1">
      <c r="A17" s="470" t="s">
        <v>11</v>
      </c>
      <c r="B17" s="471"/>
      <c r="C17" s="472" t="s">
        <v>12</v>
      </c>
      <c r="D17" s="473"/>
      <c r="E17" s="473"/>
      <c r="F17" s="471"/>
      <c r="H17" s="323" t="s">
        <v>133</v>
      </c>
    </row>
    <row r="18" spans="1:11" ht="22.5" customHeight="1">
      <c r="A18" s="755" t="s">
        <v>165</v>
      </c>
      <c r="B18" s="756"/>
      <c r="C18" s="452" t="s">
        <v>13</v>
      </c>
      <c r="D18" s="452"/>
      <c r="E18" s="112">
        <f>E14</f>
        <v>54472.25892857142</v>
      </c>
      <c r="F18" s="474"/>
      <c r="H18" s="323" t="s">
        <v>134</v>
      </c>
      <c r="J18" s="451">
        <v>97636.01</v>
      </c>
    </row>
    <row r="19" spans="1:11" ht="22.5" customHeight="1">
      <c r="A19" s="757"/>
      <c r="B19" s="756"/>
      <c r="C19" s="452" t="s">
        <v>14</v>
      </c>
      <c r="D19" s="475" t="s">
        <v>135</v>
      </c>
      <c r="E19" s="476"/>
      <c r="F19" s="477"/>
      <c r="G19" s="478"/>
      <c r="H19" s="323" t="s">
        <v>136</v>
      </c>
      <c r="J19" s="451">
        <v>278428.69</v>
      </c>
      <c r="K19" s="88"/>
    </row>
    <row r="20" spans="1:11" ht="46.5" customHeight="1" thickBot="1">
      <c r="A20" s="758"/>
      <c r="B20" s="759"/>
      <c r="C20" s="454" t="s">
        <v>16</v>
      </c>
      <c r="D20" s="479" t="s">
        <v>166</v>
      </c>
      <c r="E20" s="480" t="s">
        <v>137</v>
      </c>
      <c r="F20" s="477"/>
      <c r="J20" s="467">
        <f>SUM(J18:J19)</f>
        <v>376064.7</v>
      </c>
      <c r="K20" s="88"/>
    </row>
    <row r="21" spans="1:11" ht="7.5" customHeight="1" thickTop="1">
      <c r="A21" s="481"/>
      <c r="B21" s="481"/>
      <c r="C21" s="452"/>
      <c r="D21" s="482"/>
      <c r="E21" s="100"/>
      <c r="F21" s="452"/>
      <c r="K21" s="88"/>
    </row>
    <row r="22" spans="1:11" s="478" customFormat="1" ht="15" customHeight="1">
      <c r="A22" s="478" t="s">
        <v>17</v>
      </c>
      <c r="C22" s="478" t="s">
        <v>18</v>
      </c>
      <c r="E22" s="48" t="s">
        <v>138</v>
      </c>
      <c r="H22" s="483">
        <v>3209.8</v>
      </c>
      <c r="I22" s="48"/>
      <c r="J22" s="484">
        <f>J12+J20</f>
        <v>470858.77</v>
      </c>
    </row>
    <row r="23" spans="1:11" ht="12.75" customHeight="1">
      <c r="H23" s="483">
        <v>73734.27</v>
      </c>
      <c r="I23" s="3"/>
    </row>
    <row r="24" spans="1:11" s="10" customFormat="1" ht="15.2" customHeight="1">
      <c r="A24" s="10" t="s">
        <v>139</v>
      </c>
      <c r="E24" s="11"/>
      <c r="H24" s="11"/>
      <c r="I24" s="12"/>
    </row>
    <row r="25" spans="1:11">
      <c r="H25" s="483">
        <v>278428.69</v>
      </c>
      <c r="I25" s="485"/>
      <c r="K25" s="486"/>
    </row>
    <row r="26" spans="1:11" ht="20.25" thickBot="1">
      <c r="H26" s="487">
        <f>SUM(H22:H25)</f>
        <v>355372.76</v>
      </c>
    </row>
    <row r="27" spans="1:11" ht="20.25" thickTop="1"/>
    <row r="28" spans="1:11">
      <c r="C28" s="323" t="s">
        <v>8</v>
      </c>
      <c r="D28" s="323"/>
      <c r="E28" s="323"/>
      <c r="H28" s="323">
        <f>17000-16747</f>
        <v>253</v>
      </c>
    </row>
  </sheetData>
  <mergeCells count="5">
    <mergeCell ref="A1:F1"/>
    <mergeCell ref="A2:F2"/>
    <mergeCell ref="E4:F4"/>
    <mergeCell ref="A6:B6"/>
    <mergeCell ref="A18:B20"/>
  </mergeCells>
  <printOptions horizontalCentered="1"/>
  <pageMargins left="0.2" right="0.2" top="0.2" bottom="0.5" header="0.3" footer="0.3"/>
  <pageSetup scale="81" orientation="portrait" horizontalDpi="120" verticalDpi="7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view="pageBreakPreview" zoomScale="85" zoomScaleNormal="100" zoomScaleSheetLayoutView="85" workbookViewId="0">
      <selection activeCell="B5" sqref="B5"/>
    </sheetView>
  </sheetViews>
  <sheetFormatPr defaultColWidth="9.140625" defaultRowHeight="19.5"/>
  <cols>
    <col min="1" max="1" width="8.7109375" style="274" customWidth="1"/>
    <col min="2" max="2" width="28.85546875" style="274" customWidth="1"/>
    <col min="3" max="3" width="20.7109375" style="274" customWidth="1"/>
    <col min="4" max="4" width="26.42578125" style="276" customWidth="1"/>
    <col min="5" max="5" width="42.8554687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272" customFormat="1" ht="34.5" customHeight="1">
      <c r="A1" s="693" t="s">
        <v>0</v>
      </c>
      <c r="B1" s="693"/>
      <c r="C1" s="693"/>
      <c r="D1" s="693"/>
      <c r="E1" s="693"/>
      <c r="F1" s="693"/>
      <c r="I1" s="273"/>
    </row>
    <row r="2" spans="1:10" ht="15.75" customHeight="1">
      <c r="A2" s="746" t="s">
        <v>1</v>
      </c>
      <c r="B2" s="746"/>
      <c r="C2" s="746"/>
      <c r="D2" s="746"/>
      <c r="E2" s="746"/>
      <c r="F2" s="746"/>
    </row>
    <row r="3" spans="1:10" ht="21.75" customHeight="1">
      <c r="F3" s="277" t="s">
        <v>159</v>
      </c>
    </row>
    <row r="4" spans="1:10" ht="20.25" customHeight="1">
      <c r="B4" s="278" t="s">
        <v>2</v>
      </c>
      <c r="D4" s="279" t="s">
        <v>3</v>
      </c>
      <c r="E4" s="747">
        <v>46245</v>
      </c>
      <c r="F4" s="747"/>
    </row>
    <row r="5" spans="1:10" ht="24.75" customHeight="1">
      <c r="A5" s="2" t="s">
        <v>4</v>
      </c>
      <c r="B5" s="495" t="s">
        <v>156</v>
      </c>
      <c r="C5" s="2"/>
      <c r="D5" s="281"/>
      <c r="E5" s="278"/>
      <c r="J5" s="282"/>
    </row>
    <row r="6" spans="1:10" ht="15.75" customHeight="1">
      <c r="A6" s="748"/>
      <c r="B6" s="748"/>
      <c r="C6" s="2"/>
      <c r="D6" s="283" t="s">
        <v>5</v>
      </c>
      <c r="E6" s="284" t="s">
        <v>6</v>
      </c>
      <c r="F6" s="285"/>
      <c r="G6" s="274" t="s">
        <v>7</v>
      </c>
      <c r="J6" s="282"/>
    </row>
    <row r="7" spans="1:10" ht="13.5" customHeight="1">
      <c r="A7" s="286"/>
      <c r="B7" s="286"/>
      <c r="C7" s="278"/>
      <c r="D7" s="287"/>
      <c r="E7" s="287"/>
      <c r="F7" s="278"/>
      <c r="J7" s="282"/>
    </row>
    <row r="8" spans="1:10" ht="15.75" customHeight="1">
      <c r="A8" s="288"/>
      <c r="B8" s="289"/>
      <c r="C8" s="289"/>
      <c r="I8" s="274"/>
    </row>
    <row r="9" spans="1:10" s="497" customFormat="1" ht="23.25" customHeight="1">
      <c r="A9" s="496"/>
      <c r="B9" s="514" t="s">
        <v>160</v>
      </c>
      <c r="D9" s="498">
        <v>10000</v>
      </c>
      <c r="E9" s="499"/>
    </row>
    <row r="10" spans="1:10" s="272" customFormat="1" ht="19.5" customHeight="1">
      <c r="A10" s="500"/>
      <c r="B10" s="500"/>
      <c r="C10" s="299"/>
      <c r="D10" s="498"/>
      <c r="E10" s="300"/>
    </row>
    <row r="11" spans="1:10" s="272" customFormat="1" ht="19.5" customHeight="1">
      <c r="A11" s="298"/>
      <c r="B11" s="501"/>
      <c r="C11" s="299"/>
      <c r="D11" s="499"/>
      <c r="E11" s="300"/>
    </row>
    <row r="12" spans="1:10" s="505" customFormat="1" ht="21" customHeight="1">
      <c r="A12" s="502"/>
      <c r="B12" s="503"/>
      <c r="C12" s="504"/>
      <c r="D12" s="498"/>
      <c r="E12" s="498"/>
    </row>
    <row r="13" spans="1:10" s="506" customFormat="1" ht="21" customHeight="1">
      <c r="B13" s="506" t="s">
        <v>8</v>
      </c>
      <c r="C13" s="506" t="s">
        <v>9</v>
      </c>
      <c r="D13" s="507"/>
      <c r="E13" s="507">
        <f>D14</f>
        <v>10000</v>
      </c>
      <c r="F13" s="280"/>
    </row>
    <row r="14" spans="1:10" s="506" customFormat="1" ht="24" customHeight="1" thickBot="1">
      <c r="B14" s="506" t="s">
        <v>8</v>
      </c>
      <c r="C14" s="506" t="s">
        <v>10</v>
      </c>
      <c r="D14" s="508">
        <f>SUM(D9:D11)</f>
        <v>10000</v>
      </c>
      <c r="E14" s="508">
        <f>E13-E12</f>
        <v>10000</v>
      </c>
      <c r="F14" s="509"/>
    </row>
    <row r="15" spans="1:10" ht="6.75" customHeight="1" thickTop="1">
      <c r="D15" s="305"/>
      <c r="E15" s="305"/>
      <c r="F15" s="278"/>
      <c r="I15" s="274"/>
    </row>
    <row r="16" spans="1:10" ht="19.5" customHeight="1">
      <c r="A16" s="306" t="s">
        <v>11</v>
      </c>
      <c r="B16" s="307"/>
      <c r="C16" s="308" t="s">
        <v>12</v>
      </c>
      <c r="D16" s="309"/>
      <c r="E16" s="309"/>
      <c r="F16" s="307"/>
      <c r="I16" s="274"/>
    </row>
    <row r="17" spans="1:10" ht="26.25" customHeight="1">
      <c r="A17" s="697" t="s">
        <v>157</v>
      </c>
      <c r="B17" s="698"/>
      <c r="C17" s="278" t="s">
        <v>13</v>
      </c>
      <c r="D17" s="278"/>
      <c r="E17" s="749">
        <f>E14</f>
        <v>10000</v>
      </c>
      <c r="F17" s="750"/>
    </row>
    <row r="18" spans="1:10" ht="13.5" customHeight="1">
      <c r="A18" s="699"/>
      <c r="B18" s="698"/>
      <c r="C18" s="278" t="s">
        <v>14</v>
      </c>
      <c r="D18" s="312" t="s">
        <v>85</v>
      </c>
      <c r="E18" s="313"/>
      <c r="F18" s="314"/>
      <c r="G18" s="315"/>
      <c r="J18" s="282"/>
    </row>
    <row r="19" spans="1:10" ht="54.75" customHeight="1">
      <c r="A19" s="700"/>
      <c r="B19" s="701"/>
      <c r="C19" s="2" t="s">
        <v>16</v>
      </c>
      <c r="D19" s="2" t="str">
        <f>B5</f>
        <v>GUAZON ACCOUNTING AND AUDITING OFFICE</v>
      </c>
      <c r="E19" s="510"/>
      <c r="F19" s="314"/>
      <c r="J19" s="282"/>
    </row>
    <row r="20" spans="1:10" ht="15" customHeight="1">
      <c r="A20" s="274" t="s">
        <v>17</v>
      </c>
      <c r="C20" s="274" t="s">
        <v>18</v>
      </c>
      <c r="D20" s="274"/>
      <c r="E20" s="511" t="s">
        <v>158</v>
      </c>
      <c r="H20" s="276"/>
    </row>
    <row r="21" spans="1:10" ht="15.75" customHeight="1">
      <c r="H21" s="276"/>
    </row>
    <row r="22" spans="1:10" s="493" customFormat="1" ht="28.5" customHeight="1">
      <c r="A22" s="493" t="s">
        <v>161</v>
      </c>
      <c r="E22" s="512"/>
      <c r="H22" s="512"/>
      <c r="I22" s="513"/>
    </row>
    <row r="24" spans="1:10">
      <c r="C24" s="274" t="s">
        <v>8</v>
      </c>
      <c r="D24" s="274"/>
      <c r="E24" s="274"/>
      <c r="I24" s="274"/>
    </row>
  </sheetData>
  <mergeCells count="6">
    <mergeCell ref="A1:F1"/>
    <mergeCell ref="A2:F2"/>
    <mergeCell ref="E4:F4"/>
    <mergeCell ref="A6:B6"/>
    <mergeCell ref="A17:B19"/>
    <mergeCell ref="E17:F17"/>
  </mergeCells>
  <printOptions horizontalCentered="1"/>
  <pageMargins left="0.25" right="0.25" top="0.75" bottom="0.75" header="0.3" footer="0.3"/>
  <pageSetup scale="75" orientation="portrait" verticalDpi="72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8"/>
  <sheetViews>
    <sheetView view="pageBreakPreview" zoomScaleNormal="100" zoomScaleSheetLayoutView="100" workbookViewId="0">
      <selection activeCell="A18" sqref="A18:B20"/>
    </sheetView>
  </sheetViews>
  <sheetFormatPr defaultColWidth="9.140625" defaultRowHeight="19.5"/>
  <cols>
    <col min="1" max="1" width="8.42578125" style="323" customWidth="1"/>
    <col min="2" max="2" width="23.5703125" style="323" customWidth="1"/>
    <col min="3" max="3" width="20" style="323" customWidth="1"/>
    <col min="4" max="4" width="22.42578125" style="3" customWidth="1"/>
    <col min="5" max="5" width="30.85546875" style="3" customWidth="1"/>
    <col min="6" max="6" width="14.85546875" style="323" customWidth="1"/>
    <col min="7" max="7" width="9.140625" style="323"/>
    <col min="8" max="8" width="19.42578125" style="323" customWidth="1"/>
    <col min="9" max="9" width="15.28515625" style="323" customWidth="1"/>
    <col min="10" max="10" width="22.85546875" style="451" customWidth="1"/>
    <col min="11" max="11" width="10" style="323" customWidth="1"/>
    <col min="12" max="16384" width="9.140625" style="323"/>
  </cols>
  <sheetData>
    <row r="1" spans="1:11" s="449" customFormat="1" ht="18.75" customHeight="1">
      <c r="A1" s="751" t="s">
        <v>0</v>
      </c>
      <c r="B1" s="751"/>
      <c r="C1" s="751"/>
      <c r="D1" s="751"/>
      <c r="E1" s="751"/>
      <c r="F1" s="751"/>
      <c r="J1" s="450"/>
    </row>
    <row r="2" spans="1:11" ht="15.75" customHeight="1">
      <c r="A2" s="752" t="s">
        <v>1</v>
      </c>
      <c r="B2" s="752"/>
      <c r="C2" s="752"/>
      <c r="D2" s="752"/>
      <c r="E2" s="752"/>
      <c r="F2" s="752"/>
    </row>
    <row r="3" spans="1:11" ht="27.75" customHeight="1">
      <c r="F3" s="83" t="s">
        <v>154</v>
      </c>
      <c r="H3" s="323">
        <f>230374.88+201164</f>
        <v>431538.88</v>
      </c>
    </row>
    <row r="4" spans="1:11" ht="22.5" customHeight="1">
      <c r="B4" s="452" t="s">
        <v>2</v>
      </c>
      <c r="D4" s="453" t="s">
        <v>3</v>
      </c>
      <c r="E4" s="753">
        <v>46244</v>
      </c>
      <c r="F4" s="753"/>
    </row>
    <row r="5" spans="1:11" ht="19.5" customHeight="1">
      <c r="A5" s="454" t="s">
        <v>4</v>
      </c>
      <c r="B5" s="495" t="s">
        <v>153</v>
      </c>
      <c r="C5" s="454"/>
      <c r="D5" s="454"/>
      <c r="E5" s="452"/>
      <c r="K5" s="88"/>
    </row>
    <row r="6" spans="1:11" ht="17.25" customHeight="1">
      <c r="A6" s="754"/>
      <c r="B6" s="754"/>
      <c r="C6" s="454"/>
      <c r="D6" s="456" t="s">
        <v>5</v>
      </c>
      <c r="E6" s="457" t="s">
        <v>6</v>
      </c>
      <c r="F6" s="458"/>
      <c r="G6" s="323" t="s">
        <v>7</v>
      </c>
      <c r="K6" s="88"/>
    </row>
    <row r="7" spans="1:11" ht="12.75" customHeight="1">
      <c r="A7" s="459"/>
      <c r="B7" s="460"/>
      <c r="C7" s="461"/>
      <c r="D7" s="6"/>
      <c r="E7" s="6"/>
      <c r="F7" s="449"/>
    </row>
    <row r="8" spans="1:11" s="9" customFormat="1" ht="19.5" customHeight="1">
      <c r="A8" s="462"/>
      <c r="B8" s="463" t="s">
        <v>41</v>
      </c>
      <c r="C8" s="463"/>
      <c r="D8" s="464">
        <f>329000/1.12</f>
        <v>293750</v>
      </c>
      <c r="E8" s="464"/>
      <c r="H8" s="9" t="s">
        <v>123</v>
      </c>
      <c r="J8" s="465"/>
    </row>
    <row r="9" spans="1:11" s="9" customFormat="1" ht="19.5" customHeight="1">
      <c r="A9" s="462"/>
      <c r="B9" s="9" t="s">
        <v>124</v>
      </c>
      <c r="D9" s="464">
        <f>D8*0.12</f>
        <v>35250</v>
      </c>
      <c r="E9" s="464"/>
      <c r="H9" s="9" t="s">
        <v>125</v>
      </c>
      <c r="I9" s="9" t="s">
        <v>126</v>
      </c>
      <c r="J9" s="465">
        <v>3209.8</v>
      </c>
    </row>
    <row r="10" spans="1:11" ht="15.75" customHeight="1">
      <c r="A10" s="459"/>
      <c r="B10" s="449"/>
      <c r="C10" s="449"/>
      <c r="D10" s="6"/>
      <c r="E10" s="6"/>
      <c r="F10" s="449"/>
      <c r="H10" s="323" t="s">
        <v>127</v>
      </c>
      <c r="I10" s="323" t="s">
        <v>128</v>
      </c>
      <c r="J10" s="451">
        <v>73734.27</v>
      </c>
    </row>
    <row r="11" spans="1:11" ht="24.75" customHeight="1">
      <c r="A11" s="459"/>
      <c r="B11" s="466"/>
      <c r="C11" s="449"/>
      <c r="D11" s="6"/>
      <c r="E11" s="6"/>
      <c r="F11" s="449"/>
      <c r="H11" s="323" t="s">
        <v>130</v>
      </c>
      <c r="I11" s="323" t="s">
        <v>131</v>
      </c>
      <c r="J11" s="451">
        <v>17850</v>
      </c>
    </row>
    <row r="12" spans="1:11" ht="9" customHeight="1" thickBot="1">
      <c r="A12" s="459"/>
      <c r="B12" s="449"/>
      <c r="C12" s="449"/>
      <c r="D12" s="6"/>
      <c r="E12" s="6"/>
      <c r="F12" s="449"/>
      <c r="J12" s="467">
        <f>SUM(J9:J11)</f>
        <v>94794.07</v>
      </c>
    </row>
    <row r="13" spans="1:11" s="9" customFormat="1" ht="21.75" customHeight="1" thickTop="1">
      <c r="A13" s="462"/>
      <c r="B13" s="468"/>
      <c r="C13" s="463" t="s">
        <v>132</v>
      </c>
      <c r="D13" s="464"/>
      <c r="E13" s="464">
        <f>D8*0.01</f>
        <v>2937.5</v>
      </c>
      <c r="J13" s="465"/>
    </row>
    <row r="14" spans="1:11" s="9" customFormat="1" ht="20.25" customHeight="1">
      <c r="C14" s="9" t="s">
        <v>9</v>
      </c>
      <c r="D14" s="112"/>
      <c r="E14" s="112">
        <f>D15-E13</f>
        <v>161562.5</v>
      </c>
      <c r="F14" s="113"/>
      <c r="J14" s="465"/>
    </row>
    <row r="15" spans="1:11" s="9" customFormat="1" ht="24" customHeight="1" thickBot="1">
      <c r="B15" s="9" t="s">
        <v>8</v>
      </c>
      <c r="C15" s="9" t="s">
        <v>10</v>
      </c>
      <c r="D15" s="115">
        <f>SUM(D7:D14)/2</f>
        <v>164500</v>
      </c>
      <c r="E15" s="115">
        <f>SUM(E7:E14)</f>
        <v>164500</v>
      </c>
      <c r="F15" s="116"/>
      <c r="I15" s="469"/>
      <c r="J15" s="465"/>
    </row>
    <row r="16" spans="1:11" ht="6.75" customHeight="1" thickTop="1">
      <c r="D16" s="100"/>
      <c r="E16" s="100"/>
      <c r="F16" s="452"/>
    </row>
    <row r="17" spans="1:11" ht="13.5" customHeight="1">
      <c r="A17" s="470" t="s">
        <v>11</v>
      </c>
      <c r="B17" s="471"/>
      <c r="C17" s="472" t="s">
        <v>12</v>
      </c>
      <c r="D17" s="473"/>
      <c r="E17" s="473"/>
      <c r="F17" s="471"/>
      <c r="H17" s="323" t="s">
        <v>133</v>
      </c>
    </row>
    <row r="18" spans="1:11" ht="22.5" customHeight="1">
      <c r="A18" s="760" t="s">
        <v>155</v>
      </c>
      <c r="B18" s="761"/>
      <c r="C18" s="452" t="s">
        <v>13</v>
      </c>
      <c r="D18" s="452"/>
      <c r="E18" s="112">
        <f>E14</f>
        <v>161562.5</v>
      </c>
      <c r="F18" s="474"/>
      <c r="H18" s="323" t="s">
        <v>134</v>
      </c>
      <c r="J18" s="451">
        <v>97636.01</v>
      </c>
    </row>
    <row r="19" spans="1:11" ht="22.5" customHeight="1">
      <c r="A19" s="762"/>
      <c r="B19" s="761"/>
      <c r="C19" s="452" t="s">
        <v>14</v>
      </c>
      <c r="D19" s="475" t="s">
        <v>135</v>
      </c>
      <c r="E19" s="476"/>
      <c r="F19" s="477"/>
      <c r="G19" s="478"/>
      <c r="H19" s="323" t="s">
        <v>136</v>
      </c>
      <c r="J19" s="451">
        <v>278428.69</v>
      </c>
      <c r="K19" s="88"/>
    </row>
    <row r="20" spans="1:11" ht="46.5" customHeight="1" thickBot="1">
      <c r="A20" s="763"/>
      <c r="B20" s="764"/>
      <c r="C20" s="454" t="s">
        <v>16</v>
      </c>
      <c r="D20" s="479" t="str">
        <f>B5</f>
        <v>TECHNOPEAK CORPORATION</v>
      </c>
      <c r="E20" s="480" t="s">
        <v>137</v>
      </c>
      <c r="F20" s="477"/>
      <c r="J20" s="467">
        <f>SUM(J18:J19)</f>
        <v>376064.7</v>
      </c>
      <c r="K20" s="88"/>
    </row>
    <row r="21" spans="1:11" ht="7.5" customHeight="1" thickTop="1">
      <c r="A21" s="481"/>
      <c r="B21" s="481"/>
      <c r="C21" s="452"/>
      <c r="D21" s="482"/>
      <c r="E21" s="100"/>
      <c r="F21" s="452"/>
      <c r="K21" s="88"/>
    </row>
    <row r="22" spans="1:11" s="478" customFormat="1" ht="15" customHeight="1">
      <c r="A22" s="478" t="s">
        <v>17</v>
      </c>
      <c r="C22" s="478" t="s">
        <v>18</v>
      </c>
      <c r="E22" s="48" t="s">
        <v>138</v>
      </c>
      <c r="H22" s="483">
        <v>3209.8</v>
      </c>
      <c r="I22" s="48"/>
      <c r="J22" s="484">
        <f>J12+J20</f>
        <v>470858.77</v>
      </c>
    </row>
    <row r="23" spans="1:11" ht="18" customHeight="1">
      <c r="H23" s="483">
        <v>73734.27</v>
      </c>
      <c r="I23" s="3"/>
    </row>
    <row r="24" spans="1:11" s="10" customFormat="1" ht="15.2" customHeight="1">
      <c r="A24" s="10" t="s">
        <v>139</v>
      </c>
      <c r="E24" s="11"/>
      <c r="H24" s="11"/>
      <c r="I24" s="12"/>
    </row>
    <row r="25" spans="1:11">
      <c r="H25" s="483">
        <v>278428.69</v>
      </c>
      <c r="I25" s="485"/>
      <c r="K25" s="486"/>
    </row>
    <row r="26" spans="1:11" ht="20.25" thickBot="1">
      <c r="H26" s="487">
        <f>SUM(H22:H25)</f>
        <v>355372.76</v>
      </c>
    </row>
    <row r="27" spans="1:11" ht="20.25" thickTop="1"/>
    <row r="28" spans="1:11">
      <c r="C28" s="323" t="s">
        <v>8</v>
      </c>
      <c r="D28" s="323"/>
      <c r="E28" s="323"/>
      <c r="H28" s="323">
        <f>17000-16747</f>
        <v>253</v>
      </c>
    </row>
  </sheetData>
  <mergeCells count="5">
    <mergeCell ref="A1:F1"/>
    <mergeCell ref="A2:F2"/>
    <mergeCell ref="E4:F4"/>
    <mergeCell ref="A6:B6"/>
    <mergeCell ref="A18:B20"/>
  </mergeCells>
  <printOptions horizontalCentered="1"/>
  <pageMargins left="0.2" right="0.2" top="0.2" bottom="0.5" header="0.3" footer="0.3"/>
  <pageSetup scale="81" orientation="portrait" horizontalDpi="120" verticalDpi="7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150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46244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448"/>
      <c r="B8" s="448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24" customHeight="1">
      <c r="A10" s="97"/>
      <c r="B10" s="98"/>
      <c r="C10" s="136"/>
      <c r="D10" s="96"/>
      <c r="F10" s="98"/>
      <c r="I10" s="4"/>
    </row>
    <row r="11" spans="1:10" s="98" customFormat="1" ht="21" customHeight="1">
      <c r="A11" s="99"/>
      <c r="B11" s="103" t="s">
        <v>151</v>
      </c>
      <c r="C11" s="136"/>
      <c r="D11" s="96">
        <v>50000</v>
      </c>
      <c r="E11" s="100"/>
      <c r="F11" s="101"/>
    </row>
    <row r="12" spans="1:10" s="98" customFormat="1" ht="18" customHeigh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50000</v>
      </c>
      <c r="E16" s="112">
        <f>D17-E15</f>
        <v>50000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50000</v>
      </c>
      <c r="E17" s="115">
        <f>SUM(E12:E16)</f>
        <v>50000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152</v>
      </c>
      <c r="B20" s="717"/>
      <c r="C20" s="84" t="s">
        <v>13</v>
      </c>
      <c r="D20" s="84"/>
      <c r="E20" s="689">
        <f>E17-E15</f>
        <v>50000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="80" zoomScaleNormal="100" zoomScaleSheetLayoutView="80" workbookViewId="0">
      <selection activeCell="K20" sqref="K20"/>
    </sheetView>
  </sheetViews>
  <sheetFormatPr defaultColWidth="9.140625" defaultRowHeight="19.5"/>
  <cols>
    <col min="1" max="1" width="8.5703125" style="274" customWidth="1"/>
    <col min="2" max="2" width="25.42578125" style="274" customWidth="1"/>
    <col min="3" max="3" width="16.28515625" style="274" customWidth="1"/>
    <col min="4" max="4" width="25.5703125" style="276" customWidth="1"/>
    <col min="5" max="5" width="42.4257812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272" customFormat="1" ht="24.75" customHeight="1">
      <c r="A1" s="765" t="s">
        <v>0</v>
      </c>
      <c r="B1" s="765"/>
      <c r="C1" s="765"/>
      <c r="D1" s="765"/>
      <c r="E1" s="765"/>
      <c r="F1" s="765"/>
      <c r="I1" s="273"/>
    </row>
    <row r="2" spans="1:10" ht="15.75" customHeight="1">
      <c r="A2" s="746" t="s">
        <v>1</v>
      </c>
      <c r="B2" s="746"/>
      <c r="C2" s="746"/>
      <c r="D2" s="746"/>
      <c r="E2" s="746"/>
      <c r="F2" s="746"/>
    </row>
    <row r="3" spans="1:10" ht="21.75" customHeight="1">
      <c r="F3" s="277" t="s">
        <v>147</v>
      </c>
    </row>
    <row r="4" spans="1:10" ht="6.75" customHeight="1">
      <c r="A4" s="695"/>
      <c r="B4" s="695"/>
      <c r="C4" s="695"/>
      <c r="D4" s="695"/>
      <c r="E4" s="695"/>
    </row>
    <row r="5" spans="1:10" ht="18" customHeight="1">
      <c r="B5" s="278" t="s">
        <v>2</v>
      </c>
      <c r="D5" s="279" t="s">
        <v>3</v>
      </c>
      <c r="E5" s="712">
        <v>46244</v>
      </c>
      <c r="F5" s="712"/>
    </row>
    <row r="6" spans="1:10" ht="21.75" customHeight="1">
      <c r="A6" s="2" t="s">
        <v>4</v>
      </c>
      <c r="B6" s="280" t="s">
        <v>82</v>
      </c>
      <c r="C6" s="2"/>
      <c r="D6" s="281"/>
      <c r="E6" s="278"/>
      <c r="J6" s="282"/>
    </row>
    <row r="7" spans="1:10" ht="15.75" customHeight="1">
      <c r="A7" s="748"/>
      <c r="B7" s="748"/>
      <c r="C7" s="2"/>
      <c r="D7" s="283" t="s">
        <v>5</v>
      </c>
      <c r="E7" s="284" t="s">
        <v>6</v>
      </c>
      <c r="F7" s="285"/>
      <c r="G7" s="274" t="s">
        <v>7</v>
      </c>
      <c r="J7" s="282"/>
    </row>
    <row r="8" spans="1:10" ht="13.5" customHeight="1">
      <c r="A8" s="286"/>
      <c r="B8" s="286"/>
      <c r="C8" s="278"/>
      <c r="D8" s="287"/>
      <c r="E8" s="287"/>
      <c r="F8" s="278"/>
      <c r="J8" s="282"/>
    </row>
    <row r="9" spans="1:10" ht="15.75" customHeight="1">
      <c r="A9" s="288"/>
      <c r="B9" s="289"/>
      <c r="C9" s="289"/>
      <c r="I9" s="274"/>
    </row>
    <row r="10" spans="1:10" s="294" customFormat="1" ht="19.5" customHeight="1">
      <c r="A10" s="290"/>
      <c r="B10" s="291" t="s">
        <v>146</v>
      </c>
      <c r="C10" s="292"/>
      <c r="D10" s="293">
        <v>6351.98</v>
      </c>
      <c r="E10" s="293"/>
    </row>
    <row r="11" spans="1:10" ht="21">
      <c r="A11" s="288"/>
      <c r="B11" s="295" t="s">
        <v>84</v>
      </c>
      <c r="C11" s="289"/>
      <c r="D11" s="276">
        <v>25</v>
      </c>
      <c r="I11" s="274"/>
    </row>
    <row r="12" spans="1:10" ht="13.5" customHeight="1">
      <c r="A12" s="288"/>
      <c r="B12" s="296"/>
      <c r="C12" s="297"/>
      <c r="I12" s="274"/>
    </row>
    <row r="13" spans="1:10" s="272" customFormat="1" ht="15.75" customHeight="1">
      <c r="A13" s="298"/>
      <c r="B13" s="295"/>
      <c r="C13" s="299"/>
      <c r="D13" s="300"/>
      <c r="E13" s="300"/>
      <c r="J13" s="272">
        <f>3175.99+3175.99</f>
        <v>6351.98</v>
      </c>
    </row>
    <row r="14" spans="1:10" s="272" customFormat="1" ht="15.75" customHeight="1">
      <c r="B14" s="272" t="s">
        <v>8</v>
      </c>
      <c r="C14" s="272" t="s">
        <v>9</v>
      </c>
      <c r="D14" s="301"/>
      <c r="E14" s="301">
        <f>D15</f>
        <v>6376.98</v>
      </c>
      <c r="F14" s="302"/>
    </row>
    <row r="15" spans="1:10" s="272" customFormat="1" ht="22.5" customHeight="1" thickBot="1">
      <c r="B15" s="272" t="s">
        <v>8</v>
      </c>
      <c r="C15" s="272" t="s">
        <v>10</v>
      </c>
      <c r="D15" s="303">
        <f>SUM(D10:D14)</f>
        <v>6376.98</v>
      </c>
      <c r="E15" s="303">
        <f>SUM(E13:E14)</f>
        <v>6376.98</v>
      </c>
      <c r="F15" s="304"/>
    </row>
    <row r="16" spans="1:10" ht="6.75" customHeight="1" thickTop="1">
      <c r="D16" s="305"/>
      <c r="E16" s="305"/>
      <c r="F16" s="278"/>
      <c r="I16" s="274"/>
    </row>
    <row r="17" spans="1:10" ht="19.5" customHeight="1">
      <c r="A17" s="306" t="s">
        <v>11</v>
      </c>
      <c r="B17" s="307"/>
      <c r="C17" s="308" t="s">
        <v>12</v>
      </c>
      <c r="D17" s="309"/>
      <c r="E17" s="309"/>
      <c r="F17" s="307"/>
      <c r="I17" s="274"/>
    </row>
    <row r="18" spans="1:10" ht="18.75" customHeight="1">
      <c r="A18" s="757" t="s">
        <v>148</v>
      </c>
      <c r="B18" s="756"/>
      <c r="C18" s="278" t="s">
        <v>13</v>
      </c>
      <c r="D18" s="278"/>
      <c r="E18" s="310">
        <f>E14-E12</f>
        <v>6376.98</v>
      </c>
      <c r="F18" s="311"/>
    </row>
    <row r="19" spans="1:10" ht="13.5" customHeight="1">
      <c r="A19" s="757"/>
      <c r="B19" s="756"/>
      <c r="C19" s="278" t="s">
        <v>14</v>
      </c>
      <c r="D19" s="312" t="s">
        <v>85</v>
      </c>
      <c r="E19" s="313"/>
      <c r="F19" s="314"/>
      <c r="G19" s="315"/>
      <c r="J19" s="282"/>
    </row>
    <row r="20" spans="1:10" ht="84" customHeight="1">
      <c r="A20" s="758"/>
      <c r="B20" s="759"/>
      <c r="C20" s="2" t="s">
        <v>16</v>
      </c>
      <c r="D20" s="2" t="str">
        <f>B6</f>
        <v xml:space="preserve"> SOCIAL SECURITY SYSTEM // ROY MIRANDA</v>
      </c>
      <c r="E20" s="316"/>
      <c r="F20" s="314"/>
      <c r="J20" s="282"/>
    </row>
    <row r="21" spans="1:10" ht="11.25" customHeight="1">
      <c r="A21" s="317"/>
      <c r="B21" s="317"/>
      <c r="C21" s="278"/>
      <c r="D21" s="318"/>
      <c r="E21" s="305"/>
      <c r="F21" s="278"/>
      <c r="J21" s="282"/>
    </row>
    <row r="22" spans="1:10" s="315" customFormat="1" ht="15" customHeight="1">
      <c r="A22" s="319" t="s">
        <v>17</v>
      </c>
      <c r="C22" s="315" t="s">
        <v>18</v>
      </c>
      <c r="E22" s="320" t="s">
        <v>86</v>
      </c>
      <c r="H22" s="321"/>
      <c r="I22" s="322"/>
    </row>
    <row r="23" spans="1:10" s="315" customFormat="1" ht="15" customHeight="1">
      <c r="A23" s="319"/>
      <c r="E23" s="320"/>
      <c r="H23" s="321"/>
      <c r="I23" s="322"/>
    </row>
    <row r="24" spans="1:10" ht="15.75" customHeight="1">
      <c r="H24" s="276"/>
    </row>
    <row r="25" spans="1:10" s="323" customFormat="1" ht="15.2" customHeight="1">
      <c r="A25" s="323" t="s">
        <v>87</v>
      </c>
      <c r="E25" s="3"/>
      <c r="H25" s="3"/>
      <c r="I25" s="324"/>
    </row>
    <row r="26" spans="1:10" ht="18.75" customHeight="1">
      <c r="H26" s="325"/>
    </row>
    <row r="27" spans="1:10">
      <c r="H27" s="325"/>
      <c r="J27" s="326"/>
    </row>
    <row r="30" spans="1:10">
      <c r="C30" s="274" t="s">
        <v>8</v>
      </c>
      <c r="D30" s="274"/>
      <c r="E30" s="274"/>
      <c r="I30" s="274"/>
    </row>
  </sheetData>
  <mergeCells count="6">
    <mergeCell ref="A18:B20"/>
    <mergeCell ref="A1:F1"/>
    <mergeCell ref="A2:F2"/>
    <mergeCell ref="A4:E4"/>
    <mergeCell ref="E5:F5"/>
    <mergeCell ref="A7:B7"/>
  </mergeCells>
  <printOptions horizontalCentered="1"/>
  <pageMargins left="0.29861111111111099" right="0.29861111111111099" top="0.20069444444444401" bottom="0.5" header="0.29861111111111099" footer="0.29861111111111099"/>
  <pageSetup paperSize="5" scale="80" orientation="portrait" verticalDpi="7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view="pageBreakPreview" zoomScale="80" zoomScaleNormal="100" zoomScaleSheetLayoutView="80" workbookViewId="0">
      <selection activeCell="A18" sqref="A18:B20"/>
    </sheetView>
  </sheetViews>
  <sheetFormatPr defaultColWidth="9.140625" defaultRowHeight="17.25"/>
  <cols>
    <col min="1" max="1" width="9.7109375" style="330" customWidth="1"/>
    <col min="2" max="2" width="26.5703125" style="330" customWidth="1"/>
    <col min="3" max="3" width="19.28515625" style="330" customWidth="1"/>
    <col min="4" max="4" width="15.28515625" style="438" customWidth="1"/>
    <col min="5" max="5" width="20.85546875" style="438" customWidth="1"/>
    <col min="6" max="6" width="20.5703125" style="330" customWidth="1"/>
    <col min="7" max="7" width="13.140625" style="330" customWidth="1"/>
    <col min="8" max="8" width="10" style="330" customWidth="1"/>
    <col min="9" max="9" width="9.140625" style="331"/>
    <col min="10" max="10" width="10" style="330" customWidth="1"/>
    <col min="11" max="16384" width="9.140625" style="330"/>
  </cols>
  <sheetData>
    <row r="1" spans="1:10" s="387" customFormat="1" ht="18.75" customHeight="1">
      <c r="A1" s="772" t="s">
        <v>0</v>
      </c>
      <c r="B1" s="772"/>
      <c r="C1" s="772"/>
      <c r="D1" s="772"/>
      <c r="E1" s="772"/>
      <c r="F1" s="772"/>
      <c r="I1" s="388"/>
    </row>
    <row r="2" spans="1:10" ht="15.75" customHeight="1">
      <c r="A2" s="773" t="s">
        <v>1</v>
      </c>
      <c r="B2" s="773"/>
      <c r="C2" s="773"/>
      <c r="D2" s="773"/>
      <c r="E2" s="773"/>
      <c r="F2" s="773"/>
    </row>
    <row r="3" spans="1:10" ht="27.75" customHeight="1">
      <c r="A3" s="329"/>
      <c r="B3" s="329"/>
      <c r="C3" s="329"/>
      <c r="D3" s="774" t="s">
        <v>145</v>
      </c>
      <c r="E3" s="774"/>
      <c r="F3" s="774"/>
    </row>
    <row r="4" spans="1:10" ht="6.75" customHeight="1">
      <c r="A4" s="775"/>
      <c r="B4" s="775"/>
      <c r="C4" s="775"/>
      <c r="D4" s="775"/>
      <c r="E4" s="775"/>
      <c r="F4" s="329"/>
    </row>
    <row r="5" spans="1:10" ht="23.25" customHeight="1">
      <c r="A5" s="329"/>
      <c r="B5" s="389" t="s">
        <v>2</v>
      </c>
      <c r="C5" s="329"/>
      <c r="D5" s="390" t="s">
        <v>3</v>
      </c>
      <c r="E5" s="679">
        <v>46244</v>
      </c>
      <c r="F5" s="679"/>
    </row>
    <row r="6" spans="1:10" ht="19.5" customHeight="1">
      <c r="A6" s="334" t="s">
        <v>4</v>
      </c>
      <c r="B6" s="391" t="s">
        <v>100</v>
      </c>
      <c r="C6" s="334"/>
      <c r="D6" s="334"/>
      <c r="E6" s="389"/>
      <c r="F6" s="329"/>
      <c r="J6" s="392"/>
    </row>
    <row r="7" spans="1:10" ht="15.2" customHeight="1">
      <c r="A7" s="776"/>
      <c r="B7" s="776"/>
      <c r="C7" s="334"/>
      <c r="D7" s="335" t="s">
        <v>5</v>
      </c>
      <c r="E7" s="393" t="s">
        <v>6</v>
      </c>
      <c r="F7" s="394"/>
      <c r="G7" s="330" t="s">
        <v>7</v>
      </c>
      <c r="J7" s="392"/>
    </row>
    <row r="8" spans="1:10" s="417" customFormat="1" ht="21" customHeight="1">
      <c r="A8" s="488"/>
      <c r="B8" s="489" t="s">
        <v>144</v>
      </c>
      <c r="C8" s="489"/>
      <c r="D8" s="490">
        <v>2800</v>
      </c>
      <c r="E8" s="490"/>
      <c r="F8" s="414"/>
    </row>
    <row r="9" spans="1:10" s="417" customFormat="1" ht="21" customHeight="1">
      <c r="A9" s="488"/>
      <c r="B9" s="489" t="s">
        <v>101</v>
      </c>
      <c r="C9" s="489"/>
      <c r="D9" s="490">
        <v>5</v>
      </c>
      <c r="E9" s="490"/>
      <c r="F9" s="414"/>
    </row>
    <row r="10" spans="1:10" s="387" customFormat="1" ht="15.2" customHeight="1">
      <c r="A10" s="400"/>
      <c r="E10" s="401"/>
      <c r="F10" s="402"/>
    </row>
    <row r="11" spans="1:10" ht="15.2" customHeight="1">
      <c r="A11" s="410"/>
      <c r="B11" s="491"/>
      <c r="C11" s="492"/>
      <c r="E11" s="413"/>
      <c r="F11" s="329"/>
      <c r="I11" s="330"/>
    </row>
    <row r="12" spans="1:10" ht="15.2" customHeight="1">
      <c r="A12" s="410"/>
      <c r="B12" s="491"/>
      <c r="C12" s="412"/>
      <c r="D12" s="413"/>
      <c r="E12" s="413"/>
      <c r="F12" s="329"/>
      <c r="I12" s="330"/>
    </row>
    <row r="13" spans="1:10" ht="15.2" customHeight="1">
      <c r="A13" s="410"/>
      <c r="B13" s="491"/>
      <c r="C13" s="412"/>
      <c r="D13" s="413"/>
      <c r="E13" s="413"/>
      <c r="F13" s="329"/>
      <c r="I13" s="330"/>
    </row>
    <row r="14" spans="1:10" s="417" customFormat="1" ht="15.2" customHeight="1">
      <c r="A14" s="414"/>
      <c r="B14" s="414"/>
      <c r="C14" s="414" t="s">
        <v>9</v>
      </c>
      <c r="D14" s="415">
        <f>SUM(D8:D10)</f>
        <v>2805</v>
      </c>
      <c r="E14" s="415"/>
      <c r="F14" s="416"/>
    </row>
    <row r="15" spans="1:10" s="417" customFormat="1" ht="20.25" thickBot="1">
      <c r="A15" s="414"/>
      <c r="B15" s="414" t="s">
        <v>8</v>
      </c>
      <c r="C15" s="414" t="s">
        <v>10</v>
      </c>
      <c r="D15" s="418">
        <f>D14</f>
        <v>2805</v>
      </c>
      <c r="E15" s="418">
        <f>D15</f>
        <v>2805</v>
      </c>
      <c r="F15" s="419"/>
    </row>
    <row r="16" spans="1:10" ht="6.75" customHeight="1" thickTop="1">
      <c r="A16" s="329"/>
      <c r="B16" s="329"/>
      <c r="C16" s="420"/>
      <c r="D16" s="421"/>
      <c r="E16" s="421"/>
      <c r="F16" s="389"/>
      <c r="I16" s="330"/>
    </row>
    <row r="17" spans="1:10" ht="15.2" customHeight="1">
      <c r="A17" s="422" t="s">
        <v>11</v>
      </c>
      <c r="B17" s="423"/>
      <c r="C17" s="424" t="s">
        <v>12</v>
      </c>
      <c r="D17" s="425"/>
      <c r="E17" s="425"/>
      <c r="F17" s="423"/>
      <c r="I17" s="330"/>
    </row>
    <row r="18" spans="1:10" ht="28.5" customHeight="1">
      <c r="A18" s="766" t="s">
        <v>149</v>
      </c>
      <c r="B18" s="767"/>
      <c r="C18" s="426" t="s">
        <v>13</v>
      </c>
      <c r="D18" s="389"/>
      <c r="E18" s="770">
        <f>E15</f>
        <v>2805</v>
      </c>
      <c r="F18" s="771"/>
      <c r="G18" s="427"/>
    </row>
    <row r="19" spans="1:10" ht="15.2" customHeight="1">
      <c r="A19" s="766"/>
      <c r="B19" s="767"/>
      <c r="C19" s="426" t="s">
        <v>14</v>
      </c>
      <c r="D19" s="428" t="s">
        <v>103</v>
      </c>
      <c r="E19" s="429"/>
      <c r="F19" s="430"/>
      <c r="G19" s="431"/>
      <c r="J19" s="392"/>
    </row>
    <row r="20" spans="1:10" ht="42.75" customHeight="1">
      <c r="A20" s="768"/>
      <c r="B20" s="769"/>
      <c r="C20" s="432" t="s">
        <v>16</v>
      </c>
      <c r="D20" s="494" t="str">
        <f>B6</f>
        <v>PAG-IBIG FUND // ROY MIRANDA</v>
      </c>
      <c r="E20" s="433"/>
      <c r="F20" s="430"/>
      <c r="J20" s="392"/>
    </row>
    <row r="21" spans="1:10" s="431" customFormat="1" ht="15.2" customHeight="1">
      <c r="A21" s="420" t="s">
        <v>17</v>
      </c>
      <c r="B21" s="420"/>
      <c r="C21" s="420" t="s">
        <v>18</v>
      </c>
      <c r="D21" s="434" t="s">
        <v>142</v>
      </c>
      <c r="E21" s="434"/>
      <c r="F21" s="420"/>
      <c r="H21" s="435"/>
      <c r="I21" s="436"/>
    </row>
    <row r="22" spans="1:10" ht="15" customHeight="1">
      <c r="A22" s="329"/>
      <c r="B22" s="329"/>
      <c r="C22" s="329"/>
      <c r="D22" s="437"/>
      <c r="E22" s="437"/>
      <c r="F22" s="329"/>
      <c r="H22" s="438"/>
    </row>
    <row r="23" spans="1:10" s="440" customFormat="1" ht="28.5" customHeight="1">
      <c r="A23" s="493" t="s">
        <v>143</v>
      </c>
      <c r="E23" s="441"/>
      <c r="H23" s="441"/>
      <c r="I23" s="442"/>
    </row>
    <row r="24" spans="1:10" ht="18.75" customHeight="1">
      <c r="A24" s="329"/>
      <c r="B24" s="329"/>
      <c r="C24" s="329"/>
      <c r="D24" s="437"/>
      <c r="E24" s="437"/>
      <c r="F24" s="329"/>
      <c r="H24" s="427"/>
    </row>
    <row r="25" spans="1:10">
      <c r="H25" s="427"/>
      <c r="J25" s="443"/>
    </row>
    <row r="28" spans="1:10">
      <c r="C28" s="330" t="s">
        <v>8</v>
      </c>
      <c r="D28" s="330"/>
      <c r="E28" s="330"/>
      <c r="I28" s="330"/>
    </row>
  </sheetData>
  <mergeCells count="8">
    <mergeCell ref="A18:B20"/>
    <mergeCell ref="E18:F18"/>
    <mergeCell ref="A1:F1"/>
    <mergeCell ref="A2:F2"/>
    <mergeCell ref="D3:F3"/>
    <mergeCell ref="A4:E4"/>
    <mergeCell ref="E5:F5"/>
    <mergeCell ref="A7:B7"/>
  </mergeCells>
  <printOptions horizontalCentered="1"/>
  <pageMargins left="0.3" right="0.3" top="0.2" bottom="0.5" header="0.3" footer="0.3"/>
  <pageSetup paperSize="5" scale="90" orientation="portrait" horizontalDpi="120" verticalDpi="7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8"/>
  <sheetViews>
    <sheetView view="pageBreakPreview" zoomScaleNormal="100" zoomScaleSheetLayoutView="100" workbookViewId="0">
      <selection activeCell="B5" sqref="B5"/>
    </sheetView>
  </sheetViews>
  <sheetFormatPr defaultColWidth="9.140625" defaultRowHeight="19.5"/>
  <cols>
    <col min="1" max="1" width="8.42578125" style="323" customWidth="1"/>
    <col min="2" max="2" width="23.5703125" style="323" customWidth="1"/>
    <col min="3" max="3" width="20" style="323" customWidth="1"/>
    <col min="4" max="4" width="22.42578125" style="3" customWidth="1"/>
    <col min="5" max="5" width="30.85546875" style="3" customWidth="1"/>
    <col min="6" max="6" width="14.85546875" style="323" customWidth="1"/>
    <col min="7" max="7" width="9.140625" style="323"/>
    <col min="8" max="8" width="19.42578125" style="323" customWidth="1"/>
    <col min="9" max="9" width="15.28515625" style="323" customWidth="1"/>
    <col min="10" max="10" width="22.85546875" style="451" customWidth="1"/>
    <col min="11" max="11" width="10" style="323" customWidth="1"/>
    <col min="12" max="16384" width="9.140625" style="323"/>
  </cols>
  <sheetData>
    <row r="1" spans="1:11" s="449" customFormat="1" ht="18.75" customHeight="1">
      <c r="A1" s="751" t="s">
        <v>0</v>
      </c>
      <c r="B1" s="751"/>
      <c r="C1" s="751"/>
      <c r="D1" s="751"/>
      <c r="E1" s="751"/>
      <c r="F1" s="751"/>
      <c r="J1" s="450"/>
    </row>
    <row r="2" spans="1:11" ht="15.75" customHeight="1">
      <c r="A2" s="752" t="s">
        <v>1</v>
      </c>
      <c r="B2" s="752"/>
      <c r="C2" s="752"/>
      <c r="D2" s="752"/>
      <c r="E2" s="752"/>
      <c r="F2" s="752"/>
    </row>
    <row r="3" spans="1:11" ht="27.75" customHeight="1">
      <c r="F3" s="83" t="s">
        <v>140</v>
      </c>
      <c r="H3" s="323">
        <f>230374.88+201164</f>
        <v>431538.88</v>
      </c>
    </row>
    <row r="4" spans="1:11" ht="22.5" customHeight="1">
      <c r="B4" s="452" t="s">
        <v>2</v>
      </c>
      <c r="D4" s="453" t="s">
        <v>3</v>
      </c>
      <c r="E4" s="753">
        <v>46242</v>
      </c>
      <c r="F4" s="753"/>
    </row>
    <row r="5" spans="1:11" ht="19.5" customHeight="1">
      <c r="A5" s="454" t="s">
        <v>4</v>
      </c>
      <c r="B5" s="455" t="s">
        <v>122</v>
      </c>
      <c r="C5" s="454"/>
      <c r="D5" s="454"/>
      <c r="E5" s="452"/>
      <c r="K5" s="88"/>
    </row>
    <row r="6" spans="1:11" ht="17.25" customHeight="1">
      <c r="A6" s="754"/>
      <c r="B6" s="754"/>
      <c r="C6" s="454"/>
      <c r="D6" s="456" t="s">
        <v>5</v>
      </c>
      <c r="E6" s="457" t="s">
        <v>6</v>
      </c>
      <c r="F6" s="458"/>
      <c r="G6" s="323" t="s">
        <v>7</v>
      </c>
      <c r="K6" s="88"/>
    </row>
    <row r="7" spans="1:11" ht="12.75" customHeight="1">
      <c r="A7" s="459"/>
      <c r="B7" s="460"/>
      <c r="C7" s="461"/>
      <c r="D7" s="6"/>
      <c r="E7" s="6"/>
      <c r="F7" s="449"/>
    </row>
    <row r="8" spans="1:11" s="9" customFormat="1" ht="19.5" customHeight="1">
      <c r="A8" s="462"/>
      <c r="B8" s="463" t="s">
        <v>41</v>
      </c>
      <c r="C8" s="463"/>
      <c r="D8" s="464">
        <f>431538.88/1.12</f>
        <v>385302.57142857142</v>
      </c>
      <c r="E8" s="464"/>
      <c r="H8" s="9" t="s">
        <v>123</v>
      </c>
      <c r="J8" s="465"/>
    </row>
    <row r="9" spans="1:11" s="9" customFormat="1" ht="19.5" customHeight="1">
      <c r="A9" s="462"/>
      <c r="B9" s="9" t="s">
        <v>124</v>
      </c>
      <c r="D9" s="464">
        <f>D8*0.12</f>
        <v>46236.30857142857</v>
      </c>
      <c r="E9" s="464"/>
      <c r="H9" s="9" t="s">
        <v>125</v>
      </c>
      <c r="I9" s="9" t="s">
        <v>126</v>
      </c>
      <c r="J9" s="465">
        <v>3209.8</v>
      </c>
    </row>
    <row r="10" spans="1:11" ht="15.75" customHeight="1">
      <c r="A10" s="459"/>
      <c r="B10" s="449"/>
      <c r="C10" s="449"/>
      <c r="D10" s="6"/>
      <c r="E10" s="6"/>
      <c r="F10" s="449"/>
      <c r="H10" s="323" t="s">
        <v>127</v>
      </c>
      <c r="I10" s="323" t="s">
        <v>128</v>
      </c>
      <c r="J10" s="451">
        <v>73734.27</v>
      </c>
    </row>
    <row r="11" spans="1:11" ht="24.75" customHeight="1">
      <c r="A11" s="459"/>
      <c r="B11" s="466" t="s">
        <v>129</v>
      </c>
      <c r="C11" s="449"/>
      <c r="D11" s="6"/>
      <c r="E11" s="6"/>
      <c r="F11" s="449"/>
      <c r="H11" s="323" t="s">
        <v>130</v>
      </c>
      <c r="I11" s="323" t="s">
        <v>131</v>
      </c>
      <c r="J11" s="451">
        <v>17850</v>
      </c>
    </row>
    <row r="12" spans="1:11" ht="9" customHeight="1" thickBot="1">
      <c r="A12" s="459"/>
      <c r="B12" s="449"/>
      <c r="C12" s="449"/>
      <c r="D12" s="6"/>
      <c r="E12" s="6"/>
      <c r="F12" s="449"/>
      <c r="J12" s="467">
        <f>SUM(J9:J11)</f>
        <v>94794.07</v>
      </c>
    </row>
    <row r="13" spans="1:11" s="9" customFormat="1" ht="21.75" customHeight="1" thickTop="1">
      <c r="A13" s="462"/>
      <c r="B13" s="468"/>
      <c r="C13" s="463" t="s">
        <v>132</v>
      </c>
      <c r="D13" s="464"/>
      <c r="E13" s="464">
        <f>D8*0.01</f>
        <v>3853.0257142857145</v>
      </c>
      <c r="J13" s="465"/>
    </row>
    <row r="14" spans="1:11" s="9" customFormat="1" ht="20.25" customHeight="1">
      <c r="C14" s="9" t="s">
        <v>9</v>
      </c>
      <c r="D14" s="112"/>
      <c r="E14" s="112">
        <f>D15-E13</f>
        <v>427685.85428571427</v>
      </c>
      <c r="F14" s="113"/>
      <c r="J14" s="465"/>
    </row>
    <row r="15" spans="1:11" s="9" customFormat="1" ht="24" customHeight="1" thickBot="1">
      <c r="B15" s="9" t="s">
        <v>8</v>
      </c>
      <c r="C15" s="9" t="s">
        <v>10</v>
      </c>
      <c r="D15" s="115">
        <f>SUM(D7:D14)</f>
        <v>431538.88</v>
      </c>
      <c r="E15" s="115">
        <f>SUM(E7:E14)</f>
        <v>431538.88</v>
      </c>
      <c r="F15" s="116"/>
      <c r="I15" s="469"/>
      <c r="J15" s="465"/>
    </row>
    <row r="16" spans="1:11" ht="6.75" customHeight="1" thickTop="1">
      <c r="D16" s="100"/>
      <c r="E16" s="100"/>
      <c r="F16" s="452"/>
    </row>
    <row r="17" spans="1:11" ht="13.5" customHeight="1">
      <c r="A17" s="470" t="s">
        <v>11</v>
      </c>
      <c r="B17" s="471"/>
      <c r="C17" s="472" t="s">
        <v>12</v>
      </c>
      <c r="D17" s="473"/>
      <c r="E17" s="473"/>
      <c r="F17" s="471"/>
      <c r="H17" s="323" t="s">
        <v>133</v>
      </c>
    </row>
    <row r="18" spans="1:11" ht="22.5" customHeight="1">
      <c r="A18" s="760" t="s">
        <v>141</v>
      </c>
      <c r="B18" s="761"/>
      <c r="C18" s="452" t="s">
        <v>13</v>
      </c>
      <c r="D18" s="452"/>
      <c r="E18" s="112">
        <f>E14</f>
        <v>427685.85428571427</v>
      </c>
      <c r="F18" s="474"/>
      <c r="H18" s="323" t="s">
        <v>134</v>
      </c>
      <c r="J18" s="451">
        <v>97636.01</v>
      </c>
    </row>
    <row r="19" spans="1:11" ht="22.5" customHeight="1">
      <c r="A19" s="762"/>
      <c r="B19" s="761"/>
      <c r="C19" s="452" t="s">
        <v>14</v>
      </c>
      <c r="D19" s="475" t="s">
        <v>135</v>
      </c>
      <c r="E19" s="476"/>
      <c r="F19" s="477"/>
      <c r="G19" s="478"/>
      <c r="H19" s="323" t="s">
        <v>136</v>
      </c>
      <c r="J19" s="451">
        <v>278428.69</v>
      </c>
      <c r="K19" s="88"/>
    </row>
    <row r="20" spans="1:11" ht="46.5" customHeight="1" thickBot="1">
      <c r="A20" s="763"/>
      <c r="B20" s="764"/>
      <c r="C20" s="454" t="s">
        <v>16</v>
      </c>
      <c r="D20" s="479" t="str">
        <f>B5</f>
        <v>JHAYCOR INDUSTRIES, INC.</v>
      </c>
      <c r="E20" s="480" t="s">
        <v>137</v>
      </c>
      <c r="F20" s="477"/>
      <c r="J20" s="467">
        <f>SUM(J18:J19)</f>
        <v>376064.7</v>
      </c>
      <c r="K20" s="88"/>
    </row>
    <row r="21" spans="1:11" ht="7.5" customHeight="1" thickTop="1">
      <c r="A21" s="481"/>
      <c r="B21" s="481"/>
      <c r="C21" s="452"/>
      <c r="D21" s="482"/>
      <c r="E21" s="100"/>
      <c r="F21" s="452"/>
      <c r="K21" s="88"/>
    </row>
    <row r="22" spans="1:11" s="478" customFormat="1" ht="15" customHeight="1">
      <c r="A22" s="478" t="s">
        <v>17</v>
      </c>
      <c r="C22" s="478" t="s">
        <v>18</v>
      </c>
      <c r="E22" s="48" t="s">
        <v>138</v>
      </c>
      <c r="H22" s="483">
        <v>3209.8</v>
      </c>
      <c r="I22" s="48"/>
      <c r="J22" s="484">
        <f>J12+J20</f>
        <v>470858.77</v>
      </c>
    </row>
    <row r="23" spans="1:11" ht="12.75" customHeight="1">
      <c r="H23" s="483">
        <v>73734.27</v>
      </c>
      <c r="I23" s="3"/>
    </row>
    <row r="24" spans="1:11" s="10" customFormat="1" ht="15.2" customHeight="1">
      <c r="A24" s="10" t="s">
        <v>139</v>
      </c>
      <c r="E24" s="11"/>
      <c r="H24" s="11"/>
      <c r="I24" s="12"/>
    </row>
    <row r="25" spans="1:11">
      <c r="H25" s="483">
        <v>278428.69</v>
      </c>
      <c r="I25" s="485"/>
      <c r="K25" s="486"/>
    </row>
    <row r="26" spans="1:11" ht="20.25" thickBot="1">
      <c r="H26" s="487">
        <f>SUM(H22:H25)</f>
        <v>355372.76</v>
      </c>
    </row>
    <row r="27" spans="1:11" ht="20.25" thickTop="1"/>
    <row r="28" spans="1:11">
      <c r="C28" s="323" t="s">
        <v>8</v>
      </c>
      <c r="D28" s="323"/>
      <c r="E28" s="323"/>
      <c r="H28" s="323">
        <f>17000-16747</f>
        <v>253</v>
      </c>
    </row>
  </sheetData>
  <mergeCells count="5">
    <mergeCell ref="A1:F1"/>
    <mergeCell ref="A2:F2"/>
    <mergeCell ref="E4:F4"/>
    <mergeCell ref="A6:B6"/>
    <mergeCell ref="A18:B20"/>
  </mergeCells>
  <printOptions horizontalCentered="1"/>
  <pageMargins left="0.2" right="0.2" top="0.2" bottom="0.5" header="0.3" footer="0.3"/>
  <pageSetup scale="81" orientation="portrait" horizontalDpi="120" verticalDpi="7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4"/>
  <sheetViews>
    <sheetView view="pageBreakPreview" topLeftCell="A4" zoomScale="82" zoomScaleNormal="100" zoomScaleSheetLayoutView="82" workbookViewId="0">
      <selection activeCell="E20" sqref="E20:F20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117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46241</v>
      </c>
      <c r="F4" s="683"/>
    </row>
    <row r="5" spans="1:10" ht="21" customHeight="1">
      <c r="A5" s="86" t="s">
        <v>4</v>
      </c>
      <c r="B5" s="87" t="s">
        <v>77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4.5" customHeight="1">
      <c r="A8" s="445"/>
      <c r="B8" s="445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s="8" customFormat="1" ht="19.5" customHeight="1">
      <c r="A10" s="94"/>
      <c r="B10" s="103" t="s">
        <v>118</v>
      </c>
      <c r="C10" s="103"/>
      <c r="D10" s="446">
        <v>72658.080000000002</v>
      </c>
      <c r="E10" s="6"/>
      <c r="F10" s="103"/>
    </row>
    <row r="11" spans="1:10" s="103" customFormat="1" ht="19.5" customHeight="1">
      <c r="A11" s="102"/>
      <c r="B11" s="103" t="s">
        <v>119</v>
      </c>
      <c r="D11" s="446">
        <v>13210.56</v>
      </c>
      <c r="E11" s="104"/>
      <c r="F11" s="105"/>
    </row>
    <row r="12" spans="1:10" s="103" customFormat="1" ht="19.5" customHeight="1">
      <c r="A12" s="102"/>
      <c r="B12" s="103" t="s">
        <v>120</v>
      </c>
      <c r="D12" s="447">
        <v>3302.64</v>
      </c>
      <c r="E12" s="104"/>
      <c r="F12" s="105"/>
    </row>
    <row r="13" spans="1:10" s="103" customFormat="1" ht="19.5" customHeight="1">
      <c r="A13" s="102"/>
      <c r="B13" s="103" t="s">
        <v>109</v>
      </c>
      <c r="D13" s="446">
        <v>16341.82</v>
      </c>
      <c r="E13" s="104"/>
      <c r="F13" s="105"/>
    </row>
    <row r="14" spans="1:10" s="103" customFormat="1" ht="19.5" customHeight="1">
      <c r="A14" s="102"/>
      <c r="B14" s="103" t="s">
        <v>108</v>
      </c>
      <c r="D14" s="446">
        <v>4324.76</v>
      </c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109837.86</v>
      </c>
      <c r="E16" s="112">
        <f>D17-E15</f>
        <v>109837.86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109837.86</v>
      </c>
      <c r="E17" s="115">
        <f>SUM(E12:E16)</f>
        <v>109837.86</v>
      </c>
      <c r="F17" s="116"/>
    </row>
    <row r="18" spans="1:10" s="98" customFormat="1" ht="10.5" customHeight="1" thickTop="1">
      <c r="A18" s="8"/>
      <c r="B18" s="8"/>
      <c r="C18" s="8" t="s">
        <v>8</v>
      </c>
      <c r="D18" s="104"/>
      <c r="E18" s="104"/>
      <c r="F18" s="84"/>
    </row>
    <row r="19" spans="1:10" ht="21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29.25" customHeight="1">
      <c r="A20" s="777" t="s">
        <v>121</v>
      </c>
      <c r="B20" s="778"/>
      <c r="C20" s="84" t="s">
        <v>13</v>
      </c>
      <c r="D20" s="84"/>
      <c r="E20" s="689">
        <f>E17-E15</f>
        <v>109837.86</v>
      </c>
      <c r="F20" s="690"/>
      <c r="G20" s="3"/>
      <c r="I20" s="4"/>
    </row>
    <row r="21" spans="1:10" ht="32.25" customHeight="1">
      <c r="A21" s="777"/>
      <c r="B21" s="778"/>
      <c r="C21" s="84" t="s">
        <v>35</v>
      </c>
      <c r="D21" s="121" t="s">
        <v>36</v>
      </c>
      <c r="E21" s="122"/>
      <c r="F21" s="84"/>
      <c r="G21" s="3"/>
      <c r="I21" s="4"/>
    </row>
    <row r="22" spans="1:10" ht="24.75" customHeight="1">
      <c r="A22" s="777"/>
      <c r="B22" s="778"/>
      <c r="C22" s="84" t="s">
        <v>37</v>
      </c>
      <c r="D22" s="123"/>
      <c r="E22" s="691"/>
      <c r="F22" s="692"/>
      <c r="G22" s="3"/>
      <c r="I22" s="4"/>
    </row>
    <row r="23" spans="1:10" ht="44.25" customHeight="1">
      <c r="A23" s="779"/>
      <c r="B23" s="780"/>
      <c r="C23" s="86" t="s">
        <v>16</v>
      </c>
      <c r="D23" s="725" t="str">
        <f>B5</f>
        <v>JUVEN ADORADOR</v>
      </c>
      <c r="E23" s="725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0.2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113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46240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444"/>
      <c r="B8" s="444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24" customHeight="1">
      <c r="A10" s="97"/>
      <c r="B10" s="98" t="s">
        <v>115</v>
      </c>
      <c r="C10" s="136"/>
      <c r="D10" s="96">
        <v>15000</v>
      </c>
      <c r="F10" s="98"/>
      <c r="I10" s="4"/>
    </row>
    <row r="11" spans="1:10" s="98" customFormat="1" ht="21" customHeight="1">
      <c r="A11" s="99"/>
      <c r="B11" s="103" t="s">
        <v>114</v>
      </c>
      <c r="C11" s="136"/>
      <c r="D11" s="96"/>
      <c r="E11" s="100"/>
      <c r="F11" s="101"/>
    </row>
    <row r="12" spans="1:10" s="98" customForma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15000</v>
      </c>
      <c r="E16" s="112">
        <f>D17-E15</f>
        <v>15000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15000</v>
      </c>
      <c r="E17" s="115">
        <f>SUM(E12:E16)</f>
        <v>15000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116</v>
      </c>
      <c r="B20" s="717"/>
      <c r="C20" s="84" t="s">
        <v>13</v>
      </c>
      <c r="D20" s="84"/>
      <c r="E20" s="689">
        <f>E17-E15</f>
        <v>15000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4"/>
  <sheetViews>
    <sheetView view="pageBreakPreview" zoomScale="82" zoomScaleNormal="100" zoomScaleSheetLayoutView="82" workbookViewId="0">
      <selection activeCell="E20" sqref="E20:F20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110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46240</v>
      </c>
      <c r="F4" s="683"/>
    </row>
    <row r="5" spans="1:10" ht="21" customHeight="1">
      <c r="A5" s="86" t="s">
        <v>4</v>
      </c>
      <c r="B5" s="87" t="s">
        <v>77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271"/>
      <c r="B8" s="271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16.5" customHeight="1">
      <c r="A10" s="97"/>
      <c r="B10" s="98" t="s">
        <v>111</v>
      </c>
      <c r="C10" s="136"/>
      <c r="D10" s="135">
        <v>15840</v>
      </c>
      <c r="F10" s="98"/>
      <c r="I10" s="4"/>
    </row>
    <row r="11" spans="1:10" s="98" customFormat="1" ht="14.25" customHeight="1">
      <c r="A11" s="99"/>
      <c r="B11" s="98" t="s">
        <v>109</v>
      </c>
      <c r="C11" s="136"/>
      <c r="D11" s="135">
        <v>20897.91</v>
      </c>
      <c r="E11" s="100"/>
      <c r="F11" s="101"/>
    </row>
    <row r="12" spans="1:10" s="98" customFormat="1">
      <c r="A12" s="99"/>
      <c r="B12" s="98" t="s">
        <v>108</v>
      </c>
      <c r="C12" s="136"/>
      <c r="D12" s="139">
        <v>2240.35</v>
      </c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38978.26</v>
      </c>
      <c r="E16" s="112">
        <f>D17-E15</f>
        <v>38978.26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38978.26</v>
      </c>
      <c r="E17" s="115">
        <f>SUM(E12:E16)</f>
        <v>38978.26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77" t="s">
        <v>112</v>
      </c>
      <c r="B20" s="778"/>
      <c r="C20" s="84" t="s">
        <v>13</v>
      </c>
      <c r="D20" s="84"/>
      <c r="E20" s="689">
        <f>E17-E15</f>
        <v>38978.26</v>
      </c>
      <c r="F20" s="690"/>
      <c r="G20" s="3"/>
      <c r="I20" s="4"/>
    </row>
    <row r="21" spans="1:10" ht="19.5" customHeight="1">
      <c r="A21" s="777"/>
      <c r="B21" s="778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77"/>
      <c r="B22" s="778"/>
      <c r="C22" s="84" t="s">
        <v>37</v>
      </c>
      <c r="D22" s="123"/>
      <c r="E22" s="691"/>
      <c r="F22" s="692"/>
      <c r="G22" s="3"/>
      <c r="I22" s="4"/>
    </row>
    <row r="23" spans="1:10" ht="53.25" customHeight="1">
      <c r="A23" s="779"/>
      <c r="B23" s="780"/>
      <c r="C23" s="86" t="s">
        <v>16</v>
      </c>
      <c r="D23" s="720" t="str">
        <f>B5</f>
        <v>JUVEN ADORADOR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view="pageBreakPreview" zoomScale="86" zoomScaleNormal="100" zoomScaleSheetLayoutView="86" workbookViewId="0">
      <selection activeCell="A18" sqref="A18:B20"/>
    </sheetView>
  </sheetViews>
  <sheetFormatPr defaultColWidth="9.140625" defaultRowHeight="17.25"/>
  <cols>
    <col min="1" max="1" width="9.7109375" style="330" customWidth="1"/>
    <col min="2" max="2" width="27.5703125" style="330" customWidth="1"/>
    <col min="3" max="3" width="17.28515625" style="330" customWidth="1"/>
    <col min="4" max="4" width="18.28515625" style="438" customWidth="1"/>
    <col min="5" max="5" width="20.85546875" style="438" customWidth="1"/>
    <col min="6" max="6" width="18.85546875" style="330" customWidth="1"/>
    <col min="7" max="7" width="13.140625" style="330" customWidth="1"/>
    <col min="8" max="8" width="10" style="330" customWidth="1"/>
    <col min="9" max="9" width="9.140625" style="331"/>
    <col min="10" max="10" width="10" style="330" customWidth="1"/>
    <col min="11" max="16384" width="9.140625" style="330"/>
  </cols>
  <sheetData>
    <row r="1" spans="1:10" s="387" customFormat="1" ht="18.75" customHeight="1">
      <c r="A1" s="772" t="s">
        <v>0</v>
      </c>
      <c r="B1" s="772"/>
      <c r="C1" s="772"/>
      <c r="D1" s="772"/>
      <c r="E1" s="772"/>
      <c r="F1" s="772"/>
      <c r="I1" s="388"/>
    </row>
    <row r="2" spans="1:10" ht="15.75" customHeight="1">
      <c r="A2" s="773" t="s">
        <v>1</v>
      </c>
      <c r="B2" s="773"/>
      <c r="C2" s="773"/>
      <c r="D2" s="773"/>
      <c r="E2" s="773"/>
      <c r="F2" s="773"/>
    </row>
    <row r="3" spans="1:10" ht="27.75" customHeight="1">
      <c r="A3" s="329"/>
      <c r="B3" s="329"/>
      <c r="C3" s="329"/>
      <c r="D3" s="774" t="s">
        <v>106</v>
      </c>
      <c r="E3" s="774"/>
      <c r="F3" s="774"/>
    </row>
    <row r="4" spans="1:10" ht="6.75" customHeight="1">
      <c r="A4" s="775"/>
      <c r="B4" s="775"/>
      <c r="C4" s="775"/>
      <c r="D4" s="775"/>
      <c r="E4" s="775"/>
      <c r="F4" s="329"/>
    </row>
    <row r="5" spans="1:10" ht="23.25" customHeight="1">
      <c r="A5" s="329"/>
      <c r="B5" s="389" t="s">
        <v>2</v>
      </c>
      <c r="C5" s="329"/>
      <c r="D5" s="390" t="s">
        <v>3</v>
      </c>
      <c r="E5" s="679">
        <v>46238</v>
      </c>
      <c r="F5" s="679"/>
    </row>
    <row r="6" spans="1:10" ht="19.5" customHeight="1">
      <c r="A6" s="334" t="s">
        <v>4</v>
      </c>
      <c r="B6" s="391" t="s">
        <v>100</v>
      </c>
      <c r="C6" s="334"/>
      <c r="D6" s="334"/>
      <c r="E6" s="389"/>
      <c r="F6" s="329"/>
      <c r="J6" s="392"/>
    </row>
    <row r="7" spans="1:10" ht="15.2" customHeight="1">
      <c r="A7" s="776"/>
      <c r="B7" s="776"/>
      <c r="C7" s="334"/>
      <c r="D7" s="335" t="s">
        <v>5</v>
      </c>
      <c r="E7" s="393" t="s">
        <v>6</v>
      </c>
      <c r="F7" s="394"/>
      <c r="G7" s="330" t="s">
        <v>7</v>
      </c>
      <c r="J7" s="392"/>
    </row>
    <row r="8" spans="1:10" s="399" customFormat="1" ht="23.25" customHeight="1">
      <c r="A8" s="395"/>
      <c r="B8" s="396" t="s">
        <v>83</v>
      </c>
      <c r="C8" s="396"/>
      <c r="D8" s="397">
        <v>5600</v>
      </c>
      <c r="E8" s="397"/>
      <c r="F8" s="398"/>
    </row>
    <row r="9" spans="1:10" s="399" customFormat="1" ht="23.25" customHeight="1">
      <c r="A9" s="395"/>
      <c r="B9" s="396" t="s">
        <v>101</v>
      </c>
      <c r="C9" s="396"/>
      <c r="D9" s="397">
        <v>25</v>
      </c>
      <c r="E9" s="397"/>
      <c r="F9" s="398"/>
    </row>
    <row r="10" spans="1:10" s="387" customFormat="1" ht="13.5" customHeight="1">
      <c r="A10" s="400"/>
      <c r="E10" s="401"/>
      <c r="F10" s="402"/>
    </row>
    <row r="11" spans="1:10" s="409" customFormat="1" ht="15.2" customHeight="1">
      <c r="A11" s="403"/>
      <c r="B11" s="404" t="s">
        <v>93</v>
      </c>
      <c r="C11" s="405">
        <v>2800</v>
      </c>
      <c r="D11" s="406"/>
      <c r="E11" s="407"/>
      <c r="F11" s="408"/>
    </row>
    <row r="12" spans="1:10" s="409" customFormat="1" ht="15.2" customHeight="1">
      <c r="A12" s="403"/>
      <c r="B12" s="404" t="s">
        <v>102</v>
      </c>
      <c r="C12" s="405">
        <v>2800</v>
      </c>
      <c r="D12" s="407"/>
      <c r="E12" s="407"/>
      <c r="F12" s="408"/>
    </row>
    <row r="13" spans="1:10" ht="14.25" customHeight="1">
      <c r="A13" s="410"/>
      <c r="B13" s="411"/>
      <c r="C13" s="412"/>
      <c r="D13" s="413"/>
      <c r="E13" s="413"/>
      <c r="F13" s="329"/>
      <c r="I13" s="330"/>
    </row>
    <row r="14" spans="1:10" s="417" customFormat="1" ht="15.2" customHeight="1">
      <c r="A14" s="414"/>
      <c r="B14" s="414"/>
      <c r="C14" s="414" t="s">
        <v>9</v>
      </c>
      <c r="D14" s="415"/>
      <c r="E14" s="415">
        <f>D8</f>
        <v>5600</v>
      </c>
      <c r="F14" s="416"/>
    </row>
    <row r="15" spans="1:10" s="417" customFormat="1" ht="17.25" customHeight="1" thickBot="1">
      <c r="A15" s="414"/>
      <c r="B15" s="414" t="s">
        <v>8</v>
      </c>
      <c r="C15" s="414" t="s">
        <v>10</v>
      </c>
      <c r="D15" s="418">
        <f>SUM(D8:D14)</f>
        <v>5625</v>
      </c>
      <c r="E15" s="418">
        <f>D15</f>
        <v>5625</v>
      </c>
      <c r="F15" s="419"/>
    </row>
    <row r="16" spans="1:10" ht="6.75" customHeight="1" thickTop="1">
      <c r="A16" s="329"/>
      <c r="B16" s="329"/>
      <c r="C16" s="420"/>
      <c r="D16" s="421"/>
      <c r="E16" s="421"/>
      <c r="F16" s="389"/>
      <c r="I16" s="330"/>
    </row>
    <row r="17" spans="1:10" ht="15.2" customHeight="1">
      <c r="A17" s="422" t="s">
        <v>11</v>
      </c>
      <c r="B17" s="423"/>
      <c r="C17" s="424" t="s">
        <v>12</v>
      </c>
      <c r="D17" s="425"/>
      <c r="E17" s="425"/>
      <c r="F17" s="423"/>
      <c r="I17" s="330"/>
    </row>
    <row r="18" spans="1:10" ht="28.5" customHeight="1">
      <c r="A18" s="781" t="s">
        <v>107</v>
      </c>
      <c r="B18" s="782"/>
      <c r="C18" s="426" t="s">
        <v>13</v>
      </c>
      <c r="D18" s="389"/>
      <c r="E18" s="785">
        <f>E15</f>
        <v>5625</v>
      </c>
      <c r="F18" s="786"/>
      <c r="G18" s="427"/>
    </row>
    <row r="19" spans="1:10" ht="15.2" customHeight="1">
      <c r="A19" s="781"/>
      <c r="B19" s="782"/>
      <c r="C19" s="426" t="s">
        <v>14</v>
      </c>
      <c r="D19" s="428" t="s">
        <v>103</v>
      </c>
      <c r="E19" s="429"/>
      <c r="F19" s="430"/>
      <c r="G19" s="431"/>
      <c r="J19" s="392"/>
    </row>
    <row r="20" spans="1:10" ht="43.5" customHeight="1">
      <c r="A20" s="783"/>
      <c r="B20" s="784"/>
      <c r="C20" s="432" t="s">
        <v>16</v>
      </c>
      <c r="D20" s="334" t="str">
        <f>B6</f>
        <v>PAG-IBIG FUND // ROY MIRANDA</v>
      </c>
      <c r="E20" s="433"/>
      <c r="F20" s="430"/>
      <c r="J20" s="392"/>
    </row>
    <row r="21" spans="1:10" s="431" customFormat="1" ht="15.2" customHeight="1">
      <c r="A21" s="420" t="s">
        <v>17</v>
      </c>
      <c r="B21" s="420"/>
      <c r="C21" s="420" t="s">
        <v>18</v>
      </c>
      <c r="D21" s="434" t="s">
        <v>104</v>
      </c>
      <c r="E21" s="434"/>
      <c r="F21" s="420"/>
      <c r="H21" s="435"/>
      <c r="I21" s="436"/>
    </row>
    <row r="22" spans="1:10" ht="20.25" customHeight="1">
      <c r="A22" s="329"/>
      <c r="B22" s="329"/>
      <c r="C22" s="329"/>
      <c r="D22" s="437"/>
      <c r="E22" s="437"/>
      <c r="F22" s="329"/>
      <c r="H22" s="438"/>
    </row>
    <row r="23" spans="1:10" s="440" customFormat="1" ht="24.75" customHeight="1">
      <c r="A23" s="439" t="s">
        <v>105</v>
      </c>
      <c r="E23" s="441"/>
      <c r="H23" s="441"/>
      <c r="I23" s="442"/>
    </row>
    <row r="24" spans="1:10">
      <c r="H24" s="427"/>
      <c r="J24" s="443"/>
    </row>
    <row r="27" spans="1:10">
      <c r="C27" s="330" t="s">
        <v>8</v>
      </c>
      <c r="D27" s="330"/>
      <c r="E27" s="330"/>
      <c r="I27" s="330"/>
    </row>
  </sheetData>
  <mergeCells count="8">
    <mergeCell ref="A18:B20"/>
    <mergeCell ref="E18:F18"/>
    <mergeCell ref="A1:F1"/>
    <mergeCell ref="A2:F2"/>
    <mergeCell ref="D3:F3"/>
    <mergeCell ref="A4:E4"/>
    <mergeCell ref="E5:F5"/>
    <mergeCell ref="A7:B7"/>
  </mergeCells>
  <printOptions horizontalCentered="1"/>
  <pageMargins left="0.3" right="0.3" top="0.2" bottom="0.5" header="0.3" footer="0.3"/>
  <pageSetup paperSize="5" scale="90" orientation="portrait" horizontalDpi="120" verticalDpi="72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view="pageBreakPreview" zoomScale="70" zoomScaleNormal="100" zoomScaleSheetLayoutView="70" workbookViewId="0">
      <selection activeCell="B5" sqref="B5"/>
    </sheetView>
  </sheetViews>
  <sheetFormatPr defaultColWidth="9.140625" defaultRowHeight="17.25"/>
  <cols>
    <col min="1" max="1" width="16.28515625" style="337" customWidth="1"/>
    <col min="2" max="2" width="35.140625" style="337" customWidth="1"/>
    <col min="3" max="3" width="22" style="337" customWidth="1"/>
    <col min="4" max="4" width="25.7109375" style="210" customWidth="1"/>
    <col min="5" max="5" width="19.5703125" style="210" customWidth="1"/>
    <col min="6" max="6" width="18" style="337" customWidth="1"/>
    <col min="7" max="7" width="17.42578125" style="337" customWidth="1"/>
    <col min="8" max="8" width="12.5703125" style="337" customWidth="1"/>
    <col min="9" max="9" width="13.28515625" style="338" customWidth="1"/>
    <col min="10" max="10" width="14.7109375" style="337" customWidth="1"/>
    <col min="11" max="16384" width="9.140625" style="337"/>
  </cols>
  <sheetData>
    <row r="1" spans="1:10" s="327" customFormat="1" ht="18.75" customHeight="1">
      <c r="A1" s="793" t="s">
        <v>0</v>
      </c>
      <c r="B1" s="793"/>
      <c r="C1" s="793"/>
      <c r="D1" s="793"/>
      <c r="E1" s="793"/>
      <c r="F1" s="793"/>
      <c r="I1" s="328"/>
    </row>
    <row r="2" spans="1:10" s="327" customFormat="1" ht="17.25" customHeight="1">
      <c r="A2" s="794" t="s">
        <v>1</v>
      </c>
      <c r="B2" s="794"/>
      <c r="C2" s="794"/>
      <c r="D2" s="794"/>
      <c r="E2" s="794"/>
      <c r="F2" s="794"/>
      <c r="I2" s="328"/>
    </row>
    <row r="3" spans="1:10" s="330" customFormat="1" ht="27.75" customHeight="1">
      <c r="A3" s="329"/>
      <c r="B3" s="329"/>
      <c r="C3" s="329"/>
      <c r="D3" s="774" t="s">
        <v>98</v>
      </c>
      <c r="E3" s="774"/>
      <c r="F3" s="774"/>
      <c r="I3" s="331"/>
    </row>
    <row r="4" spans="1:10" s="330" customFormat="1" ht="6.75" customHeight="1">
      <c r="A4" s="775"/>
      <c r="B4" s="775"/>
      <c r="C4" s="775"/>
      <c r="D4" s="775"/>
      <c r="E4" s="775"/>
      <c r="F4" s="329"/>
      <c r="I4" s="331"/>
    </row>
    <row r="5" spans="1:10" s="330" customFormat="1" ht="30" customHeight="1">
      <c r="A5" s="332" t="s">
        <v>4</v>
      </c>
      <c r="B5" s="333" t="s">
        <v>91</v>
      </c>
      <c r="C5" s="334"/>
      <c r="D5" s="335"/>
      <c r="E5" s="795">
        <v>46238</v>
      </c>
      <c r="F5" s="795"/>
      <c r="I5" s="331"/>
    </row>
    <row r="6" spans="1:10" ht="19.5" customHeight="1">
      <c r="A6" s="796"/>
      <c r="B6" s="796"/>
      <c r="C6" s="332"/>
      <c r="D6" s="336" t="s">
        <v>5</v>
      </c>
      <c r="E6" s="336" t="s">
        <v>6</v>
      </c>
      <c r="F6" s="332"/>
      <c r="G6" s="337" t="s">
        <v>7</v>
      </c>
      <c r="J6" s="217"/>
    </row>
    <row r="7" spans="1:10" s="345" customFormat="1" ht="27.75" customHeight="1">
      <c r="A7" s="339"/>
      <c r="B7" s="340" t="s">
        <v>83</v>
      </c>
      <c r="C7" s="341"/>
      <c r="D7" s="342">
        <v>6800</v>
      </c>
      <c r="E7" s="343"/>
      <c r="F7" s="344"/>
    </row>
    <row r="8" spans="1:10" s="345" customFormat="1" ht="27.75" customHeight="1">
      <c r="A8" s="339"/>
      <c r="B8" s="340" t="s">
        <v>92</v>
      </c>
      <c r="C8" s="341"/>
      <c r="D8" s="342">
        <v>0</v>
      </c>
      <c r="E8" s="343"/>
      <c r="F8" s="344"/>
    </row>
    <row r="9" spans="1:10" s="345" customFormat="1" ht="27.75" customHeight="1">
      <c r="A9" s="339"/>
      <c r="B9" s="340" t="s">
        <v>84</v>
      </c>
      <c r="C9" s="341"/>
      <c r="D9" s="342">
        <v>15</v>
      </c>
      <c r="E9" s="343"/>
      <c r="F9" s="344"/>
    </row>
    <row r="10" spans="1:10" ht="13.5" customHeight="1">
      <c r="A10" s="346"/>
      <c r="B10" s="347"/>
      <c r="C10" s="348"/>
      <c r="D10" s="349"/>
      <c r="E10" s="350"/>
      <c r="F10" s="351"/>
      <c r="I10" s="337"/>
    </row>
    <row r="11" spans="1:10" s="358" customFormat="1" ht="20.25" customHeight="1">
      <c r="A11" s="352"/>
      <c r="B11" s="353" t="s">
        <v>93</v>
      </c>
      <c r="C11" s="354">
        <v>3650</v>
      </c>
      <c r="D11" s="355"/>
      <c r="E11" s="356"/>
      <c r="F11" s="357"/>
    </row>
    <row r="12" spans="1:10" s="358" customFormat="1" ht="20.25" customHeight="1">
      <c r="A12" s="352"/>
      <c r="B12" s="353" t="s">
        <v>93</v>
      </c>
      <c r="C12" s="354">
        <v>3650</v>
      </c>
      <c r="D12" s="356"/>
      <c r="E12" s="356"/>
      <c r="F12" s="357"/>
    </row>
    <row r="13" spans="1:10" s="364" customFormat="1" ht="12" customHeight="1">
      <c r="A13" s="359"/>
      <c r="B13" s="360"/>
      <c r="C13" s="361"/>
      <c r="D13" s="362"/>
      <c r="E13" s="362"/>
      <c r="F13" s="363"/>
    </row>
    <row r="14" spans="1:10" s="364" customFormat="1" ht="27" customHeight="1">
      <c r="A14" s="365"/>
      <c r="B14" s="365"/>
      <c r="C14" s="366" t="s">
        <v>10</v>
      </c>
      <c r="D14" s="367">
        <f>SUM(D7+D9+D8)</f>
        <v>6815</v>
      </c>
      <c r="E14" s="367"/>
      <c r="F14" s="368"/>
    </row>
    <row r="15" spans="1:10" s="364" customFormat="1" ht="27" customHeight="1" thickBot="1">
      <c r="A15" s="365"/>
      <c r="B15" s="365" t="s">
        <v>8</v>
      </c>
      <c r="C15" s="366" t="s">
        <v>9</v>
      </c>
      <c r="D15" s="369">
        <f>D14</f>
        <v>6815</v>
      </c>
      <c r="E15" s="369">
        <f>D15</f>
        <v>6815</v>
      </c>
      <c r="F15" s="370"/>
      <c r="G15" s="371"/>
    </row>
    <row r="16" spans="1:10" s="364" customFormat="1" ht="18.75" customHeight="1" thickTop="1">
      <c r="A16" s="372" t="s">
        <v>11</v>
      </c>
      <c r="B16" s="373"/>
      <c r="C16" s="374" t="s">
        <v>12</v>
      </c>
      <c r="D16" s="375"/>
      <c r="E16" s="375"/>
      <c r="F16" s="373"/>
    </row>
    <row r="17" spans="1:10" s="364" customFormat="1" ht="29.25" customHeight="1">
      <c r="A17" s="787" t="s">
        <v>99</v>
      </c>
      <c r="B17" s="788"/>
      <c r="C17" s="376" t="s">
        <v>13</v>
      </c>
      <c r="D17" s="377"/>
      <c r="E17" s="791">
        <f>E15</f>
        <v>6815</v>
      </c>
      <c r="F17" s="792"/>
      <c r="G17" s="364">
        <v>97834.08</v>
      </c>
    </row>
    <row r="18" spans="1:10" ht="21.75" customHeight="1">
      <c r="A18" s="787"/>
      <c r="B18" s="788"/>
      <c r="C18" s="376" t="s">
        <v>14</v>
      </c>
      <c r="D18" s="378" t="s">
        <v>94</v>
      </c>
      <c r="E18" s="350"/>
      <c r="F18" s="379"/>
      <c r="G18" s="210">
        <f>E17-G17</f>
        <v>-91019.08</v>
      </c>
      <c r="I18" s="337"/>
    </row>
    <row r="19" spans="1:10" ht="62.25" customHeight="1">
      <c r="A19" s="789"/>
      <c r="B19" s="790"/>
      <c r="C19" s="332" t="s">
        <v>16</v>
      </c>
      <c r="D19" s="380" t="str">
        <f>B5</f>
        <v>PHILIPPINE HEALTH INSURANCE CORPORATION//ROY MIRANDA</v>
      </c>
      <c r="E19" s="381" t="s">
        <v>95</v>
      </c>
      <c r="F19" s="379"/>
      <c r="G19" s="210"/>
      <c r="I19" s="337"/>
    </row>
    <row r="20" spans="1:10" s="365" customFormat="1" ht="15" customHeight="1">
      <c r="A20" s="204" t="s">
        <v>17</v>
      </c>
      <c r="B20" s="204" t="s">
        <v>96</v>
      </c>
      <c r="D20" s="382"/>
      <c r="E20" s="383" t="s">
        <v>19</v>
      </c>
      <c r="F20" s="204"/>
      <c r="G20" s="382"/>
    </row>
    <row r="21" spans="1:10" ht="15" customHeight="1">
      <c r="A21" s="351"/>
      <c r="B21" s="351"/>
      <c r="C21" s="351"/>
      <c r="D21" s="350"/>
      <c r="E21" s="384"/>
      <c r="F21" s="351"/>
      <c r="G21" s="210"/>
      <c r="I21" s="337"/>
    </row>
    <row r="22" spans="1:10" s="246" customFormat="1" ht="29.25" customHeight="1">
      <c r="A22" s="204" t="s">
        <v>97</v>
      </c>
      <c r="E22" s="264"/>
      <c r="H22" s="264"/>
      <c r="I22" s="249"/>
    </row>
    <row r="23" spans="1:10">
      <c r="H23" s="385"/>
      <c r="J23" s="386"/>
    </row>
    <row r="24" spans="1:10">
      <c r="C24" s="337" t="s">
        <v>8</v>
      </c>
      <c r="D24" s="337"/>
      <c r="E24" s="337"/>
    </row>
    <row r="26" spans="1:10">
      <c r="I26" s="337"/>
    </row>
    <row r="27" spans="1:10">
      <c r="D27" s="337"/>
      <c r="E27" s="337"/>
    </row>
  </sheetData>
  <mergeCells count="8">
    <mergeCell ref="A17:B19"/>
    <mergeCell ref="E17:F17"/>
    <mergeCell ref="A1:F1"/>
    <mergeCell ref="A2:F2"/>
    <mergeCell ref="D3:F3"/>
    <mergeCell ref="A4:E4"/>
    <mergeCell ref="E5:F5"/>
    <mergeCell ref="A6:B6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horizontalDpi="120" verticalDpi="72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="80" zoomScaleNormal="100" zoomScaleSheetLayoutView="80" workbookViewId="0">
      <selection activeCell="A19" sqref="A19:B21"/>
    </sheetView>
  </sheetViews>
  <sheetFormatPr defaultColWidth="9.140625" defaultRowHeight="19.5"/>
  <cols>
    <col min="1" max="1" width="8.5703125" style="274" customWidth="1"/>
    <col min="2" max="2" width="25.42578125" style="274" customWidth="1"/>
    <col min="3" max="3" width="16.28515625" style="274" customWidth="1"/>
    <col min="4" max="4" width="25.5703125" style="276" customWidth="1"/>
    <col min="5" max="5" width="42.42578125" style="276" customWidth="1"/>
    <col min="6" max="6" width="8.140625" style="274" customWidth="1"/>
    <col min="7" max="7" width="9.140625" style="274"/>
    <col min="8" max="8" width="10.7109375" style="274" customWidth="1"/>
    <col min="9" max="9" width="9.140625" style="275"/>
    <col min="10" max="10" width="10" style="274" customWidth="1"/>
    <col min="11" max="16384" width="9.140625" style="274"/>
  </cols>
  <sheetData>
    <row r="1" spans="1:10" s="272" customFormat="1" ht="24.75" customHeight="1">
      <c r="A1" s="765" t="s">
        <v>0</v>
      </c>
      <c r="B1" s="765"/>
      <c r="C1" s="765"/>
      <c r="D1" s="765"/>
      <c r="E1" s="765"/>
      <c r="F1" s="765"/>
      <c r="I1" s="273"/>
    </row>
    <row r="2" spans="1:10" ht="15.75" customHeight="1">
      <c r="A2" s="746" t="s">
        <v>1</v>
      </c>
      <c r="B2" s="746"/>
      <c r="C2" s="746"/>
      <c r="D2" s="746"/>
      <c r="E2" s="746"/>
      <c r="F2" s="746"/>
    </row>
    <row r="3" spans="1:10" ht="21.75" customHeight="1">
      <c r="F3" s="277" t="s">
        <v>89</v>
      </c>
    </row>
    <row r="4" spans="1:10" ht="6.75" customHeight="1">
      <c r="A4" s="695"/>
      <c r="B4" s="695"/>
      <c r="C4" s="695"/>
      <c r="D4" s="695"/>
      <c r="E4" s="695"/>
    </row>
    <row r="5" spans="1:10" ht="18" customHeight="1">
      <c r="B5" s="278" t="s">
        <v>2</v>
      </c>
      <c r="D5" s="279" t="s">
        <v>3</v>
      </c>
      <c r="E5" s="712">
        <v>46238</v>
      </c>
      <c r="F5" s="712"/>
    </row>
    <row r="6" spans="1:10" ht="21.75" customHeight="1">
      <c r="A6" s="2" t="s">
        <v>4</v>
      </c>
      <c r="B6" s="280" t="s">
        <v>82</v>
      </c>
      <c r="C6" s="2"/>
      <c r="D6" s="281"/>
      <c r="E6" s="278"/>
      <c r="J6" s="282"/>
    </row>
    <row r="7" spans="1:10" ht="15.75" customHeight="1">
      <c r="A7" s="748"/>
      <c r="B7" s="748"/>
      <c r="C7" s="2"/>
      <c r="D7" s="283" t="s">
        <v>5</v>
      </c>
      <c r="E7" s="284" t="s">
        <v>6</v>
      </c>
      <c r="F7" s="285"/>
      <c r="G7" s="274" t="s">
        <v>7</v>
      </c>
      <c r="J7" s="282"/>
    </row>
    <row r="8" spans="1:10" ht="13.5" customHeight="1">
      <c r="A8" s="286"/>
      <c r="B8" s="286"/>
      <c r="C8" s="278"/>
      <c r="D8" s="287"/>
      <c r="E8" s="287"/>
      <c r="F8" s="278"/>
      <c r="J8" s="282"/>
    </row>
    <row r="9" spans="1:10" ht="15.75" customHeight="1">
      <c r="A9" s="288"/>
      <c r="B9" s="289"/>
      <c r="C9" s="289"/>
      <c r="I9" s="274"/>
    </row>
    <row r="10" spans="1:10" s="294" customFormat="1" ht="19.5" customHeight="1">
      <c r="A10" s="290"/>
      <c r="B10" s="291" t="s">
        <v>83</v>
      </c>
      <c r="C10" s="292"/>
      <c r="D10" s="293">
        <v>28425</v>
      </c>
      <c r="E10" s="293"/>
    </row>
    <row r="11" spans="1:10" s="294" customFormat="1" ht="24">
      <c r="A11" s="290"/>
      <c r="B11" s="295" t="s">
        <v>90</v>
      </c>
      <c r="C11" s="292"/>
      <c r="D11" s="293">
        <v>210</v>
      </c>
      <c r="E11" s="293"/>
    </row>
    <row r="12" spans="1:10" ht="21">
      <c r="A12" s="288"/>
      <c r="B12" s="295" t="s">
        <v>84</v>
      </c>
      <c r="C12" s="289"/>
      <c r="D12" s="276">
        <v>50</v>
      </c>
      <c r="I12" s="274"/>
    </row>
    <row r="13" spans="1:10" ht="13.5" customHeight="1">
      <c r="A13" s="288"/>
      <c r="B13" s="296"/>
      <c r="C13" s="297"/>
      <c r="I13" s="274"/>
    </row>
    <row r="14" spans="1:10" s="272" customFormat="1" ht="15.75" customHeight="1">
      <c r="A14" s="298"/>
      <c r="B14" s="295"/>
      <c r="C14" s="299"/>
      <c r="D14" s="300"/>
      <c r="E14" s="300"/>
    </row>
    <row r="15" spans="1:10" s="272" customFormat="1" ht="15.75" customHeight="1">
      <c r="B15" s="272" t="s">
        <v>8</v>
      </c>
      <c r="C15" s="272" t="s">
        <v>9</v>
      </c>
      <c r="D15" s="301"/>
      <c r="E15" s="301">
        <f>D16</f>
        <v>28685</v>
      </c>
      <c r="F15" s="302"/>
    </row>
    <row r="16" spans="1:10" s="272" customFormat="1" ht="22.5" customHeight="1" thickBot="1">
      <c r="B16" s="272" t="s">
        <v>8</v>
      </c>
      <c r="C16" s="272" t="s">
        <v>10</v>
      </c>
      <c r="D16" s="303">
        <f>SUM(D10:D15)</f>
        <v>28685</v>
      </c>
      <c r="E16" s="303">
        <f>SUM(E14:E15)</f>
        <v>28685</v>
      </c>
      <c r="F16" s="304"/>
      <c r="H16" s="272">
        <f>28485+50</f>
        <v>28535</v>
      </c>
    </row>
    <row r="17" spans="1:10" ht="6.75" customHeight="1" thickTop="1">
      <c r="D17" s="305"/>
      <c r="E17" s="305"/>
      <c r="F17" s="278"/>
      <c r="I17" s="274"/>
    </row>
    <row r="18" spans="1:10" ht="19.5" customHeight="1">
      <c r="A18" s="306" t="s">
        <v>11</v>
      </c>
      <c r="B18" s="307"/>
      <c r="C18" s="308" t="s">
        <v>12</v>
      </c>
      <c r="D18" s="309"/>
      <c r="E18" s="309"/>
      <c r="F18" s="307"/>
      <c r="I18" s="274"/>
    </row>
    <row r="19" spans="1:10" ht="18.75" customHeight="1">
      <c r="A19" s="757" t="s">
        <v>88</v>
      </c>
      <c r="B19" s="756"/>
      <c r="C19" s="278" t="s">
        <v>13</v>
      </c>
      <c r="D19" s="278"/>
      <c r="E19" s="310">
        <f>E15-E13</f>
        <v>28685</v>
      </c>
      <c r="F19" s="311"/>
    </row>
    <row r="20" spans="1:10" ht="13.5" customHeight="1">
      <c r="A20" s="757"/>
      <c r="B20" s="756"/>
      <c r="C20" s="278" t="s">
        <v>14</v>
      </c>
      <c r="D20" s="312" t="s">
        <v>85</v>
      </c>
      <c r="E20" s="313"/>
      <c r="F20" s="314"/>
      <c r="G20" s="315"/>
      <c r="J20" s="282"/>
    </row>
    <row r="21" spans="1:10" ht="84" customHeight="1">
      <c r="A21" s="758"/>
      <c r="B21" s="759"/>
      <c r="C21" s="2" t="s">
        <v>16</v>
      </c>
      <c r="D21" s="2" t="str">
        <f>B6</f>
        <v xml:space="preserve"> SOCIAL SECURITY SYSTEM // ROY MIRANDA</v>
      </c>
      <c r="E21" s="316"/>
      <c r="F21" s="314"/>
      <c r="J21" s="282"/>
    </row>
    <row r="22" spans="1:10" ht="11.25" customHeight="1">
      <c r="A22" s="317"/>
      <c r="B22" s="317"/>
      <c r="C22" s="278"/>
      <c r="D22" s="318"/>
      <c r="E22" s="305"/>
      <c r="F22" s="278"/>
      <c r="J22" s="282"/>
    </row>
    <row r="23" spans="1:10" s="315" customFormat="1" ht="15" customHeight="1">
      <c r="A23" s="319" t="s">
        <v>17</v>
      </c>
      <c r="C23" s="315" t="s">
        <v>18</v>
      </c>
      <c r="E23" s="320" t="s">
        <v>86</v>
      </c>
      <c r="H23" s="321"/>
      <c r="I23" s="322"/>
    </row>
    <row r="24" spans="1:10" ht="15.75" customHeight="1">
      <c r="H24" s="276"/>
    </row>
    <row r="25" spans="1:10" s="323" customFormat="1" ht="15.2" customHeight="1">
      <c r="A25" s="323" t="s">
        <v>87</v>
      </c>
      <c r="E25" s="3"/>
      <c r="H25" s="3"/>
      <c r="I25" s="324"/>
    </row>
    <row r="26" spans="1:10" ht="18.75" customHeight="1">
      <c r="H26" s="325"/>
    </row>
    <row r="27" spans="1:10">
      <c r="H27" s="325"/>
      <c r="J27" s="326"/>
    </row>
    <row r="30" spans="1:10">
      <c r="C30" s="274" t="s">
        <v>8</v>
      </c>
      <c r="D30" s="274"/>
      <c r="E30" s="274"/>
      <c r="I30" s="274"/>
    </row>
  </sheetData>
  <mergeCells count="6">
    <mergeCell ref="A19:B21"/>
    <mergeCell ref="A1:F1"/>
    <mergeCell ref="A2:F2"/>
    <mergeCell ref="A4:E4"/>
    <mergeCell ref="E5:F5"/>
    <mergeCell ref="A7:B7"/>
  </mergeCells>
  <printOptions horizontalCentered="1"/>
  <pageMargins left="0.29861111111111099" right="0.29861111111111099" top="0.20069444444444401" bottom="0.5" header="0.29861111111111099" footer="0.29861111111111099"/>
  <pageSetup paperSize="5" scale="80" orientation="portrait" verticalDpi="72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E21" sqref="E21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78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46238</v>
      </c>
      <c r="F4" s="683"/>
    </row>
    <row r="5" spans="1:10" ht="21" customHeight="1">
      <c r="A5" s="86" t="s">
        <v>4</v>
      </c>
      <c r="B5" s="87" t="s">
        <v>77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203"/>
      <c r="B8" s="203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16.5" customHeight="1">
      <c r="A10" s="97"/>
      <c r="B10" s="98"/>
      <c r="C10" s="136"/>
      <c r="D10" s="135"/>
      <c r="F10" s="98"/>
      <c r="I10" s="4"/>
    </row>
    <row r="11" spans="1:10" s="98" customFormat="1" ht="21" customHeight="1">
      <c r="A11" s="99"/>
      <c r="B11" s="103" t="s">
        <v>79</v>
      </c>
      <c r="C11" s="136"/>
      <c r="D11" s="96">
        <v>45000</v>
      </c>
      <c r="E11" s="100"/>
      <c r="F11" s="101"/>
    </row>
    <row r="12" spans="1:10" s="98" customFormat="1">
      <c r="A12" s="99"/>
      <c r="B12" s="98" t="s">
        <v>80</v>
      </c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45000</v>
      </c>
      <c r="E16" s="112">
        <f>D17-E15</f>
        <v>45000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45000</v>
      </c>
      <c r="E17" s="115">
        <f>SUM(E12:E16)</f>
        <v>45000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81</v>
      </c>
      <c r="B20" s="717"/>
      <c r="C20" s="84" t="s">
        <v>13</v>
      </c>
      <c r="D20" s="84"/>
      <c r="E20" s="689">
        <f>E17-E15</f>
        <v>45000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JUVEN ADORADOR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3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view="pageBreakPreview" zoomScale="90" zoomScaleNormal="100" zoomScaleSheetLayoutView="90" workbookViewId="0">
      <selection activeCell="A25" sqref="A25:B27"/>
    </sheetView>
  </sheetViews>
  <sheetFormatPr defaultColWidth="9.140625" defaultRowHeight="17.25"/>
  <cols>
    <col min="1" max="1" width="8.42578125" style="206" customWidth="1"/>
    <col min="2" max="2" width="24.85546875" style="206" customWidth="1"/>
    <col min="3" max="3" width="29" style="206" customWidth="1"/>
    <col min="4" max="4" width="21.42578125" style="266" customWidth="1"/>
    <col min="5" max="5" width="30.7109375" style="210" customWidth="1"/>
    <col min="6" max="6" width="6.7109375" style="206" customWidth="1"/>
    <col min="7" max="7" width="19" style="206" customWidth="1"/>
    <col min="8" max="8" width="9.140625" style="207"/>
    <col min="9" max="9" width="10" style="206" customWidth="1"/>
    <col min="10" max="16384" width="9.140625" style="206"/>
  </cols>
  <sheetData>
    <row r="1" spans="1:9" s="204" customFormat="1" ht="21.75" customHeight="1">
      <c r="A1" s="676" t="s">
        <v>0</v>
      </c>
      <c r="B1" s="676"/>
      <c r="C1" s="676"/>
      <c r="D1" s="676"/>
      <c r="E1" s="676"/>
      <c r="F1" s="676"/>
      <c r="I1" s="205"/>
    </row>
    <row r="2" spans="1:9" ht="17.25" customHeight="1">
      <c r="A2" s="677" t="s">
        <v>1</v>
      </c>
      <c r="B2" s="677"/>
      <c r="C2" s="677"/>
      <c r="D2" s="677"/>
      <c r="E2" s="677"/>
      <c r="F2" s="677"/>
      <c r="H2" s="206"/>
      <c r="I2" s="207"/>
    </row>
    <row r="3" spans="1:9" ht="22.5" customHeight="1">
      <c r="A3" s="208"/>
      <c r="B3" s="208"/>
      <c r="C3" s="208"/>
      <c r="D3" s="209"/>
      <c r="F3" s="211" t="s">
        <v>71</v>
      </c>
    </row>
    <row r="4" spans="1:9" ht="4.5" customHeight="1">
      <c r="A4" s="678"/>
      <c r="B4" s="678"/>
      <c r="C4" s="678"/>
      <c r="D4" s="678"/>
      <c r="E4" s="678"/>
      <c r="F4" s="208"/>
    </row>
    <row r="5" spans="1:9" ht="18" customHeight="1">
      <c r="A5" s="208"/>
      <c r="B5" s="212" t="s">
        <v>2</v>
      </c>
      <c r="C5" s="208"/>
      <c r="D5" s="213" t="s">
        <v>3</v>
      </c>
      <c r="E5" s="679">
        <v>46237</v>
      </c>
      <c r="F5" s="679"/>
    </row>
    <row r="6" spans="1:9" ht="23.25" customHeight="1">
      <c r="A6" s="214" t="s">
        <v>4</v>
      </c>
      <c r="B6" s="269" t="s">
        <v>66</v>
      </c>
      <c r="C6" s="215"/>
      <c r="D6" s="216"/>
      <c r="E6" s="212"/>
      <c r="F6" s="208"/>
      <c r="I6" s="217"/>
    </row>
    <row r="7" spans="1:9" ht="13.5" customHeight="1">
      <c r="A7" s="680"/>
      <c r="B7" s="680"/>
      <c r="C7" s="215"/>
      <c r="D7" s="218" t="s">
        <v>5</v>
      </c>
      <c r="E7" s="219" t="s">
        <v>6</v>
      </c>
      <c r="F7" s="220"/>
      <c r="I7" s="217"/>
    </row>
    <row r="8" spans="1:9" ht="8.25" customHeight="1">
      <c r="A8" s="221"/>
      <c r="B8" s="221"/>
      <c r="C8" s="221"/>
      <c r="D8" s="222"/>
      <c r="E8" s="223"/>
      <c r="F8" s="224"/>
      <c r="H8" s="206"/>
    </row>
    <row r="9" spans="1:9" ht="18.75" customHeight="1">
      <c r="A9" s="225" t="s">
        <v>72</v>
      </c>
      <c r="B9" s="204"/>
      <c r="C9" s="226"/>
      <c r="D9" s="222">
        <v>9106</v>
      </c>
      <c r="E9" s="223"/>
      <c r="F9" s="224"/>
      <c r="H9" s="206"/>
    </row>
    <row r="10" spans="1:9" s="204" customFormat="1" ht="15.75" customHeight="1">
      <c r="A10" s="225" t="s">
        <v>73</v>
      </c>
      <c r="C10" s="226"/>
      <c r="D10" s="222">
        <v>4256</v>
      </c>
      <c r="E10" s="223"/>
      <c r="F10" s="224"/>
    </row>
    <row r="11" spans="1:9" s="204" customFormat="1" ht="17.25" customHeight="1">
      <c r="A11" s="225" t="s">
        <v>74</v>
      </c>
      <c r="C11" s="226"/>
      <c r="D11" s="222">
        <v>22286.98</v>
      </c>
      <c r="E11" s="223"/>
      <c r="F11" s="224"/>
    </row>
    <row r="12" spans="1:9" s="204" customFormat="1" ht="15.75" customHeight="1">
      <c r="A12" s="225"/>
      <c r="C12" s="226"/>
      <c r="D12" s="222"/>
      <c r="E12" s="223"/>
      <c r="F12" s="224"/>
    </row>
    <row r="13" spans="1:9" s="204" customFormat="1" ht="15" customHeight="1">
      <c r="E13" s="223"/>
      <c r="F13" s="224"/>
    </row>
    <row r="14" spans="1:9" s="204" customFormat="1" ht="14.25" customHeight="1">
      <c r="A14" s="204" t="s">
        <v>61</v>
      </c>
      <c r="C14" s="226"/>
      <c r="D14" s="222">
        <v>4000</v>
      </c>
      <c r="E14" s="227"/>
      <c r="F14" s="224"/>
    </row>
    <row r="15" spans="1:9" s="204" customFormat="1" ht="14.25" customHeight="1">
      <c r="A15" s="204" t="s">
        <v>62</v>
      </c>
      <c r="C15" s="226"/>
      <c r="D15" s="222">
        <v>4500</v>
      </c>
      <c r="E15" s="227"/>
      <c r="F15" s="224"/>
    </row>
    <row r="16" spans="1:9" s="228" customFormat="1" ht="14.25" customHeight="1">
      <c r="A16" s="204" t="s">
        <v>75</v>
      </c>
      <c r="D16" s="229">
        <v>40000</v>
      </c>
      <c r="E16" s="227"/>
      <c r="F16" s="224"/>
    </row>
    <row r="17" spans="1:9" s="228" customFormat="1" ht="14.25" customHeight="1">
      <c r="A17" s="204" t="s">
        <v>63</v>
      </c>
      <c r="D17" s="229">
        <v>1500</v>
      </c>
      <c r="E17" s="227"/>
      <c r="F17" s="224"/>
    </row>
    <row r="18" spans="1:9" s="228" customFormat="1" ht="14.25" customHeight="1">
      <c r="A18" s="204" t="s">
        <v>64</v>
      </c>
      <c r="D18" s="230">
        <v>1000</v>
      </c>
      <c r="E18" s="227"/>
      <c r="F18" s="224"/>
    </row>
    <row r="19" spans="1:9" s="228" customFormat="1" ht="14.25" customHeight="1">
      <c r="A19" s="204" t="s">
        <v>76</v>
      </c>
      <c r="D19" s="230">
        <v>2500</v>
      </c>
      <c r="E19" s="227"/>
      <c r="F19" s="224"/>
    </row>
    <row r="20" spans="1:9" s="228" customFormat="1" ht="14.25" customHeight="1">
      <c r="A20" s="204" t="s">
        <v>65</v>
      </c>
      <c r="C20" s="231"/>
      <c r="D20" s="222">
        <v>6420</v>
      </c>
      <c r="E20" s="227"/>
      <c r="F20" s="224"/>
    </row>
    <row r="21" spans="1:9" s="228" customFormat="1" ht="15" customHeight="1">
      <c r="A21" s="224"/>
      <c r="B21" s="224"/>
      <c r="C21" s="232" t="s">
        <v>9</v>
      </c>
      <c r="D21" s="233"/>
      <c r="E21" s="234">
        <f>D22</f>
        <v>95568.98</v>
      </c>
      <c r="F21" s="235"/>
    </row>
    <row r="22" spans="1:9" s="228" customFormat="1" ht="15.75" customHeight="1" thickBot="1">
      <c r="A22" s="224"/>
      <c r="B22" s="224" t="s">
        <v>8</v>
      </c>
      <c r="C22" s="232" t="s">
        <v>10</v>
      </c>
      <c r="D22" s="236">
        <f>SUM(D9:D20)</f>
        <v>95568.98</v>
      </c>
      <c r="E22" s="237">
        <f>D22</f>
        <v>95568.98</v>
      </c>
      <c r="F22" s="238"/>
    </row>
    <row r="23" spans="1:9" ht="13.5" customHeight="1" thickTop="1">
      <c r="A23" s="208"/>
      <c r="B23" s="208"/>
      <c r="C23" s="208"/>
      <c r="D23" s="239"/>
      <c r="E23" s="240"/>
      <c r="F23" s="212"/>
      <c r="H23" s="206"/>
    </row>
    <row r="24" spans="1:9" s="246" customFormat="1" ht="15" customHeight="1">
      <c r="A24" s="241" t="s">
        <v>11</v>
      </c>
      <c r="B24" s="242"/>
      <c r="C24" s="243" t="s">
        <v>12</v>
      </c>
      <c r="D24" s="244"/>
      <c r="E24" s="245"/>
      <c r="F24" s="242"/>
    </row>
    <row r="25" spans="1:9" s="246" customFormat="1" ht="23.25" customHeight="1">
      <c r="A25" s="669" t="s">
        <v>66</v>
      </c>
      <c r="B25" s="670"/>
      <c r="C25" s="247" t="s">
        <v>13</v>
      </c>
      <c r="D25" s="248"/>
      <c r="E25" s="674">
        <f>E22</f>
        <v>95568.98</v>
      </c>
      <c r="F25" s="675"/>
      <c r="H25" s="249"/>
    </row>
    <row r="26" spans="1:9" s="246" customFormat="1" ht="14.25" customHeight="1">
      <c r="A26" s="671"/>
      <c r="B26" s="670"/>
      <c r="C26" s="247" t="s">
        <v>14</v>
      </c>
      <c r="D26" s="250" t="s">
        <v>67</v>
      </c>
      <c r="E26" s="251"/>
      <c r="F26" s="252"/>
      <c r="H26" s="249"/>
      <c r="I26" s="253"/>
    </row>
    <row r="27" spans="1:9" s="246" customFormat="1" ht="46.5" customHeight="1">
      <c r="A27" s="672"/>
      <c r="B27" s="673"/>
      <c r="C27" s="254" t="s">
        <v>16</v>
      </c>
      <c r="D27" s="270" t="str">
        <f>B6</f>
        <v>SOLITAIRE DIVERSIFIED LOGISTICS PHILIPPINES INC.</v>
      </c>
      <c r="E27" s="255" t="s">
        <v>68</v>
      </c>
      <c r="F27" s="252"/>
      <c r="H27" s="249"/>
      <c r="I27" s="253"/>
    </row>
    <row r="28" spans="1:9" s="246" customFormat="1" ht="3" customHeight="1">
      <c r="A28" s="256" t="s">
        <v>8</v>
      </c>
      <c r="B28" s="256"/>
      <c r="C28" s="247"/>
      <c r="D28" s="248"/>
      <c r="E28" s="257"/>
      <c r="F28" s="258"/>
      <c r="H28" s="249"/>
      <c r="I28" s="253"/>
    </row>
    <row r="29" spans="1:9" ht="14.25" customHeight="1">
      <c r="A29" s="232" t="s">
        <v>17</v>
      </c>
      <c r="B29" s="208"/>
      <c r="C29" s="208" t="s">
        <v>18</v>
      </c>
      <c r="D29" s="209" t="s">
        <v>69</v>
      </c>
      <c r="E29" s="259"/>
      <c r="F29" s="208"/>
      <c r="G29" s="210"/>
    </row>
    <row r="30" spans="1:9" s="246" customFormat="1" ht="14.25" customHeight="1">
      <c r="A30" s="260"/>
      <c r="B30" s="261"/>
      <c r="C30" s="261"/>
      <c r="D30" s="262"/>
      <c r="E30" s="263"/>
      <c r="F30" s="261"/>
      <c r="G30" s="264"/>
      <c r="H30" s="249"/>
    </row>
    <row r="31" spans="1:9" s="246" customFormat="1" ht="13.5" customHeight="1">
      <c r="A31" s="261"/>
      <c r="B31" s="261"/>
      <c r="C31" s="265"/>
      <c r="D31" s="262"/>
      <c r="E31" s="263"/>
      <c r="F31" s="261"/>
      <c r="G31" s="264"/>
      <c r="H31" s="249"/>
    </row>
    <row r="32" spans="1:9" ht="15.2" customHeight="1">
      <c r="A32" s="206" t="s">
        <v>70</v>
      </c>
      <c r="C32" s="266"/>
      <c r="D32" s="206"/>
      <c r="H32" s="210"/>
      <c r="I32" s="207"/>
    </row>
    <row r="33" spans="5:9" ht="18.75" customHeight="1">
      <c r="G33" s="267"/>
    </row>
    <row r="34" spans="5:9">
      <c r="G34" s="267"/>
      <c r="I34" s="268"/>
    </row>
    <row r="37" spans="5:9">
      <c r="E37" s="206"/>
      <c r="H37" s="206"/>
    </row>
  </sheetData>
  <mergeCells count="7">
    <mergeCell ref="A25:B27"/>
    <mergeCell ref="E25:F25"/>
    <mergeCell ref="A1:F1"/>
    <mergeCell ref="A2:F2"/>
    <mergeCell ref="A4:E4"/>
    <mergeCell ref="E5:F5"/>
    <mergeCell ref="A7:B7"/>
  </mergeCells>
  <printOptions horizontalCentered="1"/>
  <pageMargins left="0.3" right="0.3" top="0.2" bottom="0.5" header="0.3" footer="0.3"/>
  <pageSetup scale="83" orientation="portrait" horizontalDpi="120" verticalDpi="72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5"/>
  <sheetViews>
    <sheetView view="pageBreakPreview" zoomScale="82" zoomScaleNormal="100" zoomScaleSheetLayoutView="82" workbookViewId="0">
      <selection activeCell="E21" sqref="E21:F21"/>
    </sheetView>
  </sheetViews>
  <sheetFormatPr defaultColWidth="9.140625" defaultRowHeight="19.5"/>
  <cols>
    <col min="1" max="1" width="11" style="4" customWidth="1"/>
    <col min="2" max="2" width="25.570312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59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46235</v>
      </c>
      <c r="F4" s="683"/>
    </row>
    <row r="5" spans="1:10" ht="19.5" customHeight="1">
      <c r="A5" s="8"/>
      <c r="B5" s="84"/>
      <c r="C5" s="8"/>
      <c r="D5" s="85"/>
      <c r="E5" s="192"/>
      <c r="F5" s="192"/>
    </row>
    <row r="6" spans="1:10" ht="32.25" customHeight="1">
      <c r="A6" s="86" t="s">
        <v>4</v>
      </c>
      <c r="B6" s="140" t="s">
        <v>42</v>
      </c>
      <c r="C6" s="86"/>
      <c r="D6" s="86"/>
      <c r="E6" s="84"/>
      <c r="F6" s="8"/>
      <c r="J6" s="88"/>
    </row>
    <row r="7" spans="1:10" ht="15" customHeight="1">
      <c r="A7" s="684"/>
      <c r="B7" s="684"/>
      <c r="C7" s="86"/>
      <c r="D7" s="89" t="s">
        <v>5</v>
      </c>
      <c r="E7" s="90" t="s">
        <v>6</v>
      </c>
      <c r="F7" s="91"/>
      <c r="J7" s="88"/>
    </row>
    <row r="8" spans="1:10" ht="3" customHeight="1">
      <c r="A8" s="92"/>
      <c r="B8" s="92"/>
      <c r="C8" s="84"/>
      <c r="D8" s="93"/>
      <c r="E8" s="93"/>
      <c r="F8" s="84"/>
      <c r="J8" s="88"/>
    </row>
    <row r="9" spans="1:10" ht="9.75" customHeight="1">
      <c r="A9" s="191"/>
      <c r="B9" s="191"/>
      <c r="C9" s="8"/>
      <c r="D9" s="85"/>
      <c r="E9" s="85"/>
      <c r="F9" s="8"/>
      <c r="J9" s="88"/>
    </row>
    <row r="10" spans="1:10" ht="10.5" hidden="1" customHeight="1">
      <c r="A10" s="94"/>
      <c r="B10" s="95"/>
      <c r="C10" s="8"/>
      <c r="D10" s="96"/>
      <c r="E10" s="6"/>
      <c r="F10" s="8"/>
      <c r="I10" s="4"/>
    </row>
    <row r="11" spans="1:10" ht="6.75" customHeight="1">
      <c r="A11" s="97"/>
      <c r="B11" s="98"/>
      <c r="C11" s="136"/>
      <c r="D11" s="135"/>
      <c r="F11" s="98"/>
      <c r="I11" s="4"/>
    </row>
    <row r="12" spans="1:10" s="98" customFormat="1" ht="30.75" customHeight="1">
      <c r="A12" s="99"/>
      <c r="B12" s="95" t="s">
        <v>41</v>
      </c>
      <c r="C12" s="95"/>
      <c r="D12" s="96">
        <v>48934.3</v>
      </c>
      <c r="E12" s="100"/>
      <c r="F12" s="101"/>
    </row>
    <row r="13" spans="1:10" s="98" customFormat="1" ht="12" customHeight="1">
      <c r="A13" s="99"/>
      <c r="B13" s="95"/>
      <c r="C13" s="95"/>
      <c r="D13" s="141"/>
      <c r="E13" s="100"/>
      <c r="F13" s="101"/>
    </row>
    <row r="14" spans="1:10" s="98" customFormat="1" ht="15.75" hidden="1" customHeight="1">
      <c r="A14" s="99"/>
      <c r="C14" s="136"/>
      <c r="D14" s="135"/>
      <c r="E14" s="100"/>
      <c r="F14" s="101"/>
    </row>
    <row r="15" spans="1:10" s="98" customFormat="1" ht="16.5" customHeight="1">
      <c r="A15" s="102"/>
      <c r="B15" s="136"/>
      <c r="C15" s="103"/>
      <c r="D15" s="137"/>
      <c r="E15" s="104"/>
      <c r="F15" s="105"/>
    </row>
    <row r="16" spans="1:10" s="111" customFormat="1" ht="12.75" customHeight="1">
      <c r="A16" s="106"/>
      <c r="B16" s="107"/>
      <c r="C16" s="108"/>
      <c r="D16" s="109"/>
      <c r="E16" s="109"/>
      <c r="F16" s="110"/>
    </row>
    <row r="17" spans="1:10" s="114" customFormat="1" ht="18" customHeight="1">
      <c r="A17" s="9"/>
      <c r="B17" s="9"/>
      <c r="C17" s="9" t="s">
        <v>9</v>
      </c>
      <c r="D17" s="112">
        <f>SUM(D11:D15)</f>
        <v>48934.3</v>
      </c>
      <c r="E17" s="112">
        <f>D18-E16</f>
        <v>48934.3</v>
      </c>
      <c r="F17" s="113"/>
    </row>
    <row r="18" spans="1:10" s="114" customFormat="1" ht="23.25" customHeight="1" thickBot="1">
      <c r="A18" s="9"/>
      <c r="B18" s="9" t="s">
        <v>8</v>
      </c>
      <c r="C18" s="9" t="s">
        <v>10</v>
      </c>
      <c r="D18" s="138">
        <f>SUM(D17)</f>
        <v>48934.3</v>
      </c>
      <c r="E18" s="115">
        <f>SUM(E13:E17)</f>
        <v>48934.3</v>
      </c>
      <c r="F18" s="116"/>
    </row>
    <row r="19" spans="1:10" s="98" customFormat="1" ht="18" customHeight="1" thickTop="1">
      <c r="A19" s="8"/>
      <c r="B19" s="8"/>
      <c r="C19" s="8" t="s">
        <v>8</v>
      </c>
      <c r="D19" s="104"/>
      <c r="E19" s="104"/>
      <c r="F19" s="84"/>
    </row>
    <row r="20" spans="1:10" ht="18" customHeight="1">
      <c r="A20" s="117" t="s">
        <v>11</v>
      </c>
      <c r="B20" s="118"/>
      <c r="C20" s="119" t="s">
        <v>12</v>
      </c>
      <c r="D20" s="120"/>
      <c r="E20" s="120"/>
      <c r="F20" s="118"/>
      <c r="G20" s="3"/>
      <c r="I20" s="4"/>
    </row>
    <row r="21" spans="1:10" ht="30.75" customHeight="1">
      <c r="A21" s="721" t="s">
        <v>60</v>
      </c>
      <c r="B21" s="722"/>
      <c r="C21" s="84" t="s">
        <v>13</v>
      </c>
      <c r="D21" s="84"/>
      <c r="E21" s="689">
        <f>E18-E16</f>
        <v>48934.3</v>
      </c>
      <c r="F21" s="690"/>
      <c r="G21" s="3"/>
      <c r="I21" s="4"/>
    </row>
    <row r="22" spans="1:10" ht="19.5" customHeight="1">
      <c r="A22" s="721"/>
      <c r="B22" s="722"/>
      <c r="C22" s="84" t="s">
        <v>35</v>
      </c>
      <c r="D22" s="121" t="s">
        <v>36</v>
      </c>
      <c r="E22" s="122"/>
      <c r="F22" s="84"/>
      <c r="G22" s="3"/>
      <c r="I22" s="4"/>
    </row>
    <row r="23" spans="1:10" ht="18.75" customHeight="1">
      <c r="A23" s="721"/>
      <c r="B23" s="722"/>
      <c r="C23" s="84" t="s">
        <v>37</v>
      </c>
      <c r="D23" s="123"/>
      <c r="E23" s="691"/>
      <c r="F23" s="692"/>
      <c r="G23" s="3"/>
      <c r="I23" s="4"/>
    </row>
    <row r="24" spans="1:10" ht="53.25" customHeight="1">
      <c r="A24" s="723"/>
      <c r="B24" s="724"/>
      <c r="C24" s="86" t="s">
        <v>16</v>
      </c>
      <c r="D24" s="720" t="str">
        <f>B6</f>
        <v>BRIXTON CONSTRUCTION &amp; INDUSTRIAL SUPPLY CORP.</v>
      </c>
      <c r="E24" s="720"/>
      <c r="F24" s="124"/>
      <c r="G24" s="3"/>
      <c r="H24" s="125"/>
    </row>
    <row r="25" spans="1:10" ht="21" customHeight="1">
      <c r="A25" s="126" t="s">
        <v>17</v>
      </c>
      <c r="C25" s="4" t="s">
        <v>18</v>
      </c>
      <c r="E25" s="193" t="s">
        <v>19</v>
      </c>
      <c r="G25" s="3"/>
      <c r="J25" s="88"/>
    </row>
    <row r="26" spans="1:10" ht="24.75" customHeight="1">
      <c r="A26" s="8"/>
      <c r="B26" s="8"/>
      <c r="C26" s="8"/>
      <c r="D26" s="6"/>
      <c r="E26" s="7"/>
      <c r="F26" s="8"/>
      <c r="G26" s="3"/>
      <c r="J26" s="88"/>
    </row>
    <row r="27" spans="1:10" s="128" customFormat="1" ht="26.25" customHeight="1">
      <c r="A27" s="127" t="s">
        <v>38</v>
      </c>
      <c r="E27" s="129"/>
      <c r="H27" s="129"/>
      <c r="I27" s="130"/>
    </row>
    <row r="28" spans="1:10" ht="1.5" hidden="1" customHeight="1">
      <c r="A28" s="8"/>
      <c r="B28" s="8"/>
      <c r="C28" s="8"/>
      <c r="D28" s="6"/>
      <c r="E28" s="6"/>
      <c r="F28" s="8"/>
      <c r="J28" s="88"/>
    </row>
    <row r="29" spans="1:10" ht="9.75" customHeight="1">
      <c r="H29" s="3"/>
    </row>
    <row r="30" spans="1:10" s="131" customFormat="1" ht="18.75" customHeight="1">
      <c r="A30" s="4"/>
      <c r="B30" s="4"/>
      <c r="C30" s="4"/>
      <c r="D30" s="3"/>
      <c r="E30" s="3"/>
      <c r="F30" s="4"/>
      <c r="H30" s="132"/>
      <c r="I30" s="133"/>
    </row>
    <row r="31" spans="1:10">
      <c r="H31" s="125"/>
      <c r="J31" s="134"/>
    </row>
    <row r="32" spans="1:10">
      <c r="C32" s="4" t="s">
        <v>8</v>
      </c>
      <c r="D32" s="4"/>
      <c r="E32" s="4"/>
    </row>
    <row r="34" spans="4:9">
      <c r="I34" s="4"/>
    </row>
    <row r="35" spans="4:9">
      <c r="D35" s="4"/>
      <c r="E35" s="4"/>
    </row>
  </sheetData>
  <mergeCells count="8">
    <mergeCell ref="A1:F1"/>
    <mergeCell ref="A2:F2"/>
    <mergeCell ref="E4:F4"/>
    <mergeCell ref="A7:B7"/>
    <mergeCell ref="A21:B24"/>
    <mergeCell ref="E21:F21"/>
    <mergeCell ref="E23:F23"/>
    <mergeCell ref="D24:E24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view="pageBreakPreview" zoomScale="85" zoomScaleNormal="100" workbookViewId="0">
      <selection activeCell="E18" sqref="E18:F18"/>
    </sheetView>
  </sheetViews>
  <sheetFormatPr defaultColWidth="9.140625" defaultRowHeight="19.5"/>
  <cols>
    <col min="1" max="1" width="8.85546875" style="144" customWidth="1"/>
    <col min="2" max="2" width="25.7109375" style="144" customWidth="1"/>
    <col min="3" max="3" width="22.140625" style="144" customWidth="1"/>
    <col min="4" max="4" width="30.5703125" style="187" customWidth="1"/>
    <col min="5" max="5" width="25" style="187" customWidth="1"/>
    <col min="6" max="6" width="15.85546875" style="144" customWidth="1"/>
    <col min="7" max="7" width="9.140625" style="144"/>
    <col min="8" max="8" width="10" style="144" customWidth="1"/>
    <col min="9" max="9" width="9.140625" style="145"/>
    <col min="10" max="10" width="10" style="144" customWidth="1"/>
    <col min="11" max="16384" width="9.140625" style="144"/>
  </cols>
  <sheetData>
    <row r="1" spans="1:10" s="142" customFormat="1" ht="18.75" customHeight="1">
      <c r="A1" s="803" t="s">
        <v>0</v>
      </c>
      <c r="B1" s="803"/>
      <c r="C1" s="803"/>
      <c r="D1" s="803"/>
      <c r="E1" s="803"/>
      <c r="F1" s="803"/>
      <c r="I1" s="143"/>
    </row>
    <row r="2" spans="1:10" ht="15.75" customHeight="1">
      <c r="A2" s="804" t="s">
        <v>1</v>
      </c>
      <c r="B2" s="804"/>
      <c r="C2" s="804"/>
      <c r="D2" s="804"/>
      <c r="E2" s="804"/>
      <c r="F2" s="804"/>
    </row>
    <row r="3" spans="1:10" ht="36" customHeight="1">
      <c r="A3" s="146"/>
      <c r="B3" s="146"/>
      <c r="C3" s="146"/>
      <c r="D3" s="147"/>
      <c r="E3" s="147"/>
      <c r="F3" s="148" t="s">
        <v>57</v>
      </c>
    </row>
    <row r="4" spans="1:10" ht="6.75" customHeight="1">
      <c r="A4" s="805"/>
      <c r="B4" s="805"/>
      <c r="C4" s="805"/>
      <c r="D4" s="805"/>
      <c r="E4" s="805"/>
      <c r="F4" s="146"/>
    </row>
    <row r="5" spans="1:10" ht="20.25" customHeight="1">
      <c r="A5" s="146"/>
      <c r="B5" s="149" t="s">
        <v>2</v>
      </c>
      <c r="C5" s="146"/>
      <c r="D5" s="150" t="s">
        <v>3</v>
      </c>
      <c r="E5" s="753">
        <v>46235</v>
      </c>
      <c r="F5" s="753"/>
    </row>
    <row r="6" spans="1:10" ht="29.25" customHeight="1">
      <c r="A6" s="151" t="s">
        <v>4</v>
      </c>
      <c r="B6" s="152" t="s">
        <v>55</v>
      </c>
      <c r="C6" s="151"/>
      <c r="D6" s="151"/>
      <c r="E6" s="149"/>
      <c r="F6" s="146"/>
      <c r="J6" s="153"/>
    </row>
    <row r="7" spans="1:10" ht="17.25" customHeight="1">
      <c r="A7" s="806"/>
      <c r="B7" s="806"/>
      <c r="C7" s="151"/>
      <c r="D7" s="154" t="s">
        <v>5</v>
      </c>
      <c r="E7" s="155" t="s">
        <v>6</v>
      </c>
      <c r="F7" s="156"/>
      <c r="G7" s="144" t="s">
        <v>7</v>
      </c>
      <c r="J7" s="153"/>
    </row>
    <row r="8" spans="1:10" ht="6" customHeight="1">
      <c r="A8" s="157"/>
      <c r="B8" s="157"/>
      <c r="C8" s="158"/>
      <c r="D8" s="147"/>
      <c r="E8" s="147"/>
      <c r="F8" s="146"/>
      <c r="I8" s="144"/>
    </row>
    <row r="9" spans="1:10" ht="12.75" customHeight="1">
      <c r="A9" s="157"/>
      <c r="B9" s="201"/>
      <c r="C9" s="158"/>
      <c r="D9" s="147"/>
      <c r="E9" s="147"/>
      <c r="F9" s="146"/>
      <c r="I9" s="144"/>
    </row>
    <row r="10" spans="1:10" s="162" customFormat="1" ht="19.5" customHeight="1">
      <c r="A10" s="160"/>
      <c r="B10" s="159" t="s">
        <v>41</v>
      </c>
      <c r="C10" s="159"/>
      <c r="D10" s="161">
        <v>813231.86</v>
      </c>
      <c r="E10" s="161"/>
      <c r="F10" s="159"/>
      <c r="J10" s="163"/>
    </row>
    <row r="11" spans="1:10" s="162" customFormat="1" ht="26.25" customHeight="1">
      <c r="A11" s="160"/>
      <c r="B11" s="159"/>
      <c r="C11" s="159"/>
      <c r="D11" s="161"/>
      <c r="E11" s="161"/>
      <c r="F11" s="159"/>
    </row>
    <row r="12" spans="1:10" s="162" customFormat="1" ht="15" customHeight="1">
      <c r="A12" s="160"/>
      <c r="B12" s="164"/>
      <c r="C12" s="165"/>
      <c r="D12" s="161"/>
      <c r="E12" s="161" t="s">
        <v>8</v>
      </c>
      <c r="F12" s="159"/>
    </row>
    <row r="13" spans="1:10" s="162" customFormat="1" ht="15" customHeight="1">
      <c r="A13" s="160"/>
      <c r="B13" s="807"/>
      <c r="C13" s="807"/>
      <c r="D13" s="161"/>
      <c r="E13" s="161"/>
      <c r="F13" s="159"/>
    </row>
    <row r="14" spans="1:10" s="162" customFormat="1" ht="23.25" customHeight="1">
      <c r="A14" s="159"/>
      <c r="B14" s="159"/>
      <c r="C14" s="159"/>
      <c r="D14" s="166"/>
      <c r="E14" s="166">
        <f>D15-E10</f>
        <v>813231.86</v>
      </c>
      <c r="F14" s="167"/>
    </row>
    <row r="15" spans="1:10" s="162" customFormat="1" ht="23.25" customHeight="1" thickBot="1">
      <c r="A15" s="159"/>
      <c r="B15" s="159" t="s">
        <v>8</v>
      </c>
      <c r="C15" s="159" t="s">
        <v>10</v>
      </c>
      <c r="D15" s="168">
        <f>SUM(D10:D11)</f>
        <v>813231.86</v>
      </c>
      <c r="E15" s="168">
        <f>SUM(E12:E14)</f>
        <v>813231.86</v>
      </c>
      <c r="F15" s="169"/>
    </row>
    <row r="16" spans="1:10" ht="6.75" customHeight="1" thickTop="1">
      <c r="A16" s="146"/>
      <c r="B16" s="146"/>
      <c r="C16" s="146"/>
      <c r="D16" s="170"/>
      <c r="E16" s="170"/>
      <c r="F16" s="149"/>
      <c r="I16" s="144"/>
    </row>
    <row r="17" spans="1:10" ht="13.5" customHeight="1">
      <c r="A17" s="171" t="s">
        <v>11</v>
      </c>
      <c r="B17" s="172"/>
      <c r="C17" s="173" t="s">
        <v>12</v>
      </c>
      <c r="D17" s="174"/>
      <c r="E17" s="174"/>
      <c r="F17" s="172"/>
      <c r="I17" s="144"/>
    </row>
    <row r="18" spans="1:10" ht="28.5" customHeight="1">
      <c r="A18" s="797" t="s">
        <v>58</v>
      </c>
      <c r="B18" s="798"/>
      <c r="C18" s="149" t="s">
        <v>13</v>
      </c>
      <c r="D18" s="149"/>
      <c r="E18" s="801">
        <f>E14</f>
        <v>813231.86</v>
      </c>
      <c r="F18" s="802"/>
    </row>
    <row r="19" spans="1:10" ht="18" customHeight="1">
      <c r="A19" s="797"/>
      <c r="B19" s="798"/>
      <c r="C19" s="149" t="s">
        <v>14</v>
      </c>
      <c r="D19" s="175"/>
      <c r="E19" s="147"/>
      <c r="F19" s="176"/>
      <c r="G19" s="177"/>
      <c r="J19" s="153"/>
    </row>
    <row r="20" spans="1:10" ht="54" customHeight="1">
      <c r="A20" s="799"/>
      <c r="B20" s="800"/>
      <c r="C20" s="151" t="s">
        <v>16</v>
      </c>
      <c r="D20" s="194" t="str">
        <f>B6</f>
        <v>COLOSSAL MERCHANDISING CORPORATION</v>
      </c>
      <c r="E20" s="178" t="s">
        <v>43</v>
      </c>
      <c r="F20" s="176"/>
      <c r="J20" s="153"/>
    </row>
    <row r="21" spans="1:10" ht="6.75" customHeight="1">
      <c r="A21" s="179"/>
      <c r="B21" s="179"/>
      <c r="C21" s="149"/>
      <c r="D21" s="180"/>
      <c r="E21" s="170"/>
      <c r="F21" s="149"/>
      <c r="J21" s="153"/>
    </row>
    <row r="22" spans="1:10" s="181" customFormat="1" ht="15.2" customHeight="1">
      <c r="A22" s="181" t="s">
        <v>17</v>
      </c>
      <c r="C22" s="181" t="s">
        <v>18</v>
      </c>
      <c r="E22" s="202" t="s">
        <v>19</v>
      </c>
      <c r="H22" s="182"/>
      <c r="I22" s="183"/>
    </row>
    <row r="23" spans="1:10" s="146" customFormat="1" ht="21" customHeight="1">
      <c r="D23" s="147"/>
      <c r="E23" s="147"/>
      <c r="H23" s="147"/>
      <c r="I23" s="184"/>
    </row>
    <row r="24" spans="1:10" s="10" customFormat="1" ht="15.2" customHeight="1">
      <c r="A24" s="10" t="s">
        <v>56</v>
      </c>
      <c r="E24" s="11"/>
      <c r="H24" s="11"/>
      <c r="I24" s="12"/>
    </row>
    <row r="25" spans="1:10" ht="9" customHeight="1">
      <c r="A25" s="146"/>
      <c r="B25" s="146"/>
      <c r="C25" s="146"/>
      <c r="D25" s="147"/>
      <c r="E25" s="147"/>
      <c r="F25" s="146"/>
      <c r="H25" s="185"/>
    </row>
    <row r="26" spans="1:10">
      <c r="A26" s="146"/>
      <c r="B26" s="146"/>
      <c r="C26" s="146"/>
      <c r="D26" s="147"/>
      <c r="E26" s="147"/>
      <c r="F26" s="146"/>
      <c r="H26" s="185"/>
      <c r="J26" s="186"/>
    </row>
    <row r="29" spans="1:10">
      <c r="C29" s="144" t="s">
        <v>8</v>
      </c>
      <c r="D29" s="144"/>
      <c r="E29" s="144"/>
      <c r="I29" s="144"/>
    </row>
  </sheetData>
  <mergeCells count="8">
    <mergeCell ref="A18:B20"/>
    <mergeCell ref="E18:F18"/>
    <mergeCell ref="A1:F1"/>
    <mergeCell ref="A2:F2"/>
    <mergeCell ref="A4:E4"/>
    <mergeCell ref="E5:F5"/>
    <mergeCell ref="A7:B7"/>
    <mergeCell ref="B13:C13"/>
  </mergeCells>
  <printOptions horizontalCentered="1"/>
  <pageMargins left="0.25" right="0.25" top="0.42" bottom="0.75" header="0.3" footer="0.3"/>
  <pageSetup paperSize="5" scale="79" orientation="portrait" horizontalDpi="120" verticalDpi="72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="82" zoomScaleNormal="100" zoomScaleSheetLayoutView="82" workbookViewId="0">
      <selection activeCell="A20" sqref="A20:B23"/>
    </sheetView>
  </sheetViews>
  <sheetFormatPr defaultColWidth="9.140625" defaultRowHeight="19.5"/>
  <cols>
    <col min="1" max="1" width="11" style="4" customWidth="1"/>
    <col min="2" max="2" width="26.85546875" style="4" customWidth="1"/>
    <col min="3" max="3" width="23.85546875" style="4" customWidth="1"/>
    <col min="4" max="4" width="25.28515625" style="3" customWidth="1"/>
    <col min="5" max="5" width="25.7109375" style="3" customWidth="1"/>
    <col min="6" max="6" width="20.42578125" style="4" customWidth="1"/>
    <col min="7" max="7" width="17.42578125" style="4" customWidth="1"/>
    <col min="8" max="8" width="10" style="4" customWidth="1"/>
    <col min="9" max="9" width="9.140625" style="5"/>
    <col min="10" max="10" width="10" style="4" customWidth="1"/>
    <col min="11" max="16384" width="9.140625" style="4"/>
  </cols>
  <sheetData>
    <row r="1" spans="1:10" ht="23.25" customHeight="1">
      <c r="A1" s="681" t="s">
        <v>0</v>
      </c>
      <c r="B1" s="681"/>
      <c r="C1" s="681"/>
      <c r="D1" s="681"/>
      <c r="E1" s="681"/>
      <c r="F1" s="681"/>
    </row>
    <row r="2" spans="1:10" ht="15" customHeight="1">
      <c r="A2" s="682" t="s">
        <v>1</v>
      </c>
      <c r="B2" s="682"/>
      <c r="C2" s="682"/>
      <c r="D2" s="682"/>
      <c r="E2" s="682"/>
      <c r="F2" s="682"/>
    </row>
    <row r="3" spans="1:10" ht="25.5" customHeight="1">
      <c r="A3" s="8"/>
      <c r="B3" s="8"/>
      <c r="C3" s="8"/>
      <c r="D3" s="6"/>
      <c r="E3" s="6"/>
      <c r="F3" s="83" t="s">
        <v>53</v>
      </c>
    </row>
    <row r="4" spans="1:10" ht="24" customHeight="1">
      <c r="A4" s="8"/>
      <c r="B4" s="84" t="s">
        <v>2</v>
      </c>
      <c r="C4" s="8"/>
      <c r="D4" s="85" t="s">
        <v>3</v>
      </c>
      <c r="E4" s="683">
        <v>46235</v>
      </c>
      <c r="F4" s="683"/>
    </row>
    <row r="5" spans="1:10" ht="21" customHeight="1">
      <c r="A5" s="86" t="s">
        <v>4</v>
      </c>
      <c r="B5" s="87" t="s">
        <v>20</v>
      </c>
      <c r="C5" s="86"/>
      <c r="D5" s="86"/>
      <c r="E5" s="84"/>
      <c r="F5" s="8"/>
      <c r="J5" s="88"/>
    </row>
    <row r="6" spans="1:10" ht="15" customHeight="1">
      <c r="A6" s="684"/>
      <c r="B6" s="684"/>
      <c r="C6" s="86"/>
      <c r="D6" s="89" t="s">
        <v>5</v>
      </c>
      <c r="E6" s="90" t="s">
        <v>6</v>
      </c>
      <c r="F6" s="91"/>
      <c r="J6" s="88"/>
    </row>
    <row r="7" spans="1:10" ht="3" customHeight="1">
      <c r="A7" s="92"/>
      <c r="B7" s="92"/>
      <c r="C7" s="84"/>
      <c r="D7" s="93"/>
      <c r="E7" s="93"/>
      <c r="F7" s="84"/>
      <c r="J7" s="88"/>
    </row>
    <row r="8" spans="1:10" ht="9.75" customHeight="1">
      <c r="A8" s="188"/>
      <c r="B8" s="188"/>
      <c r="C8" s="8"/>
      <c r="D8" s="85"/>
      <c r="E8" s="85"/>
      <c r="F8" s="8"/>
      <c r="J8" s="88"/>
    </row>
    <row r="9" spans="1:10" ht="10.5" hidden="1" customHeight="1">
      <c r="A9" s="94"/>
      <c r="B9" s="95"/>
      <c r="C9" s="8"/>
      <c r="D9" s="96"/>
      <c r="E9" s="6"/>
      <c r="F9" s="8"/>
      <c r="I9" s="4"/>
    </row>
    <row r="10" spans="1:10" ht="16.5" customHeight="1">
      <c r="A10" s="97"/>
      <c r="B10" s="98"/>
      <c r="C10" s="136"/>
      <c r="D10" s="135"/>
      <c r="F10" s="98"/>
      <c r="I10" s="4"/>
    </row>
    <row r="11" spans="1:10" s="98" customFormat="1" ht="21" customHeight="1">
      <c r="A11" s="99"/>
      <c r="B11" s="103" t="s">
        <v>54</v>
      </c>
      <c r="C11" s="136"/>
      <c r="D11" s="96">
        <v>98356</v>
      </c>
      <c r="E11" s="100"/>
      <c r="F11" s="101"/>
    </row>
    <row r="12" spans="1:10" s="98" customFormat="1">
      <c r="A12" s="99"/>
      <c r="C12" s="136"/>
      <c r="D12" s="139"/>
      <c r="E12" s="100"/>
      <c r="F12" s="101"/>
    </row>
    <row r="13" spans="1:10" s="98" customFormat="1" ht="15.75" customHeight="1">
      <c r="A13" s="99"/>
      <c r="C13" s="136"/>
      <c r="D13" s="135"/>
      <c r="E13" s="100"/>
      <c r="F13" s="101"/>
    </row>
    <row r="14" spans="1:10" s="98" customFormat="1" ht="16.5" hidden="1" customHeight="1">
      <c r="A14" s="102"/>
      <c r="B14" s="136"/>
      <c r="C14" s="103"/>
      <c r="D14" s="137"/>
      <c r="E14" s="104"/>
      <c r="F14" s="105"/>
    </row>
    <row r="15" spans="1:10" s="111" customFormat="1" ht="12.75" customHeight="1">
      <c r="A15" s="106"/>
      <c r="B15" s="107"/>
      <c r="C15" s="108"/>
      <c r="D15" s="109"/>
      <c r="E15" s="109"/>
      <c r="F15" s="110"/>
    </row>
    <row r="16" spans="1:10" s="114" customFormat="1" ht="18" customHeight="1">
      <c r="A16" s="9"/>
      <c r="B16" s="9"/>
      <c r="C16" s="9" t="s">
        <v>9</v>
      </c>
      <c r="D16" s="112">
        <f>SUM(D10:D14)</f>
        <v>98356</v>
      </c>
      <c r="E16" s="112">
        <f>D17-E15</f>
        <v>98356</v>
      </c>
      <c r="F16" s="113"/>
    </row>
    <row r="17" spans="1:10" s="114" customFormat="1" ht="23.25" customHeight="1" thickBot="1">
      <c r="A17" s="9"/>
      <c r="B17" s="9" t="s">
        <v>8</v>
      </c>
      <c r="C17" s="9" t="s">
        <v>10</v>
      </c>
      <c r="D17" s="138">
        <f>SUM(D16)</f>
        <v>98356</v>
      </c>
      <c r="E17" s="115">
        <f>SUM(E12:E16)</f>
        <v>98356</v>
      </c>
      <c r="F17" s="116"/>
    </row>
    <row r="18" spans="1:10" s="98" customFormat="1" ht="18" customHeight="1" thickTop="1">
      <c r="A18" s="8"/>
      <c r="B18" s="8"/>
      <c r="C18" s="8" t="s">
        <v>8</v>
      </c>
      <c r="D18" s="104"/>
      <c r="E18" s="104"/>
      <c r="F18" s="84"/>
    </row>
    <row r="19" spans="1:10" ht="18" customHeight="1">
      <c r="A19" s="117" t="s">
        <v>11</v>
      </c>
      <c r="B19" s="118"/>
      <c r="C19" s="119" t="s">
        <v>12</v>
      </c>
      <c r="D19" s="120"/>
      <c r="E19" s="120"/>
      <c r="F19" s="118"/>
      <c r="G19" s="3"/>
      <c r="I19" s="4"/>
    </row>
    <row r="20" spans="1:10" ht="30.75" customHeight="1">
      <c r="A20" s="716" t="s">
        <v>54</v>
      </c>
      <c r="B20" s="717"/>
      <c r="C20" s="84" t="s">
        <v>13</v>
      </c>
      <c r="D20" s="84"/>
      <c r="E20" s="689">
        <f>E17-E15</f>
        <v>98356</v>
      </c>
      <c r="F20" s="690"/>
      <c r="G20" s="3"/>
      <c r="I20" s="4"/>
    </row>
    <row r="21" spans="1:10" ht="19.5" customHeight="1">
      <c r="A21" s="716"/>
      <c r="B21" s="717"/>
      <c r="C21" s="84" t="s">
        <v>35</v>
      </c>
      <c r="D21" s="121" t="s">
        <v>36</v>
      </c>
      <c r="E21" s="122"/>
      <c r="F21" s="84"/>
      <c r="G21" s="3"/>
      <c r="I21" s="4"/>
    </row>
    <row r="22" spans="1:10" ht="18.75" customHeight="1">
      <c r="A22" s="716"/>
      <c r="B22" s="717"/>
      <c r="C22" s="84" t="s">
        <v>37</v>
      </c>
      <c r="D22" s="123"/>
      <c r="E22" s="691"/>
      <c r="F22" s="692"/>
      <c r="G22" s="3"/>
      <c r="I22" s="4"/>
    </row>
    <row r="23" spans="1:10" ht="34.5" customHeight="1">
      <c r="A23" s="718"/>
      <c r="B23" s="719"/>
      <c r="C23" s="86" t="s">
        <v>16</v>
      </c>
      <c r="D23" s="720" t="str">
        <f>B5</f>
        <v>ROY MIRANDA</v>
      </c>
      <c r="E23" s="720"/>
      <c r="F23" s="124"/>
      <c r="G23" s="3"/>
      <c r="H23" s="125"/>
    </row>
    <row r="24" spans="1:10" ht="21" customHeight="1">
      <c r="A24" s="126" t="s">
        <v>17</v>
      </c>
      <c r="C24" s="4" t="s">
        <v>18</v>
      </c>
      <c r="E24" s="190" t="s">
        <v>19</v>
      </c>
      <c r="G24" s="3"/>
      <c r="J24" s="88"/>
    </row>
    <row r="25" spans="1:10" ht="24.75" customHeight="1">
      <c r="A25" s="8"/>
      <c r="B25" s="8"/>
      <c r="C25" s="8"/>
      <c r="D25" s="6"/>
      <c r="E25" s="7"/>
      <c r="F25" s="8"/>
      <c r="G25" s="3"/>
      <c r="J25" s="88"/>
    </row>
    <row r="26" spans="1:10" s="128" customFormat="1" ht="26.25" customHeight="1">
      <c r="A26" s="127" t="s">
        <v>38</v>
      </c>
      <c r="E26" s="129"/>
      <c r="H26" s="129"/>
      <c r="I26" s="130"/>
    </row>
    <row r="27" spans="1:10" ht="1.5" hidden="1" customHeight="1">
      <c r="A27" s="8"/>
      <c r="B27" s="8"/>
      <c r="C27" s="8"/>
      <c r="D27" s="6"/>
      <c r="E27" s="6"/>
      <c r="F27" s="8"/>
      <c r="J27" s="88"/>
    </row>
    <row r="28" spans="1:10" ht="9.75" customHeight="1">
      <c r="H28" s="3"/>
    </row>
    <row r="29" spans="1:10" s="131" customFormat="1" ht="18.75" customHeight="1">
      <c r="A29" s="4"/>
      <c r="B29" s="4"/>
      <c r="C29" s="4"/>
      <c r="D29" s="3"/>
      <c r="E29" s="3"/>
      <c r="F29" s="4"/>
      <c r="H29" s="132"/>
      <c r="I29" s="133"/>
    </row>
    <row r="30" spans="1:10">
      <c r="H30" s="125"/>
      <c r="J30" s="134"/>
    </row>
    <row r="31" spans="1:10">
      <c r="C31" s="4" t="s">
        <v>8</v>
      </c>
      <c r="D31" s="4"/>
      <c r="E31" s="4"/>
    </row>
    <row r="33" spans="4:9">
      <c r="I33" s="4"/>
    </row>
    <row r="34" spans="4:9">
      <c r="D34" s="4"/>
      <c r="E34" s="4"/>
    </row>
  </sheetData>
  <mergeCells count="8">
    <mergeCell ref="A1:F1"/>
    <mergeCell ref="A2:F2"/>
    <mergeCell ref="E4:F4"/>
    <mergeCell ref="A6:B6"/>
    <mergeCell ref="A20:B23"/>
    <mergeCell ref="E20:F20"/>
    <mergeCell ref="E22:F22"/>
    <mergeCell ref="D23:E23"/>
  </mergeCells>
  <printOptions horizontalCentered="1"/>
  <pageMargins left="0.23611111111111099" right="0.23611111111111099" top="0.39305555555555599" bottom="0.74791666666666701" header="0.31458333333333299" footer="0.31458333333333299"/>
  <pageSetup paperSize="5" scale="75" orientation="portrait" verticalDpi="72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view="pageBreakPreview" zoomScale="85" zoomScaleNormal="100" workbookViewId="0">
      <selection activeCell="B5" sqref="B5"/>
    </sheetView>
  </sheetViews>
  <sheetFormatPr defaultColWidth="9.140625" defaultRowHeight="19.5"/>
  <cols>
    <col min="1" max="1" width="8.85546875" style="144" customWidth="1"/>
    <col min="2" max="2" width="25.7109375" style="144" customWidth="1"/>
    <col min="3" max="3" width="22.140625" style="144" customWidth="1"/>
    <col min="4" max="4" width="30.5703125" style="187" customWidth="1"/>
    <col min="5" max="5" width="25" style="187" customWidth="1"/>
    <col min="6" max="6" width="23.140625" style="144" customWidth="1"/>
    <col min="7" max="7" width="9.140625" style="144"/>
    <col min="8" max="8" width="10" style="144" customWidth="1"/>
    <col min="9" max="9" width="9.140625" style="145"/>
    <col min="10" max="10" width="10" style="144" customWidth="1"/>
    <col min="11" max="16384" width="9.140625" style="144"/>
  </cols>
  <sheetData>
    <row r="1" spans="1:10" s="142" customFormat="1" ht="18.75" customHeight="1">
      <c r="A1" s="803" t="s">
        <v>0</v>
      </c>
      <c r="B1" s="803"/>
      <c r="C1" s="803"/>
      <c r="D1" s="803"/>
      <c r="E1" s="803"/>
      <c r="F1" s="803"/>
      <c r="I1" s="143"/>
    </row>
    <row r="2" spans="1:10" ht="15.75" customHeight="1">
      <c r="A2" s="804" t="s">
        <v>1</v>
      </c>
      <c r="B2" s="804"/>
      <c r="C2" s="804"/>
      <c r="D2" s="804"/>
      <c r="E2" s="804"/>
      <c r="F2" s="804"/>
    </row>
    <row r="3" spans="1:10" ht="34.5" customHeight="1">
      <c r="A3" s="146"/>
      <c r="B3" s="146"/>
      <c r="C3" s="146"/>
      <c r="D3" s="147"/>
      <c r="E3" s="147"/>
      <c r="F3" s="148" t="s">
        <v>49</v>
      </c>
    </row>
    <row r="4" spans="1:10" ht="20.25" customHeight="1">
      <c r="A4" s="146"/>
      <c r="B4" s="149" t="s">
        <v>2</v>
      </c>
      <c r="C4" s="146"/>
      <c r="D4" s="150" t="s">
        <v>3</v>
      </c>
      <c r="E4" s="753">
        <v>46235</v>
      </c>
      <c r="F4" s="753"/>
    </row>
    <row r="5" spans="1:10" ht="29.25" customHeight="1">
      <c r="A5" s="151" t="s">
        <v>4</v>
      </c>
      <c r="B5" s="152" t="s">
        <v>50</v>
      </c>
      <c r="C5" s="151"/>
      <c r="D5" s="151"/>
      <c r="E5" s="149"/>
      <c r="F5" s="146"/>
      <c r="J5" s="153"/>
    </row>
    <row r="6" spans="1:10" ht="17.25" customHeight="1">
      <c r="A6" s="806"/>
      <c r="B6" s="806"/>
      <c r="C6" s="151"/>
      <c r="D6" s="154" t="s">
        <v>5</v>
      </c>
      <c r="E6" s="155" t="s">
        <v>6</v>
      </c>
      <c r="F6" s="156"/>
      <c r="G6" s="144" t="s">
        <v>7</v>
      </c>
      <c r="J6" s="153"/>
    </row>
    <row r="7" spans="1:10" s="162" customFormat="1" ht="19.5" customHeight="1">
      <c r="A7" s="160"/>
      <c r="B7" s="159" t="s">
        <v>39</v>
      </c>
      <c r="C7" s="159"/>
      <c r="D7" s="161">
        <v>3299.23</v>
      </c>
      <c r="E7" s="161"/>
      <c r="F7" s="159"/>
      <c r="J7" s="163"/>
    </row>
    <row r="8" spans="1:10" s="162" customFormat="1" ht="23.25" customHeight="1">
      <c r="A8" s="160"/>
      <c r="B8" s="159" t="s">
        <v>44</v>
      </c>
      <c r="C8" s="159"/>
      <c r="D8" s="161">
        <v>8302.4599999999991</v>
      </c>
      <c r="E8" s="161"/>
      <c r="F8" s="159"/>
    </row>
    <row r="9" spans="1:10" s="162" customFormat="1" ht="19.5" customHeight="1">
      <c r="A9" s="160"/>
      <c r="B9" s="164" t="s">
        <v>45</v>
      </c>
      <c r="C9" s="165"/>
      <c r="D9" s="161">
        <v>11218.56</v>
      </c>
      <c r="E9" s="161" t="s">
        <v>8</v>
      </c>
      <c r="F9" s="159"/>
    </row>
    <row r="10" spans="1:10" s="162" customFormat="1" ht="18.75" customHeight="1">
      <c r="A10" s="160"/>
      <c r="B10" s="807" t="s">
        <v>46</v>
      </c>
      <c r="C10" s="807"/>
      <c r="D10" s="161">
        <v>186.61</v>
      </c>
      <c r="E10" s="161"/>
      <c r="F10" s="159"/>
    </row>
    <row r="11" spans="1:10" s="162" customFormat="1" ht="19.5" customHeight="1">
      <c r="A11" s="160"/>
      <c r="B11" s="159" t="s">
        <v>40</v>
      </c>
      <c r="C11" s="189"/>
      <c r="D11" s="161">
        <v>5089.75</v>
      </c>
      <c r="E11" s="161"/>
      <c r="F11" s="159"/>
    </row>
    <row r="12" spans="1:10" s="162" customFormat="1" ht="21.75" customHeight="1">
      <c r="A12" s="160"/>
      <c r="B12" s="189" t="s">
        <v>47</v>
      </c>
      <c r="C12" s="189"/>
      <c r="D12" s="161">
        <v>18100.18</v>
      </c>
      <c r="E12" s="161"/>
      <c r="F12" s="159"/>
    </row>
    <row r="13" spans="1:10" s="162" customFormat="1" ht="9" customHeight="1">
      <c r="A13" s="160"/>
      <c r="B13" s="189"/>
      <c r="C13" s="189"/>
      <c r="D13" s="161"/>
      <c r="E13" s="161"/>
      <c r="F13" s="159"/>
    </row>
    <row r="14" spans="1:10" s="162" customFormat="1" ht="21.75" customHeight="1">
      <c r="A14" s="159"/>
      <c r="C14" s="159"/>
      <c r="D14" s="166"/>
      <c r="E14" s="166">
        <f>SUM(D7:D12)</f>
        <v>46196.79</v>
      </c>
      <c r="F14" s="167"/>
    </row>
    <row r="15" spans="1:10" s="162" customFormat="1" ht="26.25" customHeight="1" thickBot="1">
      <c r="A15" s="159"/>
      <c r="B15" s="159" t="s">
        <v>8</v>
      </c>
      <c r="C15" s="159" t="s">
        <v>10</v>
      </c>
      <c r="D15" s="168">
        <f>SUM(D7:D12)</f>
        <v>46196.79</v>
      </c>
      <c r="E15" s="168">
        <f>SUM(E9:E14)</f>
        <v>46196.79</v>
      </c>
      <c r="F15" s="169"/>
    </row>
    <row r="16" spans="1:10" ht="6.75" customHeight="1" thickTop="1">
      <c r="A16" s="146"/>
      <c r="B16" s="146"/>
      <c r="C16" s="146"/>
      <c r="D16" s="170"/>
      <c r="E16" s="170"/>
      <c r="F16" s="149"/>
      <c r="I16" s="144"/>
    </row>
    <row r="17" spans="1:10" ht="13.5" customHeight="1">
      <c r="A17" s="171" t="s">
        <v>11</v>
      </c>
      <c r="B17" s="172"/>
      <c r="C17" s="173" t="s">
        <v>12</v>
      </c>
      <c r="D17" s="174"/>
      <c r="E17" s="174"/>
      <c r="F17" s="172"/>
      <c r="I17" s="144"/>
    </row>
    <row r="18" spans="1:10" ht="23.25" customHeight="1">
      <c r="A18" s="685" t="s">
        <v>51</v>
      </c>
      <c r="B18" s="686"/>
      <c r="C18" s="149" t="s">
        <v>13</v>
      </c>
      <c r="D18" s="149"/>
      <c r="E18" s="801">
        <f>E14</f>
        <v>46196.79</v>
      </c>
      <c r="F18" s="802"/>
    </row>
    <row r="19" spans="1:10" ht="18" customHeight="1">
      <c r="A19" s="685"/>
      <c r="B19" s="686"/>
      <c r="C19" s="149" t="s">
        <v>14</v>
      </c>
      <c r="D19" s="1" t="s">
        <v>15</v>
      </c>
      <c r="E19" s="170"/>
      <c r="F19" s="176"/>
      <c r="G19" s="177"/>
      <c r="J19" s="153"/>
    </row>
    <row r="20" spans="1:10" ht="83.25" customHeight="1">
      <c r="A20" s="685"/>
      <c r="B20" s="686"/>
      <c r="C20" s="2" t="s">
        <v>16</v>
      </c>
      <c r="D20" s="194" t="str">
        <f>B5</f>
        <v>GILBERT BERSAMIN// ROY</v>
      </c>
      <c r="E20" s="178" t="s">
        <v>43</v>
      </c>
      <c r="F20" s="176"/>
      <c r="J20" s="153"/>
    </row>
    <row r="21" spans="1:10" ht="1.5" hidden="1" customHeight="1">
      <c r="A21" s="687"/>
      <c r="B21" s="688"/>
      <c r="C21" s="151"/>
      <c r="D21" s="195"/>
      <c r="E21" s="196"/>
      <c r="F21" s="151"/>
      <c r="J21" s="153"/>
    </row>
    <row r="22" spans="1:10" s="197" customFormat="1" ht="15.2" customHeight="1">
      <c r="A22" s="181" t="s">
        <v>17</v>
      </c>
      <c r="C22" s="197" t="s">
        <v>18</v>
      </c>
      <c r="D22" s="197" t="s">
        <v>48</v>
      </c>
      <c r="E22" s="198"/>
      <c r="H22" s="199"/>
      <c r="I22" s="200"/>
    </row>
    <row r="23" spans="1:10" s="146" customFormat="1" ht="20.25" customHeight="1">
      <c r="D23" s="147"/>
      <c r="E23" s="147"/>
      <c r="H23" s="147"/>
      <c r="I23" s="184"/>
    </row>
    <row r="24" spans="1:10" s="10" customFormat="1" ht="15.2" customHeight="1">
      <c r="A24" s="127" t="s">
        <v>52</v>
      </c>
      <c r="E24" s="11"/>
      <c r="H24" s="11"/>
      <c r="I24" s="12"/>
    </row>
    <row r="25" spans="1:10" ht="9" customHeight="1">
      <c r="A25" s="146"/>
      <c r="B25" s="146"/>
      <c r="C25" s="146"/>
      <c r="D25" s="147"/>
      <c r="E25" s="147"/>
      <c r="F25" s="146"/>
      <c r="H25" s="185"/>
    </row>
    <row r="26" spans="1:10">
      <c r="A26" s="146"/>
      <c r="B26" s="146"/>
      <c r="C26" s="146"/>
      <c r="D26" s="147"/>
      <c r="E26" s="147"/>
      <c r="F26" s="146"/>
      <c r="H26" s="185"/>
      <c r="J26" s="186"/>
    </row>
    <row r="29" spans="1:10">
      <c r="C29" s="144" t="s">
        <v>8</v>
      </c>
      <c r="D29" s="144"/>
      <c r="E29" s="144"/>
      <c r="I29" s="144"/>
    </row>
  </sheetData>
  <mergeCells count="7">
    <mergeCell ref="A18:B21"/>
    <mergeCell ref="E18:F18"/>
    <mergeCell ref="A1:F1"/>
    <mergeCell ref="A2:F2"/>
    <mergeCell ref="E4:F4"/>
    <mergeCell ref="A6:B6"/>
    <mergeCell ref="B10:C10"/>
  </mergeCells>
  <printOptions horizontalCentered="1"/>
  <pageMargins left="0.3" right="0.3" top="0.2" bottom="0.5" header="0.3" footer="0.3"/>
  <pageSetup scale="70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41</vt:i4>
      </vt:variant>
    </vt:vector>
  </HeadingPairs>
  <TitlesOfParts>
    <vt:vector size="83" baseType="lpstr">
      <vt:lpstr>CV MONITORING</vt:lpstr>
      <vt:lpstr>380</vt:lpstr>
      <vt:lpstr>379</vt:lpstr>
      <vt:lpstr>378</vt:lpstr>
      <vt:lpstr>377</vt:lpstr>
      <vt:lpstr>376</vt:lpstr>
      <vt:lpstr>375</vt:lpstr>
      <vt:lpstr>374</vt:lpstr>
      <vt:lpstr>373</vt:lpstr>
      <vt:lpstr>372</vt:lpstr>
      <vt:lpstr>371</vt:lpstr>
      <vt:lpstr>370</vt:lpstr>
      <vt:lpstr>369</vt:lpstr>
      <vt:lpstr>368</vt:lpstr>
      <vt:lpstr>367</vt:lpstr>
      <vt:lpstr>366</vt:lpstr>
      <vt:lpstr>365</vt:lpstr>
      <vt:lpstr>364</vt:lpstr>
      <vt:lpstr>363</vt:lpstr>
      <vt:lpstr>362</vt:lpstr>
      <vt:lpstr>361</vt:lpstr>
      <vt:lpstr>360</vt:lpstr>
      <vt:lpstr>359</vt:lpstr>
      <vt:lpstr>358</vt:lpstr>
      <vt:lpstr>357</vt:lpstr>
      <vt:lpstr>356</vt:lpstr>
      <vt:lpstr>355</vt:lpstr>
      <vt:lpstr>354</vt:lpstr>
      <vt:lpstr>353</vt:lpstr>
      <vt:lpstr>352</vt:lpstr>
      <vt:lpstr>351</vt:lpstr>
      <vt:lpstr>350</vt:lpstr>
      <vt:lpstr>349</vt:lpstr>
      <vt:lpstr>348</vt:lpstr>
      <vt:lpstr>347</vt:lpstr>
      <vt:lpstr>346</vt:lpstr>
      <vt:lpstr>345</vt:lpstr>
      <vt:lpstr>344</vt:lpstr>
      <vt:lpstr>343</vt:lpstr>
      <vt:lpstr>342</vt:lpstr>
      <vt:lpstr>341</vt:lpstr>
      <vt:lpstr>340</vt:lpstr>
      <vt:lpstr>'340'!Print_Area</vt:lpstr>
      <vt:lpstr>'341'!Print_Area</vt:lpstr>
      <vt:lpstr>'342'!Print_Area</vt:lpstr>
      <vt:lpstr>'343'!Print_Area</vt:lpstr>
      <vt:lpstr>'344'!Print_Area</vt:lpstr>
      <vt:lpstr>'345'!Print_Area</vt:lpstr>
      <vt:lpstr>'346'!Print_Area</vt:lpstr>
      <vt:lpstr>'347'!Print_Area</vt:lpstr>
      <vt:lpstr>'348'!Print_Area</vt:lpstr>
      <vt:lpstr>'349'!Print_Area</vt:lpstr>
      <vt:lpstr>'350'!Print_Area</vt:lpstr>
      <vt:lpstr>'351'!Print_Area</vt:lpstr>
      <vt:lpstr>'352'!Print_Area</vt:lpstr>
      <vt:lpstr>'353'!Print_Area</vt:lpstr>
      <vt:lpstr>'354'!Print_Area</vt:lpstr>
      <vt:lpstr>'355'!Print_Area</vt:lpstr>
      <vt:lpstr>'356'!Print_Area</vt:lpstr>
      <vt:lpstr>'357'!Print_Area</vt:lpstr>
      <vt:lpstr>'358'!Print_Area</vt:lpstr>
      <vt:lpstr>'359'!Print_Area</vt:lpstr>
      <vt:lpstr>'360'!Print_Area</vt:lpstr>
      <vt:lpstr>'361'!Print_Area</vt:lpstr>
      <vt:lpstr>'362'!Print_Area</vt:lpstr>
      <vt:lpstr>'363'!Print_Area</vt:lpstr>
      <vt:lpstr>'364'!Print_Area</vt:lpstr>
      <vt:lpstr>'365'!Print_Area</vt:lpstr>
      <vt:lpstr>'366'!Print_Area</vt:lpstr>
      <vt:lpstr>'367'!Print_Area</vt:lpstr>
      <vt:lpstr>'368'!Print_Area</vt:lpstr>
      <vt:lpstr>'369'!Print_Area</vt:lpstr>
      <vt:lpstr>'370'!Print_Area</vt:lpstr>
      <vt:lpstr>'371'!Print_Area</vt:lpstr>
      <vt:lpstr>'372'!Print_Area</vt:lpstr>
      <vt:lpstr>'373'!Print_Area</vt:lpstr>
      <vt:lpstr>'374'!Print_Area</vt:lpstr>
      <vt:lpstr>'375'!Print_Area</vt:lpstr>
      <vt:lpstr>'376'!Print_Area</vt:lpstr>
      <vt:lpstr>'377'!Print_Area</vt:lpstr>
      <vt:lpstr>'378'!Print_Area</vt:lpstr>
      <vt:lpstr>'379'!Print_Area</vt:lpstr>
      <vt:lpstr>'380'!Print_Area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mdspii</dc:creator>
  <cp:lastModifiedBy>mdspii</cp:lastModifiedBy>
  <cp:lastPrinted>2026-09-01T21:07:36Z</cp:lastPrinted>
  <dcterms:created xsi:type="dcterms:W3CDTF">2026-07-02T17:49:32Z</dcterms:created>
  <dcterms:modified xsi:type="dcterms:W3CDTF">2026-09-17T21:19:20Z</dcterms:modified>
</cp:coreProperties>
</file>